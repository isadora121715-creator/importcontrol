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:\Comex - Compras Internacionais\Isadora Rodrigues\Controle - pedidos\"/>
    </mc:Choice>
  </mc:AlternateContent>
  <xr:revisionPtr revIDLastSave="0" documentId="13_ncr:1_{E41FDAC2-02B2-4848-A0BB-67F97B446323}" xr6:coauthVersionLast="47" xr6:coauthVersionMax="47" xr10:uidLastSave="{00000000-0000-0000-0000-000000000000}"/>
  <bookViews>
    <workbookView xWindow="-120" yWindow="-120" windowWidth="29040" windowHeight="15720" xr2:uid="{EB789638-5E40-4122-8F46-2B266673BAC1}"/>
  </bookViews>
  <sheets>
    <sheet name="Controle - venda e compra (2)" sheetId="12" r:id="rId1"/>
    <sheet name="Planilha1" sheetId="13" r:id="rId2"/>
    <sheet name="Controle O.S" sheetId="9" r:id="rId3"/>
    <sheet name="Planilha1 (2)" sheetId="11" r:id="rId4"/>
  </sheets>
  <definedNames>
    <definedName name="_xlnm._FilterDatabase" localSheetId="0" hidden="1">'Controle - venda e compra (2)'!$A$2:$AQ$853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8" i="12" l="1"/>
  <c r="AN3" i="12" l="1"/>
  <c r="Q853" i="12"/>
  <c r="P853" i="12"/>
  <c r="O853" i="12"/>
  <c r="Q852" i="12"/>
  <c r="P852" i="12"/>
  <c r="O852" i="12"/>
  <c r="Q851" i="12"/>
  <c r="P851" i="12"/>
  <c r="O851" i="12"/>
  <c r="Q850" i="12"/>
  <c r="P850" i="12"/>
  <c r="O850" i="12"/>
  <c r="Q849" i="12"/>
  <c r="P849" i="12"/>
  <c r="O849" i="12"/>
  <c r="Q848" i="12"/>
  <c r="P848" i="12"/>
  <c r="O848" i="12"/>
  <c r="Q847" i="12"/>
  <c r="P847" i="12"/>
  <c r="O847" i="12"/>
  <c r="Q846" i="12"/>
  <c r="P846" i="12"/>
  <c r="O846" i="12"/>
  <c r="Q845" i="12"/>
  <c r="P845" i="12"/>
  <c r="O845" i="12"/>
  <c r="Q844" i="12"/>
  <c r="P844" i="12"/>
  <c r="O844" i="12"/>
  <c r="AN853" i="12"/>
  <c r="AM853" i="12"/>
  <c r="AD853" i="12"/>
  <c r="AN852" i="12"/>
  <c r="AM852" i="12"/>
  <c r="AD852" i="12"/>
  <c r="AN851" i="12"/>
  <c r="AM851" i="12"/>
  <c r="AD851" i="12"/>
  <c r="AN850" i="12"/>
  <c r="AM850" i="12"/>
  <c r="AD850" i="12"/>
  <c r="AN849" i="12"/>
  <c r="AM849" i="12"/>
  <c r="AD849" i="12"/>
  <c r="AN848" i="12"/>
  <c r="AM848" i="12"/>
  <c r="AD848" i="12"/>
  <c r="AN847" i="12"/>
  <c r="AM847" i="12"/>
  <c r="AD847" i="12"/>
  <c r="AN846" i="12"/>
  <c r="AM846" i="12"/>
  <c r="AD846" i="12"/>
  <c r="AN845" i="12"/>
  <c r="AM845" i="12"/>
  <c r="AD845" i="12"/>
  <c r="AN844" i="12"/>
  <c r="AM844" i="12"/>
  <c r="AD844" i="12"/>
  <c r="AN843" i="12"/>
  <c r="AM843" i="12"/>
  <c r="AD843" i="12"/>
  <c r="AN842" i="12"/>
  <c r="AM842" i="12"/>
  <c r="AD842" i="12"/>
  <c r="AN841" i="12"/>
  <c r="AM841" i="12"/>
  <c r="AD841" i="12"/>
  <c r="AN840" i="12"/>
  <c r="AM840" i="12"/>
  <c r="AD840" i="12"/>
  <c r="AN839" i="12"/>
  <c r="AM839" i="12"/>
  <c r="AD839" i="12"/>
  <c r="AN838" i="12"/>
  <c r="AM838" i="12"/>
  <c r="AD838" i="12"/>
  <c r="AN837" i="12"/>
  <c r="AM837" i="12"/>
  <c r="AD837" i="12"/>
  <c r="AN836" i="12"/>
  <c r="AM836" i="12"/>
  <c r="AD836" i="12"/>
  <c r="AN835" i="12"/>
  <c r="AM835" i="12"/>
  <c r="AD835" i="12"/>
  <c r="AN834" i="12"/>
  <c r="AM834" i="12"/>
  <c r="AD834" i="12"/>
  <c r="AN833" i="12"/>
  <c r="AM833" i="12"/>
  <c r="AD833" i="12"/>
  <c r="AN832" i="12"/>
  <c r="AM832" i="12"/>
  <c r="AD832" i="12"/>
  <c r="AN831" i="12"/>
  <c r="AM831" i="12"/>
  <c r="AD831" i="12"/>
  <c r="AN830" i="12"/>
  <c r="AM830" i="12"/>
  <c r="AD830" i="12"/>
  <c r="AN829" i="12"/>
  <c r="AM829" i="12"/>
  <c r="AD829" i="12"/>
  <c r="AN828" i="12"/>
  <c r="AM828" i="12"/>
  <c r="AD828" i="12"/>
  <c r="AN827" i="12"/>
  <c r="AM827" i="12"/>
  <c r="AD827" i="12"/>
  <c r="AN826" i="12"/>
  <c r="AM826" i="12"/>
  <c r="AD826" i="12"/>
  <c r="AN825" i="12"/>
  <c r="AM825" i="12"/>
  <c r="AD825" i="12"/>
  <c r="AN824" i="12"/>
  <c r="AM824" i="12"/>
  <c r="AD824" i="12"/>
  <c r="AN823" i="12"/>
  <c r="AM823" i="12"/>
  <c r="AD823" i="12"/>
  <c r="AN822" i="12"/>
  <c r="AM822" i="12"/>
  <c r="AD822" i="12"/>
  <c r="AN821" i="12"/>
  <c r="AM821" i="12"/>
  <c r="AD821" i="12"/>
  <c r="AN820" i="12"/>
  <c r="AM820" i="12"/>
  <c r="AD820" i="12"/>
  <c r="AN819" i="12"/>
  <c r="AM819" i="12"/>
  <c r="AD819" i="12"/>
  <c r="AN818" i="12"/>
  <c r="AM818" i="12"/>
  <c r="AD818" i="12"/>
  <c r="AN817" i="12"/>
  <c r="AM817" i="12"/>
  <c r="AD817" i="12"/>
  <c r="AN816" i="12"/>
  <c r="AM816" i="12"/>
  <c r="AD816" i="12"/>
  <c r="AN815" i="12"/>
  <c r="AM815" i="12"/>
  <c r="AD815" i="12"/>
  <c r="AN814" i="12"/>
  <c r="AM814" i="12"/>
  <c r="AD814" i="12"/>
  <c r="AN813" i="12"/>
  <c r="AM813" i="12"/>
  <c r="AD813" i="12"/>
  <c r="AN812" i="12"/>
  <c r="AM812" i="12"/>
  <c r="AD812" i="12"/>
  <c r="AN811" i="12"/>
  <c r="AM811" i="12"/>
  <c r="AD811" i="12"/>
  <c r="AN810" i="12"/>
  <c r="AM810" i="12"/>
  <c r="AD810" i="12"/>
  <c r="AN809" i="12"/>
  <c r="AM809" i="12"/>
  <c r="AD809" i="12"/>
  <c r="AN808" i="12"/>
  <c r="AM808" i="12"/>
  <c r="AD808" i="12"/>
  <c r="AN807" i="12"/>
  <c r="AM807" i="12"/>
  <c r="AD807" i="12"/>
  <c r="AN806" i="12"/>
  <c r="AM806" i="12"/>
  <c r="AD806" i="12"/>
  <c r="AN805" i="12"/>
  <c r="AM805" i="12"/>
  <c r="AD805" i="12"/>
  <c r="AN804" i="12"/>
  <c r="AM804" i="12"/>
  <c r="AD804" i="12"/>
  <c r="AN803" i="12"/>
  <c r="AM803" i="12"/>
  <c r="AD803" i="12"/>
  <c r="AN802" i="12"/>
  <c r="AM802" i="12"/>
  <c r="AD802" i="12"/>
  <c r="AN801" i="12"/>
  <c r="AM801" i="12"/>
  <c r="AD801" i="12"/>
  <c r="AN800" i="12"/>
  <c r="AM800" i="12"/>
  <c r="AD800" i="12"/>
  <c r="AN799" i="12"/>
  <c r="AM799" i="12"/>
  <c r="AD799" i="12"/>
  <c r="AN798" i="12"/>
  <c r="AM798" i="12"/>
  <c r="AD798" i="12"/>
  <c r="AN797" i="12"/>
  <c r="AM797" i="12"/>
  <c r="AD797" i="12"/>
  <c r="AN796" i="12"/>
  <c r="AM796" i="12"/>
  <c r="AD796" i="12"/>
  <c r="AN795" i="12"/>
  <c r="AM795" i="12"/>
  <c r="AD795" i="12"/>
  <c r="AN794" i="12"/>
  <c r="AM794" i="12"/>
  <c r="AD794" i="12"/>
  <c r="AN793" i="12"/>
  <c r="AM793" i="12"/>
  <c r="AD793" i="12"/>
  <c r="AN792" i="12"/>
  <c r="AM792" i="12"/>
  <c r="AD792" i="12"/>
  <c r="AN791" i="12"/>
  <c r="AM791" i="12"/>
  <c r="AD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X806" i="12"/>
  <c r="X807" i="12"/>
  <c r="X808" i="12"/>
  <c r="X809" i="12"/>
  <c r="X810" i="12"/>
  <c r="X811" i="12"/>
  <c r="X812" i="12"/>
  <c r="X813" i="12"/>
  <c r="X814" i="12"/>
  <c r="X815" i="12"/>
  <c r="X816" i="12"/>
  <c r="X817" i="12"/>
  <c r="X818" i="12"/>
  <c r="X819" i="12"/>
  <c r="X820" i="12"/>
  <c r="X821" i="12"/>
  <c r="X822" i="12"/>
  <c r="X823" i="12"/>
  <c r="X824" i="12"/>
  <c r="X825" i="12"/>
  <c r="X826" i="12"/>
  <c r="X827" i="12"/>
  <c r="X828" i="12"/>
  <c r="X829" i="12"/>
  <c r="X830" i="12"/>
  <c r="X831" i="12"/>
  <c r="X832" i="12"/>
  <c r="X833" i="12"/>
  <c r="X834" i="12"/>
  <c r="X835" i="12"/>
  <c r="X836" i="12"/>
  <c r="X837" i="12"/>
  <c r="X838" i="12"/>
  <c r="X839" i="12"/>
  <c r="X840" i="12"/>
  <c r="X841" i="12"/>
  <c r="X842" i="12"/>
  <c r="X843" i="12"/>
  <c r="X844" i="12"/>
  <c r="X845" i="12"/>
  <c r="X846" i="12"/>
  <c r="X847" i="12"/>
  <c r="X848" i="12"/>
  <c r="X849" i="12"/>
  <c r="X850" i="12"/>
  <c r="X851" i="12"/>
  <c r="X852" i="12"/>
  <c r="X853" i="12"/>
  <c r="X791" i="12"/>
  <c r="AN21" i="12" l="1"/>
  <c r="X788" i="12" l="1"/>
  <c r="AD788" i="12"/>
  <c r="AM788" i="12"/>
  <c r="AN788" i="12"/>
  <c r="X789" i="12"/>
  <c r="AD789" i="12"/>
  <c r="AM789" i="12"/>
  <c r="AN789" i="12"/>
  <c r="X790" i="12"/>
  <c r="AD790" i="12"/>
  <c r="AM790" i="12"/>
  <c r="AN790" i="12"/>
  <c r="AM787" i="12"/>
  <c r="AN787" i="12"/>
  <c r="AO787" i="12" s="1"/>
  <c r="AD787" i="12"/>
  <c r="L790" i="12"/>
  <c r="P788" i="12"/>
  <c r="P787" i="12"/>
  <c r="P790" i="12"/>
  <c r="P789" i="12"/>
  <c r="N790" i="12"/>
  <c r="N789" i="12"/>
  <c r="N788" i="12"/>
  <c r="N787" i="12"/>
  <c r="L789" i="12"/>
  <c r="L788" i="12"/>
  <c r="L787" i="12"/>
  <c r="H790" i="12"/>
  <c r="H789" i="12"/>
  <c r="H788" i="12"/>
  <c r="H787" i="12"/>
  <c r="X787" i="12"/>
  <c r="N573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Q573" i="12"/>
  <c r="O573" i="12"/>
  <c r="H573" i="12"/>
  <c r="AN573" i="12"/>
  <c r="AM573" i="12"/>
  <c r="AD573" i="12"/>
  <c r="P573" i="12"/>
  <c r="X573" i="12"/>
  <c r="X85" i="12" l="1"/>
  <c r="X87" i="12"/>
  <c r="X84" i="12"/>
  <c r="X83" i="12"/>
  <c r="X82" i="12"/>
  <c r="X81" i="12"/>
  <c r="X80" i="12"/>
  <c r="X79" i="12"/>
  <c r="X78" i="12"/>
  <c r="X77" i="12"/>
  <c r="X76" i="12"/>
  <c r="X75" i="12"/>
  <c r="X409" i="12" l="1"/>
  <c r="X410" i="12"/>
  <c r="X412" i="12"/>
  <c r="H600" i="12" l="1"/>
  <c r="Q524" i="12"/>
  <c r="P524" i="12"/>
  <c r="O524" i="12"/>
  <c r="N524" i="12"/>
  <c r="Q523" i="12"/>
  <c r="P523" i="12"/>
  <c r="O523" i="12"/>
  <c r="N523" i="12"/>
  <c r="Q522" i="12"/>
  <c r="P522" i="12"/>
  <c r="O522" i="12"/>
  <c r="N522" i="12"/>
  <c r="L524" i="12"/>
  <c r="L523" i="12"/>
  <c r="L522" i="12"/>
  <c r="H524" i="12"/>
  <c r="H523" i="12"/>
  <c r="H522" i="12"/>
  <c r="AN524" i="12"/>
  <c r="AO524" i="12" s="1"/>
  <c r="AM524" i="12"/>
  <c r="AD524" i="12"/>
  <c r="AN523" i="12"/>
  <c r="AO523" i="12" s="1"/>
  <c r="AM523" i="12"/>
  <c r="AD523" i="12"/>
  <c r="AN522" i="12"/>
  <c r="AO522" i="12" s="1"/>
  <c r="AM522" i="12"/>
  <c r="AD522" i="12"/>
  <c r="AN505" i="12"/>
  <c r="H286" i="12"/>
  <c r="H55" i="12" l="1"/>
  <c r="N54" i="12"/>
  <c r="O54" i="12"/>
  <c r="P54" i="12"/>
  <c r="L54" i="12"/>
  <c r="Q54" i="12"/>
  <c r="H54" i="12"/>
  <c r="AN54" i="12"/>
  <c r="AO54" i="12" s="1"/>
  <c r="AM54" i="12"/>
  <c r="AD54" i="12"/>
  <c r="P783" i="12"/>
  <c r="P784" i="12"/>
  <c r="P785" i="12"/>
  <c r="P786" i="12"/>
  <c r="P791" i="12"/>
  <c r="P792" i="12"/>
  <c r="P793" i="12"/>
  <c r="P794" i="12"/>
  <c r="P795" i="12"/>
  <c r="P796" i="12"/>
  <c r="P797" i="12"/>
  <c r="P798" i="12"/>
  <c r="P799" i="12"/>
  <c r="P800" i="12"/>
  <c r="P801" i="12"/>
  <c r="P802" i="12"/>
  <c r="P803" i="12"/>
  <c r="P804" i="12"/>
  <c r="P805" i="12"/>
  <c r="P806" i="12"/>
  <c r="P807" i="12"/>
  <c r="P808" i="12"/>
  <c r="P809" i="12"/>
  <c r="P810" i="12"/>
  <c r="P811" i="12"/>
  <c r="P812" i="12"/>
  <c r="P813" i="12"/>
  <c r="P814" i="12"/>
  <c r="P815" i="12"/>
  <c r="P816" i="12"/>
  <c r="P817" i="12"/>
  <c r="P818" i="12"/>
  <c r="P819" i="12"/>
  <c r="P820" i="12"/>
  <c r="P821" i="12"/>
  <c r="P822" i="12"/>
  <c r="P823" i="12"/>
  <c r="P824" i="12"/>
  <c r="P825" i="12"/>
  <c r="P826" i="12"/>
  <c r="P827" i="12"/>
  <c r="P828" i="12"/>
  <c r="P829" i="12"/>
  <c r="P830" i="12"/>
  <c r="P831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505" i="12"/>
  <c r="P506" i="12"/>
  <c r="P507" i="12"/>
  <c r="P508" i="12"/>
  <c r="P509" i="12"/>
  <c r="P510" i="12"/>
  <c r="P511" i="12"/>
  <c r="P512" i="12"/>
  <c r="P513" i="12"/>
  <c r="P514" i="12"/>
  <c r="P515" i="12"/>
  <c r="P516" i="12"/>
  <c r="P517" i="12"/>
  <c r="P518" i="12"/>
  <c r="P519" i="12"/>
  <c r="P520" i="12"/>
  <c r="P521" i="12"/>
  <c r="P525" i="12"/>
  <c r="P526" i="12"/>
  <c r="P527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P559" i="12"/>
  <c r="P560" i="12"/>
  <c r="P561" i="12"/>
  <c r="P562" i="12"/>
  <c r="P563" i="12"/>
  <c r="P564" i="12"/>
  <c r="P565" i="12"/>
  <c r="P566" i="12"/>
  <c r="P567" i="12"/>
  <c r="P568" i="12"/>
  <c r="P569" i="12"/>
  <c r="P570" i="12"/>
  <c r="P571" i="12"/>
  <c r="P572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59" i="12"/>
  <c r="P660" i="12"/>
  <c r="P661" i="12"/>
  <c r="P662" i="12"/>
  <c r="P663" i="12"/>
  <c r="P664" i="12"/>
  <c r="P665" i="12"/>
  <c r="P666" i="12"/>
  <c r="P667" i="12"/>
  <c r="P668" i="12"/>
  <c r="P669" i="12"/>
  <c r="P670" i="12"/>
  <c r="P671" i="12"/>
  <c r="P672" i="12"/>
  <c r="P673" i="12"/>
  <c r="P674" i="12"/>
  <c r="P675" i="12"/>
  <c r="P676" i="12"/>
  <c r="P677" i="12"/>
  <c r="P678" i="12"/>
  <c r="P679" i="12"/>
  <c r="P680" i="12"/>
  <c r="P681" i="12"/>
  <c r="P682" i="12"/>
  <c r="P683" i="12"/>
  <c r="P684" i="12"/>
  <c r="P685" i="12"/>
  <c r="P686" i="12"/>
  <c r="P687" i="12"/>
  <c r="P688" i="12"/>
  <c r="P689" i="12"/>
  <c r="P690" i="12"/>
  <c r="P691" i="12"/>
  <c r="P692" i="12"/>
  <c r="P693" i="12"/>
  <c r="P694" i="12"/>
  <c r="P695" i="12"/>
  <c r="P696" i="12"/>
  <c r="P697" i="12"/>
  <c r="P698" i="12"/>
  <c r="P699" i="12"/>
  <c r="P700" i="12"/>
  <c r="P701" i="12"/>
  <c r="P702" i="12"/>
  <c r="P703" i="12"/>
  <c r="P704" i="12"/>
  <c r="P705" i="12"/>
  <c r="P706" i="12"/>
  <c r="P707" i="12"/>
  <c r="P708" i="12"/>
  <c r="P709" i="12"/>
  <c r="P710" i="12"/>
  <c r="P711" i="12"/>
  <c r="P712" i="12"/>
  <c r="P713" i="12"/>
  <c r="P714" i="12"/>
  <c r="P715" i="12"/>
  <c r="P716" i="12"/>
  <c r="P717" i="12"/>
  <c r="P718" i="12"/>
  <c r="P719" i="12"/>
  <c r="P720" i="12"/>
  <c r="P721" i="12"/>
  <c r="P722" i="12"/>
  <c r="P723" i="12"/>
  <c r="P724" i="12"/>
  <c r="P725" i="12"/>
  <c r="P726" i="12"/>
  <c r="P727" i="12"/>
  <c r="P728" i="12"/>
  <c r="P729" i="12"/>
  <c r="P730" i="12"/>
  <c r="P731" i="12"/>
  <c r="P732" i="12"/>
  <c r="P733" i="12"/>
  <c r="P734" i="12"/>
  <c r="P735" i="12"/>
  <c r="P736" i="12"/>
  <c r="P737" i="12"/>
  <c r="P738" i="12"/>
  <c r="P739" i="12"/>
  <c r="P740" i="12"/>
  <c r="P741" i="12"/>
  <c r="P742" i="12"/>
  <c r="P743" i="12"/>
  <c r="P744" i="12"/>
  <c r="P745" i="12"/>
  <c r="P746" i="12"/>
  <c r="P747" i="12"/>
  <c r="P748" i="12"/>
  <c r="P749" i="12"/>
  <c r="P750" i="12"/>
  <c r="P751" i="12"/>
  <c r="P752" i="12"/>
  <c r="P753" i="12"/>
  <c r="P754" i="12"/>
  <c r="P755" i="12"/>
  <c r="P756" i="12"/>
  <c r="P757" i="12"/>
  <c r="P758" i="12"/>
  <c r="P759" i="12"/>
  <c r="P760" i="12"/>
  <c r="P761" i="12"/>
  <c r="P762" i="12"/>
  <c r="P763" i="12"/>
  <c r="P764" i="12"/>
  <c r="P765" i="12"/>
  <c r="P766" i="12"/>
  <c r="P767" i="12"/>
  <c r="P768" i="12"/>
  <c r="P769" i="12"/>
  <c r="P770" i="12"/>
  <c r="P771" i="12"/>
  <c r="P772" i="12"/>
  <c r="P773" i="12"/>
  <c r="P774" i="12"/>
  <c r="P775" i="12"/>
  <c r="P776" i="12"/>
  <c r="P777" i="12"/>
  <c r="P778" i="12"/>
  <c r="P779" i="12"/>
  <c r="P780" i="12"/>
  <c r="P781" i="12"/>
  <c r="P782" i="12"/>
  <c r="P3" i="12"/>
  <c r="N786" i="12"/>
  <c r="H786" i="12"/>
  <c r="AN786" i="12"/>
  <c r="AO786" i="12" s="1"/>
  <c r="AM786" i="12"/>
  <c r="AD786" i="12"/>
  <c r="X786" i="12"/>
  <c r="H785" i="12"/>
  <c r="AN785" i="12"/>
  <c r="AO785" i="12" s="1"/>
  <c r="AM785" i="12"/>
  <c r="AD785" i="12"/>
  <c r="X785" i="12"/>
  <c r="AN72" i="12" l="1"/>
  <c r="AO72" i="12" s="1"/>
  <c r="AM72" i="12"/>
  <c r="AD72" i="12"/>
  <c r="X72" i="12"/>
  <c r="Q72" i="12"/>
  <c r="O72" i="12"/>
  <c r="N72" i="12"/>
  <c r="L72" i="12"/>
  <c r="H72" i="12"/>
  <c r="C14" i="11" l="1"/>
  <c r="D14" i="11" s="1"/>
  <c r="AD541" i="12"/>
  <c r="AD540" i="12"/>
  <c r="AD539" i="12"/>
  <c r="AD538" i="12"/>
  <c r="AD537" i="12"/>
  <c r="AD536" i="12"/>
  <c r="AD535" i="12"/>
  <c r="AD534" i="12"/>
  <c r="AD533" i="12"/>
  <c r="AD532" i="12"/>
  <c r="AD531" i="12"/>
  <c r="AD530" i="12"/>
  <c r="AD529" i="12"/>
  <c r="AD528" i="12"/>
  <c r="AD527" i="12"/>
  <c r="AD526" i="12"/>
  <c r="AD525" i="12"/>
  <c r="AD521" i="12"/>
  <c r="AD520" i="12"/>
  <c r="AD519" i="12"/>
  <c r="AD518" i="12"/>
  <c r="AD517" i="12"/>
  <c r="AD516" i="12"/>
  <c r="AD515" i="12"/>
  <c r="AD514" i="12"/>
  <c r="AD513" i="12"/>
  <c r="AD512" i="12"/>
  <c r="AD511" i="12"/>
  <c r="AD510" i="12"/>
  <c r="AD509" i="12"/>
  <c r="AD508" i="12"/>
  <c r="AD507" i="12"/>
  <c r="AD506" i="12"/>
  <c r="AD505" i="12"/>
  <c r="AD504" i="12"/>
  <c r="AD503" i="12"/>
  <c r="H505" i="12"/>
  <c r="Q503" i="12"/>
  <c r="O503" i="12"/>
  <c r="N503" i="12"/>
  <c r="L503" i="12"/>
  <c r="H503" i="12"/>
  <c r="H502" i="12"/>
  <c r="AN503" i="12"/>
  <c r="AO503" i="12" s="1"/>
  <c r="AM503" i="12"/>
  <c r="O50" i="12"/>
  <c r="Q50" i="12"/>
  <c r="O51" i="12"/>
  <c r="Q51" i="12"/>
  <c r="O52" i="12"/>
  <c r="Q52" i="12"/>
  <c r="O53" i="12"/>
  <c r="Q53" i="12"/>
  <c r="O55" i="12"/>
  <c r="Q55" i="12"/>
  <c r="O56" i="12"/>
  <c r="Q56" i="12"/>
  <c r="O57" i="12"/>
  <c r="Q57" i="12"/>
  <c r="O58" i="12"/>
  <c r="Q58" i="12"/>
  <c r="O59" i="12"/>
  <c r="Q59" i="12"/>
  <c r="O60" i="12"/>
  <c r="Q60" i="12"/>
  <c r="O61" i="12"/>
  <c r="Q61" i="12"/>
  <c r="O62" i="12"/>
  <c r="Q62" i="12"/>
  <c r="O63" i="12"/>
  <c r="Q63" i="12"/>
  <c r="O64" i="12"/>
  <c r="Q64" i="12"/>
  <c r="O65" i="12"/>
  <c r="Q65" i="12"/>
  <c r="O66" i="12"/>
  <c r="Q66" i="12"/>
  <c r="O67" i="12"/>
  <c r="Q67" i="12"/>
  <c r="O68" i="12"/>
  <c r="Q68" i="12"/>
  <c r="O69" i="12"/>
  <c r="Q69" i="12"/>
  <c r="O70" i="12"/>
  <c r="Q70" i="12"/>
  <c r="O71" i="12"/>
  <c r="Q71" i="12"/>
  <c r="O73" i="12"/>
  <c r="Q73" i="12"/>
  <c r="O74" i="12"/>
  <c r="Q74" i="12"/>
  <c r="O75" i="12"/>
  <c r="Q75" i="12"/>
  <c r="O76" i="12"/>
  <c r="Q76" i="12"/>
  <c r="O77" i="12"/>
  <c r="Q77" i="12"/>
  <c r="O78" i="12"/>
  <c r="Q78" i="12"/>
  <c r="O79" i="12"/>
  <c r="Q79" i="12"/>
  <c r="O80" i="12"/>
  <c r="Q80" i="12"/>
  <c r="O81" i="12"/>
  <c r="Q81" i="12"/>
  <c r="O82" i="12"/>
  <c r="Q82" i="12"/>
  <c r="O83" i="12"/>
  <c r="Q83" i="12"/>
  <c r="O84" i="12"/>
  <c r="Q84" i="12"/>
  <c r="O85" i="12"/>
  <c r="Q85" i="12"/>
  <c r="O86" i="12"/>
  <c r="Q86" i="12"/>
  <c r="O87" i="12"/>
  <c r="Q87" i="12"/>
  <c r="O88" i="12"/>
  <c r="Q88" i="12"/>
  <c r="O89" i="12"/>
  <c r="Q89" i="12"/>
  <c r="O90" i="12"/>
  <c r="Q90" i="12"/>
  <c r="O91" i="12"/>
  <c r="Q91" i="12"/>
  <c r="O92" i="12"/>
  <c r="Q92" i="12"/>
  <c r="O93" i="12"/>
  <c r="Q93" i="12"/>
  <c r="O94" i="12"/>
  <c r="Q94" i="12"/>
  <c r="O95" i="12"/>
  <c r="Q95" i="12"/>
  <c r="O96" i="12"/>
  <c r="Q96" i="12"/>
  <c r="O97" i="12"/>
  <c r="Q97" i="12"/>
  <c r="O98" i="12"/>
  <c r="Q98" i="12"/>
  <c r="O99" i="12"/>
  <c r="Q99" i="12"/>
  <c r="O100" i="12"/>
  <c r="Q100" i="12"/>
  <c r="O101" i="12"/>
  <c r="Q101" i="12"/>
  <c r="O102" i="12"/>
  <c r="Q102" i="12"/>
  <c r="O103" i="12"/>
  <c r="Q103" i="12"/>
  <c r="O104" i="12"/>
  <c r="Q104" i="12"/>
  <c r="O105" i="12"/>
  <c r="Q105" i="12"/>
  <c r="O106" i="12"/>
  <c r="Q106" i="12"/>
  <c r="O107" i="12"/>
  <c r="Q107" i="12"/>
  <c r="O108" i="12"/>
  <c r="Q108" i="12"/>
  <c r="O109" i="12"/>
  <c r="Q109" i="12"/>
  <c r="O110" i="12"/>
  <c r="Q110" i="12"/>
  <c r="O111" i="12"/>
  <c r="Q111" i="12"/>
  <c r="O112" i="12"/>
  <c r="Q112" i="12"/>
  <c r="O113" i="12"/>
  <c r="Q113" i="12"/>
  <c r="O114" i="12"/>
  <c r="Q114" i="12"/>
  <c r="O115" i="12"/>
  <c r="Q115" i="12"/>
  <c r="O116" i="12"/>
  <c r="Q116" i="12"/>
  <c r="O117" i="12"/>
  <c r="Q117" i="12"/>
  <c r="O118" i="12"/>
  <c r="Q118" i="12"/>
  <c r="O119" i="12"/>
  <c r="Q119" i="12"/>
  <c r="O120" i="12"/>
  <c r="Q120" i="12"/>
  <c r="O121" i="12"/>
  <c r="Q121" i="12"/>
  <c r="O122" i="12"/>
  <c r="Q122" i="12"/>
  <c r="O123" i="12"/>
  <c r="Q123" i="12"/>
  <c r="O124" i="12"/>
  <c r="Q124" i="12"/>
  <c r="O125" i="12"/>
  <c r="Q125" i="12"/>
  <c r="O126" i="12"/>
  <c r="Q126" i="12"/>
  <c r="O127" i="12"/>
  <c r="Q127" i="12"/>
  <c r="O128" i="12"/>
  <c r="Q128" i="12"/>
  <c r="O129" i="12"/>
  <c r="Q129" i="12"/>
  <c r="O130" i="12"/>
  <c r="Q130" i="12"/>
  <c r="O131" i="12"/>
  <c r="Q131" i="12"/>
  <c r="O132" i="12"/>
  <c r="Q132" i="12"/>
  <c r="O133" i="12"/>
  <c r="Q133" i="12"/>
  <c r="O134" i="12"/>
  <c r="Q134" i="12"/>
  <c r="O135" i="12"/>
  <c r="Q135" i="12"/>
  <c r="O136" i="12"/>
  <c r="Q136" i="12"/>
  <c r="O137" i="12"/>
  <c r="Q137" i="12"/>
  <c r="O138" i="12"/>
  <c r="Q138" i="12"/>
  <c r="O139" i="12"/>
  <c r="Q139" i="12"/>
  <c r="O140" i="12"/>
  <c r="Q140" i="12"/>
  <c r="O141" i="12"/>
  <c r="Q141" i="12"/>
  <c r="O142" i="12"/>
  <c r="Q142" i="12"/>
  <c r="O143" i="12"/>
  <c r="Q143" i="12"/>
  <c r="O144" i="12"/>
  <c r="Q144" i="12"/>
  <c r="O145" i="12"/>
  <c r="Q145" i="12"/>
  <c r="O146" i="12"/>
  <c r="Q146" i="12"/>
  <c r="O147" i="12"/>
  <c r="Q147" i="12"/>
  <c r="O148" i="12"/>
  <c r="Q148" i="12"/>
  <c r="O149" i="12"/>
  <c r="Q149" i="12"/>
  <c r="O150" i="12"/>
  <c r="Q150" i="12"/>
  <c r="O151" i="12"/>
  <c r="Q151" i="12"/>
  <c r="O152" i="12"/>
  <c r="Q152" i="12"/>
  <c r="O153" i="12"/>
  <c r="Q153" i="12"/>
  <c r="O154" i="12"/>
  <c r="Q154" i="12"/>
  <c r="O155" i="12"/>
  <c r="Q155" i="12"/>
  <c r="O156" i="12"/>
  <c r="Q156" i="12"/>
  <c r="O157" i="12"/>
  <c r="Q157" i="12"/>
  <c r="O158" i="12"/>
  <c r="Q158" i="12"/>
  <c r="O159" i="12"/>
  <c r="Q159" i="12"/>
  <c r="O160" i="12"/>
  <c r="Q160" i="12"/>
  <c r="O161" i="12"/>
  <c r="Q161" i="12"/>
  <c r="O162" i="12"/>
  <c r="Q162" i="12"/>
  <c r="O163" i="12"/>
  <c r="Q163" i="12"/>
  <c r="O164" i="12"/>
  <c r="Q164" i="12"/>
  <c r="O165" i="12"/>
  <c r="Q165" i="12"/>
  <c r="O166" i="12"/>
  <c r="Q166" i="12"/>
  <c r="O167" i="12"/>
  <c r="Q167" i="12"/>
  <c r="O168" i="12"/>
  <c r="Q168" i="12"/>
  <c r="O169" i="12"/>
  <c r="Q169" i="12"/>
  <c r="O170" i="12"/>
  <c r="Q170" i="12"/>
  <c r="O171" i="12"/>
  <c r="Q171" i="12"/>
  <c r="O172" i="12"/>
  <c r="Q172" i="12"/>
  <c r="O173" i="12"/>
  <c r="Q173" i="12"/>
  <c r="O174" i="12"/>
  <c r="Q174" i="12"/>
  <c r="O175" i="12"/>
  <c r="Q175" i="12"/>
  <c r="O176" i="12"/>
  <c r="Q176" i="12"/>
  <c r="O177" i="12"/>
  <c r="Q177" i="12"/>
  <c r="O178" i="12"/>
  <c r="Q178" i="12"/>
  <c r="O179" i="12"/>
  <c r="Q179" i="12"/>
  <c r="O180" i="12"/>
  <c r="Q180" i="12"/>
  <c r="O181" i="12"/>
  <c r="Q181" i="12"/>
  <c r="O182" i="12"/>
  <c r="Q182" i="12"/>
  <c r="O183" i="12"/>
  <c r="Q183" i="12"/>
  <c r="O184" i="12"/>
  <c r="Q184" i="12"/>
  <c r="O185" i="12"/>
  <c r="Q185" i="12"/>
  <c r="O186" i="12"/>
  <c r="Q186" i="12"/>
  <c r="O187" i="12"/>
  <c r="Q187" i="12"/>
  <c r="O188" i="12"/>
  <c r="Q188" i="12"/>
  <c r="O189" i="12"/>
  <c r="Q189" i="12"/>
  <c r="O190" i="12"/>
  <c r="Q190" i="12"/>
  <c r="O191" i="12"/>
  <c r="Q191" i="12"/>
  <c r="O192" i="12"/>
  <c r="Q192" i="12"/>
  <c r="O193" i="12"/>
  <c r="Q193" i="12"/>
  <c r="O194" i="12"/>
  <c r="Q194" i="12"/>
  <c r="O195" i="12"/>
  <c r="Q195" i="12"/>
  <c r="O196" i="12"/>
  <c r="Q196" i="12"/>
  <c r="O197" i="12"/>
  <c r="Q197" i="12"/>
  <c r="O198" i="12"/>
  <c r="Q198" i="12"/>
  <c r="O199" i="12"/>
  <c r="Q199" i="12"/>
  <c r="O200" i="12"/>
  <c r="Q200" i="12"/>
  <c r="O201" i="12"/>
  <c r="Q201" i="12"/>
  <c r="O202" i="12"/>
  <c r="Q202" i="12"/>
  <c r="O203" i="12"/>
  <c r="Q203" i="12"/>
  <c r="O204" i="12"/>
  <c r="Q204" i="12"/>
  <c r="O205" i="12"/>
  <c r="Q205" i="12"/>
  <c r="O206" i="12"/>
  <c r="Q206" i="12"/>
  <c r="O207" i="12"/>
  <c r="Q207" i="12"/>
  <c r="O208" i="12"/>
  <c r="Q208" i="12"/>
  <c r="O209" i="12"/>
  <c r="Q209" i="12"/>
  <c r="O210" i="12"/>
  <c r="Q210" i="12"/>
  <c r="O211" i="12"/>
  <c r="Q211" i="12"/>
  <c r="O212" i="12"/>
  <c r="Q212" i="12"/>
  <c r="O213" i="12"/>
  <c r="Q213" i="12"/>
  <c r="O214" i="12"/>
  <c r="Q214" i="12"/>
  <c r="O215" i="12"/>
  <c r="Q215" i="12"/>
  <c r="O216" i="12"/>
  <c r="Q216" i="12"/>
  <c r="O217" i="12"/>
  <c r="Q217" i="12"/>
  <c r="O218" i="12"/>
  <c r="Q218" i="12"/>
  <c r="O219" i="12"/>
  <c r="Q219" i="12"/>
  <c r="O220" i="12"/>
  <c r="Q220" i="12"/>
  <c r="O221" i="12"/>
  <c r="Q221" i="12"/>
  <c r="O222" i="12"/>
  <c r="Q222" i="12"/>
  <c r="O223" i="12"/>
  <c r="Q223" i="12"/>
  <c r="O224" i="12"/>
  <c r="Q224" i="12"/>
  <c r="O225" i="12"/>
  <c r="Q225" i="12"/>
  <c r="O226" i="12"/>
  <c r="Q226" i="12"/>
  <c r="O227" i="12"/>
  <c r="Q227" i="12"/>
  <c r="O228" i="12"/>
  <c r="Q228" i="12"/>
  <c r="O229" i="12"/>
  <c r="Q229" i="12"/>
  <c r="O230" i="12"/>
  <c r="Q230" i="12"/>
  <c r="O231" i="12"/>
  <c r="Q231" i="12"/>
  <c r="O232" i="12"/>
  <c r="Q232" i="12"/>
  <c r="O233" i="12"/>
  <c r="Q233" i="12"/>
  <c r="O234" i="12"/>
  <c r="Q234" i="12"/>
  <c r="O235" i="12"/>
  <c r="Q235" i="12"/>
  <c r="O236" i="12"/>
  <c r="Q236" i="12"/>
  <c r="O237" i="12"/>
  <c r="Q237" i="12"/>
  <c r="O238" i="12"/>
  <c r="Q238" i="12"/>
  <c r="O239" i="12"/>
  <c r="Q239" i="12"/>
  <c r="O240" i="12"/>
  <c r="Q240" i="12"/>
  <c r="O241" i="12"/>
  <c r="Q241" i="12"/>
  <c r="O242" i="12"/>
  <c r="Q242" i="12"/>
  <c r="O243" i="12"/>
  <c r="Q243" i="12"/>
  <c r="O244" i="12"/>
  <c r="Q244" i="12"/>
  <c r="O245" i="12"/>
  <c r="Q245" i="12"/>
  <c r="O246" i="12"/>
  <c r="Q246" i="12"/>
  <c r="O247" i="12"/>
  <c r="Q247" i="12"/>
  <c r="O248" i="12"/>
  <c r="Q248" i="12"/>
  <c r="O249" i="12"/>
  <c r="Q249" i="12"/>
  <c r="O250" i="12"/>
  <c r="Q250" i="12"/>
  <c r="O251" i="12"/>
  <c r="Q251" i="12"/>
  <c r="O252" i="12"/>
  <c r="Q252" i="12"/>
  <c r="O253" i="12"/>
  <c r="Q253" i="12"/>
  <c r="O254" i="12"/>
  <c r="Q254" i="12"/>
  <c r="O255" i="12"/>
  <c r="Q255" i="12"/>
  <c r="O256" i="12"/>
  <c r="Q256" i="12"/>
  <c r="O257" i="12"/>
  <c r="Q257" i="12"/>
  <c r="O258" i="12"/>
  <c r="Q258" i="12"/>
  <c r="O259" i="12"/>
  <c r="Q259" i="12"/>
  <c r="O260" i="12"/>
  <c r="Q260" i="12"/>
  <c r="O261" i="12"/>
  <c r="Q261" i="12"/>
  <c r="O262" i="12"/>
  <c r="Q262" i="12"/>
  <c r="O263" i="12"/>
  <c r="Q263" i="12"/>
  <c r="O264" i="12"/>
  <c r="Q264" i="12"/>
  <c r="O265" i="12"/>
  <c r="Q265" i="12"/>
  <c r="O266" i="12"/>
  <c r="Q266" i="12"/>
  <c r="O267" i="12"/>
  <c r="Q267" i="12"/>
  <c r="O268" i="12"/>
  <c r="Q268" i="12"/>
  <c r="O269" i="12"/>
  <c r="Q269" i="12"/>
  <c r="O270" i="12"/>
  <c r="Q270" i="12"/>
  <c r="O271" i="12"/>
  <c r="Q271" i="12"/>
  <c r="O272" i="12"/>
  <c r="Q272" i="12"/>
  <c r="O273" i="12"/>
  <c r="Q273" i="12"/>
  <c r="O274" i="12"/>
  <c r="Q274" i="12"/>
  <c r="O275" i="12"/>
  <c r="Q275" i="12"/>
  <c r="O276" i="12"/>
  <c r="Q276" i="12"/>
  <c r="O277" i="12"/>
  <c r="Q277" i="12"/>
  <c r="O278" i="12"/>
  <c r="Q278" i="12"/>
  <c r="O279" i="12"/>
  <c r="Q279" i="12"/>
  <c r="O280" i="12"/>
  <c r="Q280" i="12"/>
  <c r="O281" i="12"/>
  <c r="Q281" i="12"/>
  <c r="O282" i="12"/>
  <c r="Q282" i="12"/>
  <c r="O283" i="12"/>
  <c r="Q283" i="12"/>
  <c r="O284" i="12"/>
  <c r="Q284" i="12"/>
  <c r="O285" i="12"/>
  <c r="Q285" i="12"/>
  <c r="O286" i="12"/>
  <c r="Q286" i="12"/>
  <c r="O287" i="12"/>
  <c r="Q287" i="12"/>
  <c r="O288" i="12"/>
  <c r="Q288" i="12"/>
  <c r="O289" i="12"/>
  <c r="Q289" i="12"/>
  <c r="O290" i="12"/>
  <c r="Q290" i="12"/>
  <c r="O291" i="12"/>
  <c r="Q291" i="12"/>
  <c r="O292" i="12"/>
  <c r="Q292" i="12"/>
  <c r="O293" i="12"/>
  <c r="Q293" i="12"/>
  <c r="O294" i="12"/>
  <c r="Q294" i="12"/>
  <c r="O295" i="12"/>
  <c r="Q295" i="12"/>
  <c r="O296" i="12"/>
  <c r="Q296" i="12"/>
  <c r="O297" i="12"/>
  <c r="Q297" i="12"/>
  <c r="O298" i="12"/>
  <c r="Q298" i="12"/>
  <c r="O299" i="12"/>
  <c r="Q299" i="12"/>
  <c r="O300" i="12"/>
  <c r="Q300" i="12"/>
  <c r="O301" i="12"/>
  <c r="Q301" i="12"/>
  <c r="O302" i="12"/>
  <c r="Q302" i="12"/>
  <c r="O303" i="12"/>
  <c r="Q303" i="12"/>
  <c r="O304" i="12"/>
  <c r="Q304" i="12"/>
  <c r="O305" i="12"/>
  <c r="Q305" i="12"/>
  <c r="O306" i="12"/>
  <c r="Q306" i="12"/>
  <c r="O307" i="12"/>
  <c r="Q307" i="12"/>
  <c r="O308" i="12"/>
  <c r="Q308" i="12"/>
  <c r="O309" i="12"/>
  <c r="Q309" i="12"/>
  <c r="O310" i="12"/>
  <c r="Q310" i="12"/>
  <c r="O311" i="12"/>
  <c r="Q311" i="12"/>
  <c r="O312" i="12"/>
  <c r="Q312" i="12"/>
  <c r="O313" i="12"/>
  <c r="Q313" i="12"/>
  <c r="O314" i="12"/>
  <c r="Q314" i="12"/>
  <c r="O315" i="12"/>
  <c r="Q315" i="12"/>
  <c r="O316" i="12"/>
  <c r="Q316" i="12"/>
  <c r="O317" i="12"/>
  <c r="Q317" i="12"/>
  <c r="O318" i="12"/>
  <c r="Q318" i="12"/>
  <c r="O319" i="12"/>
  <c r="Q319" i="12"/>
  <c r="O320" i="12"/>
  <c r="Q320" i="12"/>
  <c r="O321" i="12"/>
  <c r="Q321" i="12"/>
  <c r="O322" i="12"/>
  <c r="Q322" i="12"/>
  <c r="O323" i="12"/>
  <c r="Q323" i="12"/>
  <c r="O324" i="12"/>
  <c r="Q324" i="12"/>
  <c r="O325" i="12"/>
  <c r="Q325" i="12"/>
  <c r="O326" i="12"/>
  <c r="Q326" i="12"/>
  <c r="O327" i="12"/>
  <c r="Q327" i="12"/>
  <c r="O328" i="12"/>
  <c r="Q328" i="12"/>
  <c r="O329" i="12"/>
  <c r="Q329" i="12"/>
  <c r="O330" i="12"/>
  <c r="Q330" i="12"/>
  <c r="O331" i="12"/>
  <c r="Q331" i="12"/>
  <c r="O332" i="12"/>
  <c r="Q332" i="12"/>
  <c r="O333" i="12"/>
  <c r="Q333" i="12"/>
  <c r="O334" i="12"/>
  <c r="Q334" i="12"/>
  <c r="O335" i="12"/>
  <c r="Q335" i="12"/>
  <c r="O336" i="12"/>
  <c r="Q336" i="12"/>
  <c r="O337" i="12"/>
  <c r="Q337" i="12"/>
  <c r="O338" i="12"/>
  <c r="Q338" i="12"/>
  <c r="O339" i="12"/>
  <c r="Q339" i="12"/>
  <c r="O340" i="12"/>
  <c r="Q340" i="12"/>
  <c r="O341" i="12"/>
  <c r="Q341" i="12"/>
  <c r="O342" i="12"/>
  <c r="Q342" i="12"/>
  <c r="O343" i="12"/>
  <c r="Q343" i="12"/>
  <c r="O344" i="12"/>
  <c r="Q344" i="12"/>
  <c r="O345" i="12"/>
  <c r="Q345" i="12"/>
  <c r="O346" i="12"/>
  <c r="Q346" i="12"/>
  <c r="O347" i="12"/>
  <c r="Q347" i="12"/>
  <c r="O348" i="12"/>
  <c r="Q348" i="12"/>
  <c r="O349" i="12"/>
  <c r="Q349" i="12"/>
  <c r="O350" i="12"/>
  <c r="Q350" i="12"/>
  <c r="O351" i="12"/>
  <c r="Q351" i="12"/>
  <c r="O352" i="12"/>
  <c r="Q352" i="12"/>
  <c r="O353" i="12"/>
  <c r="Q353" i="12"/>
  <c r="O354" i="12"/>
  <c r="Q354" i="12"/>
  <c r="O355" i="12"/>
  <c r="Q355" i="12"/>
  <c r="O356" i="12"/>
  <c r="Q356" i="12"/>
  <c r="O357" i="12"/>
  <c r="Q357" i="12"/>
  <c r="O358" i="12"/>
  <c r="Q358" i="12"/>
  <c r="O359" i="12"/>
  <c r="Q359" i="12"/>
  <c r="O360" i="12"/>
  <c r="Q360" i="12"/>
  <c r="O361" i="12"/>
  <c r="Q361" i="12"/>
  <c r="O362" i="12"/>
  <c r="Q362" i="12"/>
  <c r="O363" i="12"/>
  <c r="Q363" i="12"/>
  <c r="O364" i="12"/>
  <c r="Q364" i="12"/>
  <c r="O365" i="12"/>
  <c r="Q365" i="12"/>
  <c r="O366" i="12"/>
  <c r="Q366" i="12"/>
  <c r="O367" i="12"/>
  <c r="Q367" i="12"/>
  <c r="O368" i="12"/>
  <c r="Q368" i="12"/>
  <c r="O369" i="12"/>
  <c r="Q369" i="12"/>
  <c r="O370" i="12"/>
  <c r="Q370" i="12"/>
  <c r="O371" i="12"/>
  <c r="Q371" i="12"/>
  <c r="O372" i="12"/>
  <c r="Q372" i="12"/>
  <c r="O373" i="12"/>
  <c r="Q373" i="12"/>
  <c r="O374" i="12"/>
  <c r="Q374" i="12"/>
  <c r="O375" i="12"/>
  <c r="Q375" i="12"/>
  <c r="O376" i="12"/>
  <c r="Q376" i="12"/>
  <c r="O377" i="12"/>
  <c r="Q377" i="12"/>
  <c r="O378" i="12"/>
  <c r="Q378" i="12"/>
  <c r="O379" i="12"/>
  <c r="Q379" i="12"/>
  <c r="O380" i="12"/>
  <c r="Q380" i="12"/>
  <c r="O381" i="12"/>
  <c r="Q381" i="12"/>
  <c r="O382" i="12"/>
  <c r="Q382" i="12"/>
  <c r="O383" i="12"/>
  <c r="Q383" i="12"/>
  <c r="O384" i="12"/>
  <c r="Q384" i="12"/>
  <c r="O385" i="12"/>
  <c r="Q385" i="12"/>
  <c r="O386" i="12"/>
  <c r="Q386" i="12"/>
  <c r="O387" i="12"/>
  <c r="Q387" i="12"/>
  <c r="O388" i="12"/>
  <c r="Q388" i="12"/>
  <c r="O389" i="12"/>
  <c r="Q389" i="12"/>
  <c r="O390" i="12"/>
  <c r="Q390" i="12"/>
  <c r="O391" i="12"/>
  <c r="Q391" i="12"/>
  <c r="O392" i="12"/>
  <c r="Q392" i="12"/>
  <c r="O393" i="12"/>
  <c r="Q393" i="12"/>
  <c r="O394" i="12"/>
  <c r="Q394" i="12"/>
  <c r="O395" i="12"/>
  <c r="Q395" i="12"/>
  <c r="O396" i="12"/>
  <c r="Q396" i="12"/>
  <c r="O397" i="12"/>
  <c r="Q397" i="12"/>
  <c r="O398" i="12"/>
  <c r="Q398" i="12"/>
  <c r="O399" i="12"/>
  <c r="Q399" i="12"/>
  <c r="O400" i="12"/>
  <c r="Q400" i="12"/>
  <c r="O401" i="12"/>
  <c r="Q401" i="12"/>
  <c r="O402" i="12"/>
  <c r="Q402" i="12"/>
  <c r="O403" i="12"/>
  <c r="Q403" i="12"/>
  <c r="O404" i="12"/>
  <c r="Q404" i="12"/>
  <c r="O405" i="12"/>
  <c r="Q405" i="12"/>
  <c r="O406" i="12"/>
  <c r="Q406" i="12"/>
  <c r="O407" i="12"/>
  <c r="Q407" i="12"/>
  <c r="O408" i="12"/>
  <c r="Q408" i="12"/>
  <c r="O409" i="12"/>
  <c r="Q409" i="12"/>
  <c r="O410" i="12"/>
  <c r="Q410" i="12"/>
  <c r="O411" i="12"/>
  <c r="Q411" i="12"/>
  <c r="O412" i="12"/>
  <c r="Q412" i="12"/>
  <c r="O413" i="12"/>
  <c r="Q413" i="12"/>
  <c r="O414" i="12"/>
  <c r="Q414" i="12"/>
  <c r="O415" i="12"/>
  <c r="Q415" i="12"/>
  <c r="O416" i="12"/>
  <c r="Q416" i="12"/>
  <c r="O417" i="12"/>
  <c r="Q417" i="12"/>
  <c r="O418" i="12"/>
  <c r="Q418" i="12"/>
  <c r="O419" i="12"/>
  <c r="Q419" i="12"/>
  <c r="O420" i="12"/>
  <c r="Q420" i="12"/>
  <c r="O421" i="12"/>
  <c r="Q421" i="12"/>
  <c r="O422" i="12"/>
  <c r="Q422" i="12"/>
  <c r="O423" i="12"/>
  <c r="Q423" i="12"/>
  <c r="O424" i="12"/>
  <c r="Q424" i="12"/>
  <c r="O425" i="12"/>
  <c r="Q425" i="12"/>
  <c r="O426" i="12"/>
  <c r="Q426" i="12"/>
  <c r="O427" i="12"/>
  <c r="Q427" i="12"/>
  <c r="O428" i="12"/>
  <c r="Q428" i="12"/>
  <c r="O429" i="12"/>
  <c r="Q429" i="12"/>
  <c r="O430" i="12"/>
  <c r="Q430" i="12"/>
  <c r="O431" i="12"/>
  <c r="Q431" i="12"/>
  <c r="O432" i="12"/>
  <c r="Q432" i="12"/>
  <c r="O433" i="12"/>
  <c r="Q433" i="12"/>
  <c r="O434" i="12"/>
  <c r="Q434" i="12"/>
  <c r="O435" i="12"/>
  <c r="Q435" i="12"/>
  <c r="O436" i="12"/>
  <c r="Q436" i="12"/>
  <c r="O437" i="12"/>
  <c r="Q437" i="12"/>
  <c r="O438" i="12"/>
  <c r="Q438" i="12"/>
  <c r="O439" i="12"/>
  <c r="Q439" i="12"/>
  <c r="O440" i="12"/>
  <c r="Q440" i="12"/>
  <c r="O441" i="12"/>
  <c r="Q441" i="12"/>
  <c r="O442" i="12"/>
  <c r="Q442" i="12"/>
  <c r="O443" i="12"/>
  <c r="Q443" i="12"/>
  <c r="O444" i="12"/>
  <c r="Q444" i="12"/>
  <c r="O445" i="12"/>
  <c r="Q445" i="12"/>
  <c r="O446" i="12"/>
  <c r="Q446" i="12"/>
  <c r="O447" i="12"/>
  <c r="Q447" i="12"/>
  <c r="O448" i="12"/>
  <c r="Q448" i="12"/>
  <c r="O449" i="12"/>
  <c r="Q449" i="12"/>
  <c r="O450" i="12"/>
  <c r="Q450" i="12"/>
  <c r="O451" i="12"/>
  <c r="Q451" i="12"/>
  <c r="O452" i="12"/>
  <c r="Q452" i="12"/>
  <c r="O453" i="12"/>
  <c r="Q453" i="12"/>
  <c r="O454" i="12"/>
  <c r="Q454" i="12"/>
  <c r="O455" i="12"/>
  <c r="Q455" i="12"/>
  <c r="O456" i="12"/>
  <c r="Q456" i="12"/>
  <c r="O457" i="12"/>
  <c r="Q457" i="12"/>
  <c r="O458" i="12"/>
  <c r="Q458" i="12"/>
  <c r="O459" i="12"/>
  <c r="Q459" i="12"/>
  <c r="O460" i="12"/>
  <c r="Q460" i="12"/>
  <c r="O461" i="12"/>
  <c r="Q461" i="12"/>
  <c r="O462" i="12"/>
  <c r="Q462" i="12"/>
  <c r="O463" i="12"/>
  <c r="Q463" i="12"/>
  <c r="O464" i="12"/>
  <c r="Q464" i="12"/>
  <c r="O465" i="12"/>
  <c r="Q465" i="12"/>
  <c r="O466" i="12"/>
  <c r="Q466" i="12"/>
  <c r="O467" i="12"/>
  <c r="Q467" i="12"/>
  <c r="O468" i="12"/>
  <c r="Q468" i="12"/>
  <c r="O469" i="12"/>
  <c r="Q469" i="12"/>
  <c r="O470" i="12"/>
  <c r="Q470" i="12"/>
  <c r="O471" i="12"/>
  <c r="Q471" i="12"/>
  <c r="O472" i="12"/>
  <c r="Q472" i="12"/>
  <c r="O473" i="12"/>
  <c r="Q473" i="12"/>
  <c r="O474" i="12"/>
  <c r="Q474" i="12"/>
  <c r="O475" i="12"/>
  <c r="Q475" i="12"/>
  <c r="O476" i="12"/>
  <c r="Q476" i="12"/>
  <c r="O477" i="12"/>
  <c r="Q477" i="12"/>
  <c r="O478" i="12"/>
  <c r="Q478" i="12"/>
  <c r="O479" i="12"/>
  <c r="Q479" i="12"/>
  <c r="O480" i="12"/>
  <c r="Q480" i="12"/>
  <c r="O481" i="12"/>
  <c r="Q481" i="12"/>
  <c r="O482" i="12"/>
  <c r="Q482" i="12"/>
  <c r="O483" i="12"/>
  <c r="Q483" i="12"/>
  <c r="O484" i="12"/>
  <c r="Q484" i="12"/>
  <c r="O485" i="12"/>
  <c r="Q485" i="12"/>
  <c r="O486" i="12"/>
  <c r="Q486" i="12"/>
  <c r="O487" i="12"/>
  <c r="Q487" i="12"/>
  <c r="O488" i="12"/>
  <c r="Q488" i="12"/>
  <c r="O489" i="12"/>
  <c r="Q489" i="12"/>
  <c r="O490" i="12"/>
  <c r="Q490" i="12"/>
  <c r="O491" i="12"/>
  <c r="Q491" i="12"/>
  <c r="O492" i="12"/>
  <c r="Q492" i="12"/>
  <c r="O493" i="12"/>
  <c r="Q493" i="12"/>
  <c r="O494" i="12"/>
  <c r="Q494" i="12"/>
  <c r="O495" i="12"/>
  <c r="Q495" i="12"/>
  <c r="O496" i="12"/>
  <c r="Q496" i="12"/>
  <c r="O497" i="12"/>
  <c r="Q497" i="12"/>
  <c r="O498" i="12"/>
  <c r="Q498" i="12"/>
  <c r="O499" i="12"/>
  <c r="Q499" i="12"/>
  <c r="O500" i="12"/>
  <c r="Q500" i="12"/>
  <c r="O501" i="12"/>
  <c r="Q501" i="12"/>
  <c r="O502" i="12"/>
  <c r="Q502" i="12"/>
  <c r="O504" i="12"/>
  <c r="Q504" i="12"/>
  <c r="O505" i="12"/>
  <c r="Q505" i="12"/>
  <c r="O506" i="12"/>
  <c r="Q506" i="12"/>
  <c r="O507" i="12"/>
  <c r="Q507" i="12"/>
  <c r="O508" i="12"/>
  <c r="Q508" i="12"/>
  <c r="O509" i="12"/>
  <c r="Q509" i="12"/>
  <c r="O510" i="12"/>
  <c r="Q510" i="12"/>
  <c r="O511" i="12"/>
  <c r="Q511" i="12"/>
  <c r="O512" i="12"/>
  <c r="Q512" i="12"/>
  <c r="O513" i="12"/>
  <c r="Q513" i="12"/>
  <c r="O514" i="12"/>
  <c r="Q514" i="12"/>
  <c r="O515" i="12"/>
  <c r="Q515" i="12"/>
  <c r="O516" i="12"/>
  <c r="Q516" i="12"/>
  <c r="O517" i="12"/>
  <c r="Q517" i="12"/>
  <c r="O518" i="12"/>
  <c r="Q518" i="12"/>
  <c r="O519" i="12"/>
  <c r="Q519" i="12"/>
  <c r="O520" i="12"/>
  <c r="Q520" i="12"/>
  <c r="O521" i="12"/>
  <c r="Q521" i="12"/>
  <c r="O525" i="12"/>
  <c r="Q525" i="12"/>
  <c r="O526" i="12"/>
  <c r="Q526" i="12"/>
  <c r="O527" i="12"/>
  <c r="Q527" i="12"/>
  <c r="O528" i="12"/>
  <c r="Q528" i="12"/>
  <c r="O529" i="12"/>
  <c r="Q529" i="12"/>
  <c r="O530" i="12"/>
  <c r="Q530" i="12"/>
  <c r="O531" i="12"/>
  <c r="Q531" i="12"/>
  <c r="O532" i="12"/>
  <c r="Q532" i="12"/>
  <c r="O533" i="12"/>
  <c r="Q533" i="12"/>
  <c r="O534" i="12"/>
  <c r="Q534" i="12"/>
  <c r="O535" i="12"/>
  <c r="Q535" i="12"/>
  <c r="O536" i="12"/>
  <c r="Q536" i="12"/>
  <c r="O537" i="12"/>
  <c r="Q537" i="12"/>
  <c r="O538" i="12"/>
  <c r="Q538" i="12"/>
  <c r="O539" i="12"/>
  <c r="Q539" i="12"/>
  <c r="O540" i="12"/>
  <c r="Q540" i="12"/>
  <c r="O541" i="12"/>
  <c r="Q541" i="12"/>
  <c r="O542" i="12"/>
  <c r="Q542" i="12"/>
  <c r="O543" i="12"/>
  <c r="Q543" i="12"/>
  <c r="O544" i="12"/>
  <c r="Q544" i="12"/>
  <c r="O545" i="12"/>
  <c r="Q545" i="12"/>
  <c r="O546" i="12"/>
  <c r="Q546" i="12"/>
  <c r="O547" i="12"/>
  <c r="Q547" i="12"/>
  <c r="O548" i="12"/>
  <c r="Q548" i="12"/>
  <c r="O549" i="12"/>
  <c r="Q549" i="12"/>
  <c r="O550" i="12"/>
  <c r="Q550" i="12"/>
  <c r="O551" i="12"/>
  <c r="Q551" i="12"/>
  <c r="O552" i="12"/>
  <c r="Q552" i="12"/>
  <c r="O553" i="12"/>
  <c r="Q553" i="12"/>
  <c r="O554" i="12"/>
  <c r="Q554" i="12"/>
  <c r="O555" i="12"/>
  <c r="Q555" i="12"/>
  <c r="O556" i="12"/>
  <c r="Q556" i="12"/>
  <c r="O557" i="12"/>
  <c r="Q557" i="12"/>
  <c r="O558" i="12"/>
  <c r="Q558" i="12"/>
  <c r="O559" i="12"/>
  <c r="Q559" i="12"/>
  <c r="O560" i="12"/>
  <c r="Q560" i="12"/>
  <c r="O561" i="12"/>
  <c r="Q561" i="12"/>
  <c r="O562" i="12"/>
  <c r="Q562" i="12"/>
  <c r="O563" i="12"/>
  <c r="Q563" i="12"/>
  <c r="O564" i="12"/>
  <c r="Q564" i="12"/>
  <c r="O565" i="12"/>
  <c r="Q565" i="12"/>
  <c r="O566" i="12"/>
  <c r="Q566" i="12"/>
  <c r="O567" i="12"/>
  <c r="Q567" i="12"/>
  <c r="O568" i="12"/>
  <c r="Q568" i="12"/>
  <c r="O569" i="12"/>
  <c r="Q569" i="12"/>
  <c r="O570" i="12"/>
  <c r="Q570" i="12"/>
  <c r="O571" i="12"/>
  <c r="Q571" i="12"/>
  <c r="O572" i="12"/>
  <c r="Q572" i="12"/>
  <c r="O574" i="12"/>
  <c r="Q574" i="12"/>
  <c r="O575" i="12"/>
  <c r="Q575" i="12"/>
  <c r="O576" i="12"/>
  <c r="Q576" i="12"/>
  <c r="O577" i="12"/>
  <c r="Q577" i="12"/>
  <c r="O578" i="12"/>
  <c r="Q578" i="12"/>
  <c r="O579" i="12"/>
  <c r="Q579" i="12"/>
  <c r="O580" i="12"/>
  <c r="Q580" i="12"/>
  <c r="O581" i="12"/>
  <c r="Q581" i="12"/>
  <c r="O582" i="12"/>
  <c r="Q582" i="12"/>
  <c r="O583" i="12"/>
  <c r="Q583" i="12"/>
  <c r="O584" i="12"/>
  <c r="Q584" i="12"/>
  <c r="O585" i="12"/>
  <c r="Q585" i="12"/>
  <c r="O586" i="12"/>
  <c r="Q586" i="12"/>
  <c r="O587" i="12"/>
  <c r="Q587" i="12"/>
  <c r="O588" i="12"/>
  <c r="Q588" i="12"/>
  <c r="O589" i="12"/>
  <c r="Q589" i="12"/>
  <c r="O590" i="12"/>
  <c r="Q590" i="12"/>
  <c r="O591" i="12"/>
  <c r="Q591" i="12"/>
  <c r="O592" i="12"/>
  <c r="Q592" i="12"/>
  <c r="O593" i="12"/>
  <c r="Q593" i="12"/>
  <c r="O594" i="12"/>
  <c r="Q594" i="12"/>
  <c r="O595" i="12"/>
  <c r="Q595" i="12"/>
  <c r="O596" i="12"/>
  <c r="Q596" i="12"/>
  <c r="O597" i="12"/>
  <c r="Q597" i="12"/>
  <c r="O598" i="12"/>
  <c r="Q598" i="12"/>
  <c r="O599" i="12"/>
  <c r="Q599" i="12"/>
  <c r="O600" i="12"/>
  <c r="Q600" i="12"/>
  <c r="O601" i="12"/>
  <c r="Q601" i="12"/>
  <c r="O602" i="12"/>
  <c r="Q602" i="12"/>
  <c r="O603" i="12"/>
  <c r="Q603" i="12"/>
  <c r="O604" i="12"/>
  <c r="Q604" i="12"/>
  <c r="O605" i="12"/>
  <c r="Q605" i="12"/>
  <c r="O606" i="12"/>
  <c r="Q606" i="12"/>
  <c r="O607" i="12"/>
  <c r="Q607" i="12"/>
  <c r="O608" i="12"/>
  <c r="Q608" i="12"/>
  <c r="O609" i="12"/>
  <c r="Q609" i="12"/>
  <c r="O610" i="12"/>
  <c r="Q610" i="12"/>
  <c r="O611" i="12"/>
  <c r="Q611" i="12"/>
  <c r="O612" i="12"/>
  <c r="Q612" i="12"/>
  <c r="O613" i="12"/>
  <c r="Q613" i="12"/>
  <c r="O614" i="12"/>
  <c r="Q614" i="12"/>
  <c r="O615" i="12"/>
  <c r="Q615" i="12"/>
  <c r="O616" i="12"/>
  <c r="Q616" i="12"/>
  <c r="O617" i="12"/>
  <c r="Q617" i="12"/>
  <c r="O618" i="12"/>
  <c r="Q618" i="12"/>
  <c r="O619" i="12"/>
  <c r="Q619" i="12"/>
  <c r="O620" i="12"/>
  <c r="Q620" i="12"/>
  <c r="O621" i="12"/>
  <c r="Q621" i="12"/>
  <c r="O622" i="12"/>
  <c r="Q622" i="12"/>
  <c r="O623" i="12"/>
  <c r="Q623" i="12"/>
  <c r="O624" i="12"/>
  <c r="Q624" i="12"/>
  <c r="O625" i="12"/>
  <c r="Q625" i="12"/>
  <c r="O626" i="12"/>
  <c r="Q626" i="12"/>
  <c r="O627" i="12"/>
  <c r="Q627" i="12"/>
  <c r="O628" i="12"/>
  <c r="Q628" i="12"/>
  <c r="O629" i="12"/>
  <c r="Q629" i="12"/>
  <c r="O630" i="12"/>
  <c r="Q630" i="12"/>
  <c r="O631" i="12"/>
  <c r="Q631" i="12"/>
  <c r="O632" i="12"/>
  <c r="Q632" i="12"/>
  <c r="O633" i="12"/>
  <c r="Q633" i="12"/>
  <c r="O634" i="12"/>
  <c r="Q634" i="12"/>
  <c r="O635" i="12"/>
  <c r="Q635" i="12"/>
  <c r="O636" i="12"/>
  <c r="Q636" i="12"/>
  <c r="O637" i="12"/>
  <c r="Q637" i="12"/>
  <c r="O638" i="12"/>
  <c r="Q638" i="12"/>
  <c r="O639" i="12"/>
  <c r="Q639" i="12"/>
  <c r="O640" i="12"/>
  <c r="Q640" i="12"/>
  <c r="O641" i="12"/>
  <c r="Q641" i="12"/>
  <c r="O642" i="12"/>
  <c r="Q642" i="12"/>
  <c r="O643" i="12"/>
  <c r="Q643" i="12"/>
  <c r="O644" i="12"/>
  <c r="Q644" i="12"/>
  <c r="O645" i="12"/>
  <c r="Q645" i="12"/>
  <c r="O646" i="12"/>
  <c r="Q646" i="12"/>
  <c r="O647" i="12"/>
  <c r="Q647" i="12"/>
  <c r="O648" i="12"/>
  <c r="Q648" i="12"/>
  <c r="O649" i="12"/>
  <c r="Q649" i="12"/>
  <c r="O650" i="12"/>
  <c r="Q650" i="12"/>
  <c r="O651" i="12"/>
  <c r="Q651" i="12"/>
  <c r="O652" i="12"/>
  <c r="Q652" i="12"/>
  <c r="O653" i="12"/>
  <c r="Q653" i="12"/>
  <c r="O654" i="12"/>
  <c r="Q654" i="12"/>
  <c r="O655" i="12"/>
  <c r="Q655" i="12"/>
  <c r="O656" i="12"/>
  <c r="Q656" i="12"/>
  <c r="O657" i="12"/>
  <c r="Q657" i="12"/>
  <c r="O658" i="12"/>
  <c r="Q658" i="12"/>
  <c r="O659" i="12"/>
  <c r="Q659" i="12"/>
  <c r="O660" i="12"/>
  <c r="Q660" i="12"/>
  <c r="O661" i="12"/>
  <c r="Q661" i="12"/>
  <c r="O662" i="12"/>
  <c r="Q662" i="12"/>
  <c r="O663" i="12"/>
  <c r="Q663" i="12"/>
  <c r="O664" i="12"/>
  <c r="Q664" i="12"/>
  <c r="O665" i="12"/>
  <c r="Q665" i="12"/>
  <c r="O666" i="12"/>
  <c r="Q666" i="12"/>
  <c r="O667" i="12"/>
  <c r="Q667" i="12"/>
  <c r="O668" i="12"/>
  <c r="Q668" i="12"/>
  <c r="O669" i="12"/>
  <c r="Q669" i="12"/>
  <c r="O670" i="12"/>
  <c r="Q670" i="12"/>
  <c r="O671" i="12"/>
  <c r="Q671" i="12"/>
  <c r="O672" i="12"/>
  <c r="Q672" i="12"/>
  <c r="O673" i="12"/>
  <c r="Q673" i="12"/>
  <c r="O674" i="12"/>
  <c r="Q674" i="12"/>
  <c r="O675" i="12"/>
  <c r="Q675" i="12"/>
  <c r="O676" i="12"/>
  <c r="Q676" i="12"/>
  <c r="O677" i="12"/>
  <c r="Q677" i="12"/>
  <c r="O678" i="12"/>
  <c r="Q678" i="12"/>
  <c r="O679" i="12"/>
  <c r="Q679" i="12"/>
  <c r="O680" i="12"/>
  <c r="Q680" i="12"/>
  <c r="O681" i="12"/>
  <c r="Q681" i="12"/>
  <c r="O682" i="12"/>
  <c r="Q682" i="12"/>
  <c r="O683" i="12"/>
  <c r="Q683" i="12"/>
  <c r="O684" i="12"/>
  <c r="Q684" i="12"/>
  <c r="O685" i="12"/>
  <c r="Q685" i="12"/>
  <c r="O686" i="12"/>
  <c r="Q686" i="12"/>
  <c r="O687" i="12"/>
  <c r="Q687" i="12"/>
  <c r="O688" i="12"/>
  <c r="Q688" i="12"/>
  <c r="O689" i="12"/>
  <c r="Q689" i="12"/>
  <c r="O690" i="12"/>
  <c r="Q690" i="12"/>
  <c r="O691" i="12"/>
  <c r="Q691" i="12"/>
  <c r="O692" i="12"/>
  <c r="Q692" i="12"/>
  <c r="O693" i="12"/>
  <c r="Q693" i="12"/>
  <c r="O694" i="12"/>
  <c r="Q694" i="12"/>
  <c r="O695" i="12"/>
  <c r="Q695" i="12"/>
  <c r="O696" i="12"/>
  <c r="Q696" i="12"/>
  <c r="O697" i="12"/>
  <c r="Q697" i="12"/>
  <c r="O698" i="12"/>
  <c r="Q698" i="12"/>
  <c r="O699" i="12"/>
  <c r="Q699" i="12"/>
  <c r="O700" i="12"/>
  <c r="Q700" i="12"/>
  <c r="O701" i="12"/>
  <c r="Q701" i="12"/>
  <c r="O702" i="12"/>
  <c r="Q702" i="12"/>
  <c r="O703" i="12"/>
  <c r="Q703" i="12"/>
  <c r="O704" i="12"/>
  <c r="Q704" i="12"/>
  <c r="O705" i="12"/>
  <c r="Q705" i="12"/>
  <c r="O706" i="12"/>
  <c r="Q706" i="12"/>
  <c r="O707" i="12"/>
  <c r="Q707" i="12"/>
  <c r="O708" i="12"/>
  <c r="Q708" i="12"/>
  <c r="O709" i="12"/>
  <c r="Q709" i="12"/>
  <c r="O710" i="12"/>
  <c r="Q710" i="12"/>
  <c r="O711" i="12"/>
  <c r="Q711" i="12"/>
  <c r="O712" i="12"/>
  <c r="Q712" i="12"/>
  <c r="O713" i="12"/>
  <c r="Q713" i="12"/>
  <c r="O714" i="12"/>
  <c r="Q714" i="12"/>
  <c r="O715" i="12"/>
  <c r="Q715" i="12"/>
  <c r="O716" i="12"/>
  <c r="Q716" i="12"/>
  <c r="O717" i="12"/>
  <c r="Q717" i="12"/>
  <c r="O718" i="12"/>
  <c r="Q718" i="12"/>
  <c r="O719" i="12"/>
  <c r="Q719" i="12"/>
  <c r="O720" i="12"/>
  <c r="Q720" i="12"/>
  <c r="O721" i="12"/>
  <c r="Q721" i="12"/>
  <c r="O722" i="12"/>
  <c r="Q722" i="12"/>
  <c r="O723" i="12"/>
  <c r="Q723" i="12"/>
  <c r="O724" i="12"/>
  <c r="Q724" i="12"/>
  <c r="O725" i="12"/>
  <c r="Q725" i="12"/>
  <c r="O726" i="12"/>
  <c r="Q726" i="12"/>
  <c r="O727" i="12"/>
  <c r="Q727" i="12"/>
  <c r="O728" i="12"/>
  <c r="Q728" i="12"/>
  <c r="O729" i="12"/>
  <c r="Q729" i="12"/>
  <c r="O730" i="12"/>
  <c r="Q730" i="12"/>
  <c r="O731" i="12"/>
  <c r="Q731" i="12"/>
  <c r="O732" i="12"/>
  <c r="Q732" i="12"/>
  <c r="O733" i="12"/>
  <c r="Q733" i="12"/>
  <c r="O734" i="12"/>
  <c r="Q734" i="12"/>
  <c r="O735" i="12"/>
  <c r="Q735" i="12"/>
  <c r="O736" i="12"/>
  <c r="Q736" i="12"/>
  <c r="O737" i="12"/>
  <c r="Q737" i="12"/>
  <c r="O738" i="12"/>
  <c r="Q738" i="12"/>
  <c r="O739" i="12"/>
  <c r="Q739" i="12"/>
  <c r="O740" i="12"/>
  <c r="Q740" i="12"/>
  <c r="O741" i="12"/>
  <c r="Q741" i="12"/>
  <c r="O742" i="12"/>
  <c r="Q742" i="12"/>
  <c r="O743" i="12"/>
  <c r="Q743" i="12"/>
  <c r="O744" i="12"/>
  <c r="Q744" i="12"/>
  <c r="O745" i="12"/>
  <c r="Q745" i="12"/>
  <c r="O746" i="12"/>
  <c r="Q746" i="12"/>
  <c r="O747" i="12"/>
  <c r="Q747" i="12"/>
  <c r="O748" i="12"/>
  <c r="Q748" i="12"/>
  <c r="O749" i="12"/>
  <c r="Q749" i="12"/>
  <c r="O750" i="12"/>
  <c r="Q750" i="12"/>
  <c r="O751" i="12"/>
  <c r="Q751" i="12"/>
  <c r="O752" i="12"/>
  <c r="Q752" i="12"/>
  <c r="O753" i="12"/>
  <c r="Q753" i="12"/>
  <c r="O754" i="12"/>
  <c r="Q754" i="12"/>
  <c r="O755" i="12"/>
  <c r="Q755" i="12"/>
  <c r="O756" i="12"/>
  <c r="Q756" i="12"/>
  <c r="O757" i="12"/>
  <c r="Q757" i="12"/>
  <c r="O758" i="12"/>
  <c r="Q758" i="12"/>
  <c r="O759" i="12"/>
  <c r="Q759" i="12"/>
  <c r="O760" i="12"/>
  <c r="Q760" i="12"/>
  <c r="O761" i="12"/>
  <c r="Q761" i="12"/>
  <c r="O762" i="12"/>
  <c r="Q762" i="12"/>
  <c r="O763" i="12"/>
  <c r="Q763" i="12"/>
  <c r="O764" i="12"/>
  <c r="Q764" i="12"/>
  <c r="O765" i="12"/>
  <c r="Q765" i="12"/>
  <c r="O766" i="12"/>
  <c r="Q766" i="12"/>
  <c r="O767" i="12"/>
  <c r="Q767" i="12"/>
  <c r="O768" i="12"/>
  <c r="Q768" i="12"/>
  <c r="O769" i="12"/>
  <c r="Q769" i="12"/>
  <c r="O770" i="12"/>
  <c r="Q770" i="12"/>
  <c r="O771" i="12"/>
  <c r="Q771" i="12"/>
  <c r="O772" i="12"/>
  <c r="Q772" i="12"/>
  <c r="O773" i="12"/>
  <c r="Q773" i="12"/>
  <c r="O774" i="12"/>
  <c r="Q774" i="12"/>
  <c r="O775" i="12"/>
  <c r="Q775" i="12"/>
  <c r="O776" i="12"/>
  <c r="Q776" i="12"/>
  <c r="O777" i="12"/>
  <c r="Q777" i="12"/>
  <c r="O778" i="12"/>
  <c r="Q778" i="12"/>
  <c r="O779" i="12"/>
  <c r="Q779" i="12"/>
  <c r="O780" i="12"/>
  <c r="Q780" i="12"/>
  <c r="O781" i="12"/>
  <c r="Q781" i="12"/>
  <c r="O782" i="12"/>
  <c r="Q782" i="12"/>
  <c r="O783" i="12"/>
  <c r="Q783" i="12"/>
  <c r="O784" i="12"/>
  <c r="Q784" i="12"/>
  <c r="O785" i="12"/>
  <c r="Q785" i="12"/>
  <c r="O786" i="12"/>
  <c r="Q786" i="12"/>
  <c r="O787" i="12"/>
  <c r="Q787" i="12"/>
  <c r="O788" i="12"/>
  <c r="Q788" i="12"/>
  <c r="O789" i="12"/>
  <c r="Q789" i="12"/>
  <c r="O790" i="12"/>
  <c r="Q790" i="12"/>
  <c r="O791" i="12"/>
  <c r="Q791" i="12"/>
  <c r="O792" i="12"/>
  <c r="Q792" i="12"/>
  <c r="O793" i="12"/>
  <c r="Q793" i="12"/>
  <c r="O794" i="12"/>
  <c r="Q794" i="12"/>
  <c r="O795" i="12"/>
  <c r="Q795" i="12"/>
  <c r="O796" i="12"/>
  <c r="Q796" i="12"/>
  <c r="O797" i="12"/>
  <c r="Q797" i="12"/>
  <c r="O798" i="12"/>
  <c r="Q798" i="12"/>
  <c r="O799" i="12"/>
  <c r="Q799" i="12"/>
  <c r="O800" i="12"/>
  <c r="Q800" i="12"/>
  <c r="O801" i="12"/>
  <c r="Q801" i="12"/>
  <c r="O802" i="12"/>
  <c r="Q802" i="12"/>
  <c r="O803" i="12"/>
  <c r="Q803" i="12"/>
  <c r="O804" i="12"/>
  <c r="Q804" i="12"/>
  <c r="O805" i="12"/>
  <c r="Q805" i="12"/>
  <c r="O806" i="12"/>
  <c r="Q806" i="12"/>
  <c r="O807" i="12"/>
  <c r="Q807" i="12"/>
  <c r="O808" i="12"/>
  <c r="Q808" i="12"/>
  <c r="O809" i="12"/>
  <c r="Q809" i="12"/>
  <c r="O810" i="12"/>
  <c r="Q810" i="12"/>
  <c r="O811" i="12"/>
  <c r="Q811" i="12"/>
  <c r="O812" i="12"/>
  <c r="Q812" i="12"/>
  <c r="O813" i="12"/>
  <c r="Q813" i="12"/>
  <c r="O814" i="12"/>
  <c r="Q814" i="12"/>
  <c r="O815" i="12"/>
  <c r="Q815" i="12"/>
  <c r="O816" i="12"/>
  <c r="Q816" i="12"/>
  <c r="O817" i="12"/>
  <c r="Q817" i="12"/>
  <c r="O818" i="12"/>
  <c r="Q818" i="12"/>
  <c r="O819" i="12"/>
  <c r="Q819" i="12"/>
  <c r="O820" i="12"/>
  <c r="Q820" i="12"/>
  <c r="O821" i="12"/>
  <c r="Q821" i="12"/>
  <c r="O822" i="12"/>
  <c r="Q822" i="12"/>
  <c r="O823" i="12"/>
  <c r="Q823" i="12"/>
  <c r="O824" i="12"/>
  <c r="Q824" i="12"/>
  <c r="O825" i="12"/>
  <c r="Q825" i="12"/>
  <c r="O826" i="12"/>
  <c r="Q826" i="12"/>
  <c r="O827" i="12"/>
  <c r="Q827" i="12"/>
  <c r="O828" i="12"/>
  <c r="Q828" i="12"/>
  <c r="O829" i="12"/>
  <c r="Q829" i="12"/>
  <c r="O830" i="12"/>
  <c r="Q830" i="12"/>
  <c r="O831" i="12"/>
  <c r="Q831" i="12"/>
  <c r="O832" i="12"/>
  <c r="Q832" i="12"/>
  <c r="O833" i="12"/>
  <c r="Q833" i="12"/>
  <c r="O834" i="12"/>
  <c r="Q834" i="12"/>
  <c r="O835" i="12"/>
  <c r="Q835" i="12"/>
  <c r="O836" i="12"/>
  <c r="Q836" i="12"/>
  <c r="O837" i="12"/>
  <c r="Q837" i="12"/>
  <c r="O838" i="12"/>
  <c r="Q838" i="12"/>
  <c r="O839" i="12"/>
  <c r="Q839" i="12"/>
  <c r="O840" i="12"/>
  <c r="Q840" i="12"/>
  <c r="O841" i="12"/>
  <c r="Q841" i="12"/>
  <c r="O842" i="12"/>
  <c r="Q842" i="12"/>
  <c r="O843" i="12"/>
  <c r="Q843" i="12"/>
  <c r="N50" i="12"/>
  <c r="N51" i="12"/>
  <c r="N52" i="12"/>
  <c r="N53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2" i="12"/>
  <c r="N574" i="12"/>
  <c r="N575" i="12"/>
  <c r="N576" i="12"/>
  <c r="N577" i="12"/>
  <c r="N578" i="12"/>
  <c r="N579" i="12"/>
  <c r="N580" i="12"/>
  <c r="N581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597" i="12"/>
  <c r="N598" i="12"/>
  <c r="N599" i="12"/>
  <c r="N600" i="12"/>
  <c r="N601" i="12"/>
  <c r="N602" i="12"/>
  <c r="N603" i="12"/>
  <c r="N604" i="12"/>
  <c r="N605" i="12"/>
  <c r="N606" i="12"/>
  <c r="N607" i="12"/>
  <c r="N608" i="12"/>
  <c r="N609" i="12"/>
  <c r="N610" i="12"/>
  <c r="N611" i="12"/>
  <c r="N612" i="12"/>
  <c r="N613" i="12"/>
  <c r="N614" i="12"/>
  <c r="N615" i="12"/>
  <c r="N616" i="12"/>
  <c r="N617" i="12"/>
  <c r="N618" i="12"/>
  <c r="N619" i="12"/>
  <c r="N620" i="12"/>
  <c r="N621" i="12"/>
  <c r="N622" i="12"/>
  <c r="N623" i="12"/>
  <c r="N624" i="12"/>
  <c r="N625" i="12"/>
  <c r="N626" i="12"/>
  <c r="N627" i="12"/>
  <c r="N628" i="12"/>
  <c r="N629" i="12"/>
  <c r="N630" i="12"/>
  <c r="N631" i="12"/>
  <c r="N632" i="12"/>
  <c r="N633" i="12"/>
  <c r="N634" i="12"/>
  <c r="N635" i="12"/>
  <c r="N636" i="12"/>
  <c r="N637" i="12"/>
  <c r="N638" i="12"/>
  <c r="N639" i="12"/>
  <c r="N640" i="12"/>
  <c r="N641" i="12"/>
  <c r="N642" i="12"/>
  <c r="N643" i="12"/>
  <c r="N644" i="12"/>
  <c r="N645" i="12"/>
  <c r="N646" i="12"/>
  <c r="N647" i="12"/>
  <c r="N648" i="12"/>
  <c r="N649" i="12"/>
  <c r="N650" i="12"/>
  <c r="N651" i="12"/>
  <c r="N652" i="12"/>
  <c r="N653" i="12"/>
  <c r="N654" i="12"/>
  <c r="N655" i="12"/>
  <c r="N656" i="12"/>
  <c r="N657" i="12"/>
  <c r="N658" i="12"/>
  <c r="N659" i="12"/>
  <c r="N660" i="12"/>
  <c r="N661" i="12"/>
  <c r="N662" i="12"/>
  <c r="N663" i="12"/>
  <c r="N664" i="12"/>
  <c r="N665" i="12"/>
  <c r="N666" i="12"/>
  <c r="N667" i="12"/>
  <c r="N668" i="12"/>
  <c r="N669" i="12"/>
  <c r="N670" i="12"/>
  <c r="N671" i="12"/>
  <c r="N672" i="12"/>
  <c r="N673" i="12"/>
  <c r="N674" i="12"/>
  <c r="N675" i="12"/>
  <c r="N676" i="12"/>
  <c r="N677" i="12"/>
  <c r="N678" i="12"/>
  <c r="N679" i="12"/>
  <c r="N680" i="12"/>
  <c r="N681" i="12"/>
  <c r="N682" i="12"/>
  <c r="N683" i="12"/>
  <c r="N684" i="12"/>
  <c r="N685" i="12"/>
  <c r="N686" i="12"/>
  <c r="N687" i="12"/>
  <c r="N688" i="12"/>
  <c r="N689" i="12"/>
  <c r="N690" i="12"/>
  <c r="N691" i="12"/>
  <c r="N692" i="12"/>
  <c r="N693" i="12"/>
  <c r="N694" i="12"/>
  <c r="N695" i="12"/>
  <c r="N696" i="12"/>
  <c r="N697" i="12"/>
  <c r="N698" i="12"/>
  <c r="N699" i="12"/>
  <c r="N700" i="12"/>
  <c r="N701" i="12"/>
  <c r="N702" i="12"/>
  <c r="N703" i="12"/>
  <c r="N704" i="12"/>
  <c r="N705" i="12"/>
  <c r="N706" i="12"/>
  <c r="N707" i="12"/>
  <c r="N708" i="12"/>
  <c r="N709" i="12"/>
  <c r="N710" i="12"/>
  <c r="N711" i="12"/>
  <c r="N712" i="12"/>
  <c r="N713" i="12"/>
  <c r="N714" i="12"/>
  <c r="N715" i="12"/>
  <c r="N716" i="12"/>
  <c r="N717" i="12"/>
  <c r="N718" i="12"/>
  <c r="N719" i="12"/>
  <c r="N720" i="12"/>
  <c r="N721" i="12"/>
  <c r="N722" i="12"/>
  <c r="N723" i="12"/>
  <c r="N724" i="12"/>
  <c r="N725" i="12"/>
  <c r="N726" i="12"/>
  <c r="N727" i="12"/>
  <c r="N728" i="12"/>
  <c r="N729" i="12"/>
  <c r="N730" i="12"/>
  <c r="N731" i="12"/>
  <c r="N732" i="12"/>
  <c r="N733" i="12"/>
  <c r="N734" i="12"/>
  <c r="N735" i="12"/>
  <c r="N736" i="12"/>
  <c r="N737" i="12"/>
  <c r="N738" i="12"/>
  <c r="N739" i="12"/>
  <c r="N740" i="12"/>
  <c r="N741" i="12"/>
  <c r="N742" i="12"/>
  <c r="N743" i="12"/>
  <c r="N744" i="12"/>
  <c r="N745" i="12"/>
  <c r="N746" i="12"/>
  <c r="N747" i="12"/>
  <c r="N748" i="12"/>
  <c r="N749" i="12"/>
  <c r="N750" i="12"/>
  <c r="N751" i="12"/>
  <c r="N752" i="12"/>
  <c r="N753" i="12"/>
  <c r="N754" i="12"/>
  <c r="N755" i="12"/>
  <c r="N756" i="12"/>
  <c r="N757" i="12"/>
  <c r="N758" i="12"/>
  <c r="N759" i="12"/>
  <c r="N760" i="12"/>
  <c r="N761" i="12"/>
  <c r="N762" i="12"/>
  <c r="N763" i="12"/>
  <c r="N764" i="12"/>
  <c r="N765" i="12"/>
  <c r="N766" i="12"/>
  <c r="N767" i="12"/>
  <c r="N768" i="12"/>
  <c r="N769" i="12"/>
  <c r="N770" i="12"/>
  <c r="N771" i="12"/>
  <c r="N772" i="12"/>
  <c r="N773" i="12"/>
  <c r="N774" i="12"/>
  <c r="N775" i="12"/>
  <c r="N776" i="12"/>
  <c r="N777" i="12"/>
  <c r="N778" i="12"/>
  <c r="N779" i="12"/>
  <c r="N780" i="12"/>
  <c r="N781" i="12"/>
  <c r="N782" i="12"/>
  <c r="N783" i="12"/>
  <c r="N784" i="12"/>
  <c r="N785" i="12"/>
  <c r="N791" i="12"/>
  <c r="N792" i="12"/>
  <c r="N793" i="12"/>
  <c r="N794" i="12"/>
  <c r="N795" i="12"/>
  <c r="N796" i="12"/>
  <c r="N797" i="12"/>
  <c r="N798" i="12"/>
  <c r="N799" i="12"/>
  <c r="N800" i="12"/>
  <c r="N801" i="12"/>
  <c r="N802" i="12"/>
  <c r="N803" i="12"/>
  <c r="N804" i="12"/>
  <c r="N805" i="12"/>
  <c r="N806" i="12"/>
  <c r="N807" i="12"/>
  <c r="N808" i="12"/>
  <c r="N809" i="12"/>
  <c r="N810" i="12"/>
  <c r="N811" i="12"/>
  <c r="N812" i="12"/>
  <c r="N813" i="12"/>
  <c r="N814" i="12"/>
  <c r="N815" i="12"/>
  <c r="N816" i="12"/>
  <c r="N817" i="12"/>
  <c r="N818" i="12"/>
  <c r="N819" i="12"/>
  <c r="N820" i="12"/>
  <c r="N821" i="12"/>
  <c r="N822" i="12"/>
  <c r="N823" i="12"/>
  <c r="N824" i="12"/>
  <c r="N825" i="12"/>
  <c r="N826" i="12"/>
  <c r="N827" i="12"/>
  <c r="N828" i="12"/>
  <c r="N829" i="12"/>
  <c r="N830" i="12"/>
  <c r="N831" i="12"/>
  <c r="N832" i="12"/>
  <c r="N833" i="12"/>
  <c r="N834" i="12"/>
  <c r="N835" i="12"/>
  <c r="N836" i="12"/>
  <c r="N837" i="12"/>
  <c r="N838" i="12"/>
  <c r="N839" i="12"/>
  <c r="N840" i="12"/>
  <c r="L51" i="12"/>
  <c r="L52" i="12"/>
  <c r="L53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50" i="12"/>
  <c r="H52" i="12"/>
  <c r="AD607" i="12" l="1"/>
  <c r="AD606" i="12"/>
  <c r="AD605" i="12"/>
  <c r="AD604" i="12"/>
  <c r="AD603" i="12"/>
  <c r="AD602" i="12"/>
  <c r="AD601" i="12"/>
  <c r="AD600" i="12"/>
  <c r="AD599" i="12"/>
  <c r="AD598" i="12"/>
  <c r="AD597" i="12"/>
  <c r="AD596" i="12"/>
  <c r="AD595" i="12"/>
  <c r="AD594" i="12"/>
  <c r="AD593" i="12"/>
  <c r="AD592" i="12"/>
  <c r="AD591" i="12"/>
  <c r="AD590" i="12"/>
  <c r="AD589" i="12"/>
  <c r="AD588" i="12"/>
  <c r="AD587" i="12"/>
  <c r="AD586" i="12"/>
  <c r="AD585" i="12"/>
  <c r="AD584" i="12"/>
  <c r="AD583" i="12"/>
  <c r="AD582" i="12"/>
  <c r="AD581" i="12"/>
  <c r="AD580" i="12"/>
  <c r="AD579" i="12"/>
  <c r="AD578" i="12"/>
  <c r="AD577" i="12"/>
  <c r="AD576" i="12"/>
  <c r="AD575" i="12"/>
  <c r="AD324" i="12"/>
  <c r="AD323" i="12"/>
  <c r="AD322" i="12"/>
  <c r="AD321" i="12"/>
  <c r="AD320" i="12"/>
  <c r="AD319" i="12"/>
  <c r="AD318" i="12"/>
  <c r="AD317" i="12"/>
  <c r="AD316" i="12"/>
  <c r="AD315" i="12"/>
  <c r="AD314" i="12"/>
  <c r="AD313" i="12"/>
  <c r="AD312" i="12"/>
  <c r="AD311" i="12"/>
  <c r="AD310" i="12"/>
  <c r="AD309" i="12"/>
  <c r="AD308" i="12"/>
  <c r="AD307" i="12"/>
  <c r="AD306" i="12"/>
  <c r="AD305" i="12"/>
  <c r="AD304" i="12"/>
  <c r="AD303" i="12"/>
  <c r="AD302" i="12"/>
  <c r="AD301" i="12"/>
  <c r="AD300" i="12"/>
  <c r="AD501" i="12"/>
  <c r="AD500" i="12"/>
  <c r="AD499" i="12"/>
  <c r="AD498" i="12"/>
  <c r="AD497" i="12"/>
  <c r="AD496" i="12"/>
  <c r="AD495" i="12"/>
  <c r="AD494" i="12"/>
  <c r="AD493" i="12"/>
  <c r="AD492" i="12"/>
  <c r="AD491" i="12"/>
  <c r="AD490" i="12"/>
  <c r="AD489" i="12"/>
  <c r="AD488" i="12"/>
  <c r="AD487" i="12"/>
  <c r="AD486" i="12"/>
  <c r="AD485" i="12"/>
  <c r="AD484" i="12"/>
  <c r="AD298" i="12"/>
  <c r="AD297" i="12"/>
  <c r="AD296" i="12"/>
  <c r="AD295" i="12"/>
  <c r="AD294" i="12"/>
  <c r="AD293" i="12"/>
  <c r="AD292" i="12"/>
  <c r="AD291" i="12"/>
  <c r="AD290" i="12"/>
  <c r="AD289" i="12"/>
  <c r="AD288" i="12"/>
  <c r="AD287" i="12"/>
  <c r="AD286" i="12"/>
  <c r="AD285" i="12"/>
  <c r="AD284" i="12"/>
  <c r="AD283" i="12"/>
  <c r="AD282" i="12"/>
  <c r="AD281" i="12"/>
  <c r="H468" i="12"/>
  <c r="AD482" i="12"/>
  <c r="AD481" i="12"/>
  <c r="AD480" i="12"/>
  <c r="AD479" i="12"/>
  <c r="AD478" i="12"/>
  <c r="AD477" i="12"/>
  <c r="AD476" i="12"/>
  <c r="AD475" i="12"/>
  <c r="AD474" i="12"/>
  <c r="AD473" i="12"/>
  <c r="AD472" i="12"/>
  <c r="AD471" i="12"/>
  <c r="AD470" i="12"/>
  <c r="AD469" i="12"/>
  <c r="AD468" i="12"/>
  <c r="AD467" i="12"/>
  <c r="AD466" i="12"/>
  <c r="AD465" i="12"/>
  <c r="AD464" i="12"/>
  <c r="AD463" i="12"/>
  <c r="AD462" i="12"/>
  <c r="AD461" i="12"/>
  <c r="AD460" i="12"/>
  <c r="AD459" i="12"/>
  <c r="AD458" i="12"/>
  <c r="AD457" i="12"/>
  <c r="AD456" i="12"/>
  <c r="AD455" i="12"/>
  <c r="AD454" i="12"/>
  <c r="AD453" i="12"/>
  <c r="AD452" i="12"/>
  <c r="AD451" i="12"/>
  <c r="AD450" i="12"/>
  <c r="AD449" i="12"/>
  <c r="AD448" i="12"/>
  <c r="AD446" i="12"/>
  <c r="AD445" i="12"/>
  <c r="AD444" i="12"/>
  <c r="AD443" i="12"/>
  <c r="AD442" i="12"/>
  <c r="AD441" i="12"/>
  <c r="AD440" i="12"/>
  <c r="AD439" i="12"/>
  <c r="AD438" i="12"/>
  <c r="AD437" i="12"/>
  <c r="AD436" i="12"/>
  <c r="AD435" i="12"/>
  <c r="AD434" i="12"/>
  <c r="AD433" i="12"/>
  <c r="AD432" i="12"/>
  <c r="AD431" i="12"/>
  <c r="AD430" i="12"/>
  <c r="AD429" i="12"/>
  <c r="AD428" i="12"/>
  <c r="AN199" i="12"/>
  <c r="AO199" i="12" s="1"/>
  <c r="AM199" i="12"/>
  <c r="AD199" i="12"/>
  <c r="AN198" i="12"/>
  <c r="AO198" i="12" s="1"/>
  <c r="AM198" i="12"/>
  <c r="AD198" i="12"/>
  <c r="AN197" i="12"/>
  <c r="AO197" i="12" s="1"/>
  <c r="AM197" i="12"/>
  <c r="AD197" i="12"/>
  <c r="AN196" i="12"/>
  <c r="AO196" i="12" s="1"/>
  <c r="AM196" i="12"/>
  <c r="AD196" i="12"/>
  <c r="AN195" i="12"/>
  <c r="AO195" i="12" s="1"/>
  <c r="AM195" i="12"/>
  <c r="AD195" i="12"/>
  <c r="X233" i="12"/>
  <c r="X232" i="12"/>
  <c r="X231" i="12"/>
  <c r="X230" i="12"/>
  <c r="X229" i="12"/>
  <c r="X228" i="12"/>
  <c r="X227" i="12"/>
  <c r="AM20" i="12" l="1"/>
  <c r="AD20" i="12"/>
  <c r="AM19" i="12"/>
  <c r="AD19" i="12"/>
  <c r="AM18" i="12"/>
  <c r="AD18" i="12"/>
  <c r="AM17" i="12"/>
  <c r="AD17" i="12"/>
  <c r="AM16" i="12"/>
  <c r="AD16" i="12"/>
  <c r="AM15" i="12"/>
  <c r="AD15" i="12"/>
  <c r="AM14" i="12"/>
  <c r="AD14" i="12"/>
  <c r="AM13" i="12"/>
  <c r="AD13" i="12"/>
  <c r="AM12" i="12"/>
  <c r="AD12" i="12"/>
  <c r="AM11" i="12"/>
  <c r="AD11" i="12"/>
  <c r="AM10" i="12"/>
  <c r="AD10" i="12"/>
  <c r="AM9" i="12"/>
  <c r="AD9" i="12"/>
  <c r="AM8" i="12"/>
  <c r="AD8" i="12"/>
  <c r="H359" i="12"/>
  <c r="AD359" i="12"/>
  <c r="AD358" i="12"/>
  <c r="AD357" i="12"/>
  <c r="AD356" i="12"/>
  <c r="AD355" i="12"/>
  <c r="AD257" i="12"/>
  <c r="AD256" i="12"/>
  <c r="AD255" i="12"/>
  <c r="AD254" i="12"/>
  <c r="AD253" i="12"/>
  <c r="AD252" i="12"/>
  <c r="AD251" i="12"/>
  <c r="AD250" i="12"/>
  <c r="AD249" i="12"/>
  <c r="AD71" i="12"/>
  <c r="AD70" i="12"/>
  <c r="AD69" i="12"/>
  <c r="AD68" i="12"/>
  <c r="AD67" i="12"/>
  <c r="AD66" i="12"/>
  <c r="AD65" i="12"/>
  <c r="AD48" i="12"/>
  <c r="AD47" i="12"/>
  <c r="AD46" i="12"/>
  <c r="H411" i="12"/>
  <c r="H410" i="12"/>
  <c r="AN410" i="12"/>
  <c r="AO410" i="12" s="1"/>
  <c r="AM410" i="12"/>
  <c r="AD410" i="12"/>
  <c r="H92" i="12" l="1"/>
  <c r="AM88" i="12"/>
  <c r="AN75" i="12"/>
  <c r="AO75" i="12" s="1"/>
  <c r="AM75" i="12"/>
  <c r="AD75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AN89" i="12"/>
  <c r="AO89" i="12" s="1"/>
  <c r="AM89" i="12"/>
  <c r="AD89" i="12"/>
  <c r="X89" i="12"/>
  <c r="AN88" i="12"/>
  <c r="AO88" i="12" s="1"/>
  <c r="AD88" i="12"/>
  <c r="AN86" i="12"/>
  <c r="AO86" i="12" s="1"/>
  <c r="AM86" i="12"/>
  <c r="AD86" i="12"/>
  <c r="AN92" i="12" l="1"/>
  <c r="AO92" i="12" s="1"/>
  <c r="AM92" i="12"/>
  <c r="AD92" i="12"/>
  <c r="AN91" i="12"/>
  <c r="AO91" i="12" s="1"/>
  <c r="AM91" i="12"/>
  <c r="AD91" i="12"/>
  <c r="AN90" i="12"/>
  <c r="AO90" i="12" s="1"/>
  <c r="AM90" i="12"/>
  <c r="AD90" i="12"/>
  <c r="AN87" i="12"/>
  <c r="AO87" i="12" s="1"/>
  <c r="AM87" i="12"/>
  <c r="AD87" i="12"/>
  <c r="AN85" i="12"/>
  <c r="AO85" i="12" s="1"/>
  <c r="AM85" i="12"/>
  <c r="AD85" i="12"/>
  <c r="AN84" i="12"/>
  <c r="AO84" i="12" s="1"/>
  <c r="AM84" i="12"/>
  <c r="AD84" i="12"/>
  <c r="AN83" i="12"/>
  <c r="AO83" i="12" s="1"/>
  <c r="AM83" i="12"/>
  <c r="AD83" i="12"/>
  <c r="AN82" i="12"/>
  <c r="AO82" i="12" s="1"/>
  <c r="AM82" i="12"/>
  <c r="AD82" i="12"/>
  <c r="AN81" i="12"/>
  <c r="AO81" i="12" s="1"/>
  <c r="AM81" i="12"/>
  <c r="AD81" i="12"/>
  <c r="AN80" i="12"/>
  <c r="AO80" i="12" s="1"/>
  <c r="AM80" i="12"/>
  <c r="AD80" i="12"/>
  <c r="AN79" i="12"/>
  <c r="AO79" i="12" s="1"/>
  <c r="AM79" i="12"/>
  <c r="AD79" i="12"/>
  <c r="AN78" i="12"/>
  <c r="AO78" i="12" s="1"/>
  <c r="AM78" i="12"/>
  <c r="AD78" i="12"/>
  <c r="AN77" i="12"/>
  <c r="AO77" i="12" s="1"/>
  <c r="AM77" i="12"/>
  <c r="AD77" i="12"/>
  <c r="AN76" i="12"/>
  <c r="AO76" i="12" s="1"/>
  <c r="AM76" i="12"/>
  <c r="AD76" i="12"/>
  <c r="AN360" i="12" l="1"/>
  <c r="AO360" i="12" s="1"/>
  <c r="AD412" i="12"/>
  <c r="AD411" i="12"/>
  <c r="AD409" i="12"/>
  <c r="AD408" i="12"/>
  <c r="AD407" i="12"/>
  <c r="AD406" i="12"/>
  <c r="AD405" i="12"/>
  <c r="AD404" i="12"/>
  <c r="AD403" i="12"/>
  <c r="AD402" i="12"/>
  <c r="AD401" i="12"/>
  <c r="AD400" i="12"/>
  <c r="AD399" i="12"/>
  <c r="AD398" i="12"/>
  <c r="AD397" i="12"/>
  <c r="AD396" i="12"/>
  <c r="AD395" i="12"/>
  <c r="AD394" i="12"/>
  <c r="AD393" i="12"/>
  <c r="AD392" i="12"/>
  <c r="AD391" i="12"/>
  <c r="AD390" i="12"/>
  <c r="AD389" i="12"/>
  <c r="AD388" i="12"/>
  <c r="AD387" i="12"/>
  <c r="AD386" i="12"/>
  <c r="AD385" i="12"/>
  <c r="AD384" i="12"/>
  <c r="AD383" i="12"/>
  <c r="AD382" i="12"/>
  <c r="AD381" i="12"/>
  <c r="AD380" i="12"/>
  <c r="AD379" i="12"/>
  <c r="AD378" i="12"/>
  <c r="AD377" i="12"/>
  <c r="AD376" i="12"/>
  <c r="AD375" i="12"/>
  <c r="AD374" i="12"/>
  <c r="AD373" i="12"/>
  <c r="AD372" i="12"/>
  <c r="AD371" i="12"/>
  <c r="AD370" i="12"/>
  <c r="AD369" i="12"/>
  <c r="AD368" i="12"/>
  <c r="AD367" i="12"/>
  <c r="AD366" i="12"/>
  <c r="AD365" i="12"/>
  <c r="AD364" i="12"/>
  <c r="AD363" i="12"/>
  <c r="AD362" i="12"/>
  <c r="AD361" i="12"/>
  <c r="AN298" i="12" l="1"/>
  <c r="AO298" i="12" s="1"/>
  <c r="AM298" i="12"/>
  <c r="X298" i="12"/>
  <c r="AN541" i="12"/>
  <c r="AO541" i="12" s="1"/>
  <c r="AM541" i="12"/>
  <c r="X541" i="12"/>
  <c r="AN235" i="12" l="1"/>
  <c r="AO235" i="12" s="1"/>
  <c r="AM235" i="12"/>
  <c r="AD235" i="12"/>
  <c r="X235" i="12"/>
  <c r="AN233" i="12"/>
  <c r="AO233" i="12" s="1"/>
  <c r="AM233" i="12"/>
  <c r="AD233" i="12"/>
  <c r="AN193" i="12"/>
  <c r="AO193" i="12" s="1"/>
  <c r="AM193" i="12"/>
  <c r="AD193" i="12"/>
  <c r="AN192" i="12"/>
  <c r="AO192" i="12" s="1"/>
  <c r="AM192" i="12"/>
  <c r="AD192" i="12"/>
  <c r="AN191" i="12"/>
  <c r="AO191" i="12" s="1"/>
  <c r="AM191" i="12"/>
  <c r="AD191" i="12"/>
  <c r="AN190" i="12"/>
  <c r="AO190" i="12" s="1"/>
  <c r="AM190" i="12"/>
  <c r="AD190" i="12"/>
  <c r="H193" i="12"/>
  <c r="H192" i="12"/>
  <c r="H191" i="12"/>
  <c r="H190" i="12"/>
  <c r="AN189" i="12"/>
  <c r="AO189" i="12" s="1"/>
  <c r="AM189" i="12"/>
  <c r="AD189" i="12"/>
  <c r="H189" i="12"/>
  <c r="AN188" i="12"/>
  <c r="AO188" i="12" s="1"/>
  <c r="AM188" i="12"/>
  <c r="AD188" i="12"/>
  <c r="AN187" i="12"/>
  <c r="AO187" i="12" s="1"/>
  <c r="AM187" i="12"/>
  <c r="AD187" i="12"/>
  <c r="AN186" i="12"/>
  <c r="AO186" i="12" s="1"/>
  <c r="AM186" i="12"/>
  <c r="AD186" i="12"/>
  <c r="AN185" i="12"/>
  <c r="AO185" i="12" s="1"/>
  <c r="AM185" i="12"/>
  <c r="AD185" i="12"/>
  <c r="AN184" i="12"/>
  <c r="AO184" i="12" s="1"/>
  <c r="AM184" i="12"/>
  <c r="AD184" i="12"/>
  <c r="AN183" i="12"/>
  <c r="AO183" i="12" s="1"/>
  <c r="AM183" i="12"/>
  <c r="AD183" i="12"/>
  <c r="AN182" i="12"/>
  <c r="AO182" i="12" s="1"/>
  <c r="AM182" i="12"/>
  <c r="AD182" i="12"/>
  <c r="AN181" i="12"/>
  <c r="AO181" i="12" s="1"/>
  <c r="AM181" i="12"/>
  <c r="AD181" i="12"/>
  <c r="AN180" i="12"/>
  <c r="AO180" i="12" s="1"/>
  <c r="AM180" i="12"/>
  <c r="AD180" i="12"/>
  <c r="AN179" i="12"/>
  <c r="AO179" i="12" s="1"/>
  <c r="AM179" i="12"/>
  <c r="AD179" i="12"/>
  <c r="AN178" i="12"/>
  <c r="AO178" i="12" s="1"/>
  <c r="AM178" i="12"/>
  <c r="AD178" i="12"/>
  <c r="AN177" i="12"/>
  <c r="AO177" i="12" s="1"/>
  <c r="AM177" i="12"/>
  <c r="AD177" i="12"/>
  <c r="AN176" i="12"/>
  <c r="AO176" i="12" s="1"/>
  <c r="AM176" i="12"/>
  <c r="AD176" i="12"/>
  <c r="AN175" i="12"/>
  <c r="AO175" i="12" s="1"/>
  <c r="AM175" i="12"/>
  <c r="AD175" i="12"/>
  <c r="AN174" i="12"/>
  <c r="AO174" i="12" s="1"/>
  <c r="AM174" i="12"/>
  <c r="AD174" i="12"/>
  <c r="AN173" i="12"/>
  <c r="AO173" i="12" s="1"/>
  <c r="AM173" i="12"/>
  <c r="AD173" i="12"/>
  <c r="AN172" i="12"/>
  <c r="AO172" i="12" s="1"/>
  <c r="AM172" i="12"/>
  <c r="AD172" i="12"/>
  <c r="AN171" i="12"/>
  <c r="AO171" i="12" s="1"/>
  <c r="AM171" i="12"/>
  <c r="AD171" i="12"/>
  <c r="AN170" i="12"/>
  <c r="AO170" i="12" s="1"/>
  <c r="AM170" i="12"/>
  <c r="AD170" i="12"/>
  <c r="AN169" i="12"/>
  <c r="AO169" i="12" s="1"/>
  <c r="AM169" i="12"/>
  <c r="AD169" i="12"/>
  <c r="AN168" i="12"/>
  <c r="AO168" i="12" s="1"/>
  <c r="AM168" i="12"/>
  <c r="AD168" i="12"/>
  <c r="AN167" i="12"/>
  <c r="AO167" i="12" s="1"/>
  <c r="AM167" i="12"/>
  <c r="AD167" i="12"/>
  <c r="AN166" i="12"/>
  <c r="AO166" i="12" s="1"/>
  <c r="AM166" i="12"/>
  <c r="AD166" i="12"/>
  <c r="AN165" i="12"/>
  <c r="AO165" i="12" s="1"/>
  <c r="AM165" i="12"/>
  <c r="AD165" i="12"/>
  <c r="AN164" i="12"/>
  <c r="AO164" i="12" s="1"/>
  <c r="AM164" i="12"/>
  <c r="AD164" i="12"/>
  <c r="AN163" i="12"/>
  <c r="AO163" i="12" s="1"/>
  <c r="AM163" i="12"/>
  <c r="AD163" i="12"/>
  <c r="AN162" i="12"/>
  <c r="AO162" i="12" s="1"/>
  <c r="AM162" i="12"/>
  <c r="AD162" i="12"/>
  <c r="AN161" i="12"/>
  <c r="AO161" i="12" s="1"/>
  <c r="AM161" i="12"/>
  <c r="AD161" i="12"/>
  <c r="AN160" i="12"/>
  <c r="AO160" i="12" s="1"/>
  <c r="AM160" i="12"/>
  <c r="AD160" i="12"/>
  <c r="AN159" i="12"/>
  <c r="AO159" i="12" s="1"/>
  <c r="AM159" i="12"/>
  <c r="AD159" i="12"/>
  <c r="AN158" i="12"/>
  <c r="AO158" i="12" s="1"/>
  <c r="AM158" i="12"/>
  <c r="AD158" i="12"/>
  <c r="AN157" i="12"/>
  <c r="AO157" i="12" s="1"/>
  <c r="AM157" i="12"/>
  <c r="AD157" i="12"/>
  <c r="AN156" i="12"/>
  <c r="AO156" i="12" s="1"/>
  <c r="AM156" i="12"/>
  <c r="AD156" i="12"/>
  <c r="AN155" i="12"/>
  <c r="AO155" i="12" s="1"/>
  <c r="AM155" i="12"/>
  <c r="AD155" i="12"/>
  <c r="AN154" i="12"/>
  <c r="AO154" i="12" s="1"/>
  <c r="AM154" i="12"/>
  <c r="AD154" i="12"/>
  <c r="AN153" i="12"/>
  <c r="AO153" i="12" s="1"/>
  <c r="AM153" i="12"/>
  <c r="AD153" i="12"/>
  <c r="AN152" i="12"/>
  <c r="AO152" i="12" s="1"/>
  <c r="AM152" i="12"/>
  <c r="AD152" i="12"/>
  <c r="AN151" i="12"/>
  <c r="AO151" i="12" s="1"/>
  <c r="AM151" i="12"/>
  <c r="AD151" i="12"/>
  <c r="AN150" i="12"/>
  <c r="AO150" i="12" s="1"/>
  <c r="AM150" i="12"/>
  <c r="AD150" i="12"/>
  <c r="AN149" i="12"/>
  <c r="AO149" i="12" s="1"/>
  <c r="AM149" i="12"/>
  <c r="AD149" i="12"/>
  <c r="AN148" i="12"/>
  <c r="AO148" i="12" s="1"/>
  <c r="AM148" i="12"/>
  <c r="AD148" i="12"/>
  <c r="AN147" i="12"/>
  <c r="AO147" i="12" s="1"/>
  <c r="AM147" i="12"/>
  <c r="AD147" i="12"/>
  <c r="AN146" i="12"/>
  <c r="AO146" i="12" s="1"/>
  <c r="AM146" i="12"/>
  <c r="AD146" i="12"/>
  <c r="AN145" i="12"/>
  <c r="AO145" i="12" s="1"/>
  <c r="AM145" i="12"/>
  <c r="AD145" i="12"/>
  <c r="AN144" i="12"/>
  <c r="AO144" i="12" s="1"/>
  <c r="AM144" i="12"/>
  <c r="AD144" i="12"/>
  <c r="AN143" i="12"/>
  <c r="AO143" i="12" s="1"/>
  <c r="AM143" i="12"/>
  <c r="AD143" i="12"/>
  <c r="AN142" i="12"/>
  <c r="AO142" i="12" s="1"/>
  <c r="AM142" i="12"/>
  <c r="AD142" i="12"/>
  <c r="AN141" i="12"/>
  <c r="AO141" i="12" s="1"/>
  <c r="AM141" i="12"/>
  <c r="AD141" i="12"/>
  <c r="AN140" i="12"/>
  <c r="AO140" i="12" s="1"/>
  <c r="AM140" i="12"/>
  <c r="AD140" i="12"/>
  <c r="AN139" i="12"/>
  <c r="AO139" i="12" s="1"/>
  <c r="AM139" i="12"/>
  <c r="AD139" i="12"/>
  <c r="AN138" i="12"/>
  <c r="AO138" i="12" s="1"/>
  <c r="AM138" i="12"/>
  <c r="AD138" i="12"/>
  <c r="AN137" i="12"/>
  <c r="AO137" i="12" s="1"/>
  <c r="AM137" i="12"/>
  <c r="AD137" i="12"/>
  <c r="AN136" i="12"/>
  <c r="AO136" i="12" s="1"/>
  <c r="AM136" i="12"/>
  <c r="AD136" i="12"/>
  <c r="AN135" i="12"/>
  <c r="AO135" i="12" s="1"/>
  <c r="AM135" i="12"/>
  <c r="AD135" i="12"/>
  <c r="AN134" i="12"/>
  <c r="AO134" i="12" s="1"/>
  <c r="AM134" i="12"/>
  <c r="AD134" i="12"/>
  <c r="AN133" i="12"/>
  <c r="AO133" i="12" s="1"/>
  <c r="AM133" i="12"/>
  <c r="AD133" i="12"/>
  <c r="AN132" i="12"/>
  <c r="AO132" i="12" s="1"/>
  <c r="AM132" i="12"/>
  <c r="AD132" i="12"/>
  <c r="AN131" i="12"/>
  <c r="AO131" i="12" s="1"/>
  <c r="AM131" i="12"/>
  <c r="AD131" i="12"/>
  <c r="AN130" i="12"/>
  <c r="AO130" i="12" s="1"/>
  <c r="AM130" i="12"/>
  <c r="AD130" i="12"/>
  <c r="AN129" i="12"/>
  <c r="AO129" i="12" s="1"/>
  <c r="AM129" i="12"/>
  <c r="AD129" i="12"/>
  <c r="AN128" i="12"/>
  <c r="AO128" i="12" s="1"/>
  <c r="AM128" i="12"/>
  <c r="AD128" i="12"/>
  <c r="AN127" i="12"/>
  <c r="AO127" i="12" s="1"/>
  <c r="AM127" i="12"/>
  <c r="AD127" i="12"/>
  <c r="AN126" i="12"/>
  <c r="AO126" i="12" s="1"/>
  <c r="AM126" i="12"/>
  <c r="AD126" i="12"/>
  <c r="AN125" i="12"/>
  <c r="AO125" i="12" s="1"/>
  <c r="AM125" i="12"/>
  <c r="AD125" i="12"/>
  <c r="AN124" i="12"/>
  <c r="AO124" i="12" s="1"/>
  <c r="AM124" i="12"/>
  <c r="AD124" i="12"/>
  <c r="AN783" i="12" l="1"/>
  <c r="AO783" i="12" s="1"/>
  <c r="AM783" i="12"/>
  <c r="AD783" i="12"/>
  <c r="H783" i="12"/>
  <c r="H784" i="12"/>
  <c r="H782" i="12"/>
  <c r="H781" i="12"/>
  <c r="H780" i="12"/>
  <c r="AN784" i="12"/>
  <c r="AO784" i="12" s="1"/>
  <c r="AM784" i="12"/>
  <c r="AD784" i="12"/>
  <c r="AN782" i="12"/>
  <c r="AO782" i="12" s="1"/>
  <c r="AM782" i="12"/>
  <c r="AD782" i="12"/>
  <c r="AN781" i="12"/>
  <c r="AO781" i="12" s="1"/>
  <c r="AM781" i="12"/>
  <c r="AD781" i="12"/>
  <c r="AN780" i="12"/>
  <c r="AO780" i="12" s="1"/>
  <c r="AM780" i="12"/>
  <c r="AD780" i="12"/>
  <c r="X784" i="12"/>
  <c r="X782" i="12"/>
  <c r="X781" i="12"/>
  <c r="X780" i="12"/>
  <c r="AN778" i="12" l="1"/>
  <c r="AO778" i="12" s="1"/>
  <c r="AN4" i="12"/>
  <c r="AO4" i="12" s="1"/>
  <c r="AN5" i="12"/>
  <c r="AO5" i="12" s="1"/>
  <c r="AN6" i="12"/>
  <c r="AO6" i="12" s="1"/>
  <c r="AN7" i="12"/>
  <c r="AO7" i="12" s="1"/>
  <c r="AN8" i="12"/>
  <c r="AO8" i="12" s="1"/>
  <c r="AN9" i="12"/>
  <c r="AO9" i="12" s="1"/>
  <c r="AN10" i="12"/>
  <c r="AO10" i="12" s="1"/>
  <c r="AN11" i="12"/>
  <c r="AO11" i="12" s="1"/>
  <c r="AN12" i="12"/>
  <c r="AO12" i="12" s="1"/>
  <c r="AN13" i="12"/>
  <c r="AO13" i="12" s="1"/>
  <c r="AN14" i="12"/>
  <c r="AO14" i="12" s="1"/>
  <c r="AN15" i="12"/>
  <c r="AO15" i="12" s="1"/>
  <c r="AN16" i="12"/>
  <c r="AO16" i="12" s="1"/>
  <c r="AN17" i="12"/>
  <c r="AO17" i="12" s="1"/>
  <c r="AN18" i="12"/>
  <c r="AO18" i="12" s="1"/>
  <c r="AN19" i="12"/>
  <c r="AO19" i="12" s="1"/>
  <c r="AN20" i="12"/>
  <c r="AO20" i="12" s="1"/>
  <c r="AO21" i="12"/>
  <c r="AN22" i="12"/>
  <c r="AO22" i="12" s="1"/>
  <c r="AN23" i="12"/>
  <c r="AO23" i="12" s="1"/>
  <c r="AN24" i="12"/>
  <c r="AO24" i="12" s="1"/>
  <c r="AN25" i="12"/>
  <c r="AO25" i="12" s="1"/>
  <c r="AN26" i="12"/>
  <c r="AO26" i="12" s="1"/>
  <c r="AN27" i="12"/>
  <c r="AO27" i="12" s="1"/>
  <c r="AN28" i="12"/>
  <c r="AO28" i="12" s="1"/>
  <c r="AN29" i="12"/>
  <c r="AO29" i="12" s="1"/>
  <c r="AN30" i="12"/>
  <c r="AO30" i="12" s="1"/>
  <c r="AN31" i="12"/>
  <c r="AO31" i="12" s="1"/>
  <c r="AN32" i="12"/>
  <c r="AO32" i="12" s="1"/>
  <c r="AN33" i="12"/>
  <c r="AO33" i="12" s="1"/>
  <c r="AN34" i="12"/>
  <c r="AO34" i="12" s="1"/>
  <c r="AN35" i="12"/>
  <c r="AO35" i="12" s="1"/>
  <c r="AN36" i="12"/>
  <c r="AO36" i="12" s="1"/>
  <c r="AN37" i="12"/>
  <c r="AO37" i="12" s="1"/>
  <c r="AN38" i="12"/>
  <c r="AO38" i="12" s="1"/>
  <c r="AN39" i="12"/>
  <c r="AO39" i="12" s="1"/>
  <c r="AN40" i="12"/>
  <c r="AO40" i="12" s="1"/>
  <c r="AN41" i="12"/>
  <c r="AO41" i="12" s="1"/>
  <c r="AN42" i="12"/>
  <c r="AO42" i="12" s="1"/>
  <c r="AN43" i="12"/>
  <c r="AO43" i="12" s="1"/>
  <c r="AN44" i="12"/>
  <c r="AO44" i="12" s="1"/>
  <c r="AN45" i="12"/>
  <c r="AO45" i="12" s="1"/>
  <c r="AN46" i="12"/>
  <c r="AO46" i="12" s="1"/>
  <c r="AN47" i="12"/>
  <c r="AO47" i="12" s="1"/>
  <c r="AN48" i="12"/>
  <c r="AO48" i="12" s="1"/>
  <c r="AN49" i="12"/>
  <c r="AO49" i="12" s="1"/>
  <c r="AN50" i="12"/>
  <c r="AO50" i="12" s="1"/>
  <c r="AN51" i="12"/>
  <c r="AO51" i="12" s="1"/>
  <c r="AN52" i="12"/>
  <c r="AO52" i="12" s="1"/>
  <c r="AN53" i="12"/>
  <c r="AO53" i="12" s="1"/>
  <c r="AN55" i="12"/>
  <c r="AO55" i="12" s="1"/>
  <c r="AN56" i="12"/>
  <c r="AO56" i="12" s="1"/>
  <c r="AN57" i="12"/>
  <c r="AO57" i="12" s="1"/>
  <c r="AN58" i="12"/>
  <c r="AO58" i="12" s="1"/>
  <c r="AN59" i="12"/>
  <c r="AO59" i="12" s="1"/>
  <c r="AN60" i="12"/>
  <c r="AO60" i="12" s="1"/>
  <c r="AN61" i="12"/>
  <c r="AO61" i="12" s="1"/>
  <c r="AN62" i="12"/>
  <c r="AO62" i="12" s="1"/>
  <c r="AN63" i="12"/>
  <c r="AO63" i="12" s="1"/>
  <c r="AN64" i="12"/>
  <c r="AO64" i="12" s="1"/>
  <c r="AN65" i="12"/>
  <c r="AO65" i="12" s="1"/>
  <c r="AN66" i="12"/>
  <c r="AO66" i="12" s="1"/>
  <c r="AN67" i="12"/>
  <c r="AO67" i="12" s="1"/>
  <c r="AN68" i="12"/>
  <c r="AO68" i="12" s="1"/>
  <c r="AN69" i="12"/>
  <c r="AO69" i="12" s="1"/>
  <c r="AN70" i="12"/>
  <c r="AO70" i="12" s="1"/>
  <c r="AN71" i="12"/>
  <c r="AO71" i="12" s="1"/>
  <c r="AN73" i="12"/>
  <c r="AO73" i="12" s="1"/>
  <c r="AN74" i="12"/>
  <c r="AO74" i="12" s="1"/>
  <c r="AN93" i="12"/>
  <c r="AO93" i="12" s="1"/>
  <c r="AN94" i="12"/>
  <c r="AO94" i="12" s="1"/>
  <c r="AN95" i="12"/>
  <c r="AO95" i="12" s="1"/>
  <c r="AN96" i="12"/>
  <c r="AO96" i="12" s="1"/>
  <c r="AN97" i="12"/>
  <c r="AO97" i="12" s="1"/>
  <c r="AN98" i="12"/>
  <c r="AO98" i="12" s="1"/>
  <c r="AN99" i="12"/>
  <c r="AO99" i="12" s="1"/>
  <c r="AN100" i="12"/>
  <c r="AO100" i="12" s="1"/>
  <c r="AN101" i="12"/>
  <c r="AO101" i="12" s="1"/>
  <c r="AN102" i="12"/>
  <c r="AO102" i="12" s="1"/>
  <c r="AN103" i="12"/>
  <c r="AO103" i="12" s="1"/>
  <c r="AN104" i="12"/>
  <c r="AO104" i="12" s="1"/>
  <c r="AN105" i="12"/>
  <c r="AO105" i="12" s="1"/>
  <c r="AN106" i="12"/>
  <c r="AO106" i="12" s="1"/>
  <c r="AN107" i="12"/>
  <c r="AO107" i="12" s="1"/>
  <c r="AN108" i="12"/>
  <c r="AO108" i="12" s="1"/>
  <c r="AN109" i="12"/>
  <c r="AO109" i="12" s="1"/>
  <c r="AN110" i="12"/>
  <c r="AO110" i="12" s="1"/>
  <c r="AN111" i="12"/>
  <c r="AO111" i="12" s="1"/>
  <c r="AN112" i="12"/>
  <c r="AO112" i="12" s="1"/>
  <c r="AN113" i="12"/>
  <c r="AO113" i="12" s="1"/>
  <c r="AN114" i="12"/>
  <c r="AO114" i="12" s="1"/>
  <c r="AN115" i="12"/>
  <c r="AO115" i="12" s="1"/>
  <c r="AN116" i="12"/>
  <c r="AO116" i="12" s="1"/>
  <c r="AN117" i="12"/>
  <c r="AO117" i="12" s="1"/>
  <c r="AN118" i="12"/>
  <c r="AO118" i="12" s="1"/>
  <c r="AN119" i="12"/>
  <c r="AO119" i="12" s="1"/>
  <c r="AN120" i="12"/>
  <c r="AO120" i="12" s="1"/>
  <c r="AN121" i="12"/>
  <c r="AO121" i="12" s="1"/>
  <c r="AN122" i="12"/>
  <c r="AO122" i="12" s="1"/>
  <c r="AN123" i="12"/>
  <c r="AO123" i="12" s="1"/>
  <c r="AN194" i="12"/>
  <c r="AO194" i="12" s="1"/>
  <c r="AN200" i="12"/>
  <c r="AO200" i="12" s="1"/>
  <c r="AN201" i="12"/>
  <c r="AO201" i="12" s="1"/>
  <c r="AN202" i="12"/>
  <c r="AO202" i="12" s="1"/>
  <c r="AN203" i="12"/>
  <c r="AO203" i="12" s="1"/>
  <c r="AN204" i="12"/>
  <c r="AO204" i="12" s="1"/>
  <c r="AN205" i="12"/>
  <c r="AO205" i="12" s="1"/>
  <c r="AN206" i="12"/>
  <c r="AO206" i="12" s="1"/>
  <c r="AN207" i="12"/>
  <c r="AO207" i="12" s="1"/>
  <c r="AN208" i="12"/>
  <c r="AO208" i="12" s="1"/>
  <c r="AN209" i="12"/>
  <c r="AO209" i="12" s="1"/>
  <c r="AN210" i="12"/>
  <c r="AO210" i="12" s="1"/>
  <c r="AN211" i="12"/>
  <c r="AO211" i="12" s="1"/>
  <c r="AN212" i="12"/>
  <c r="AO212" i="12" s="1"/>
  <c r="AN213" i="12"/>
  <c r="AO213" i="12" s="1"/>
  <c r="AN214" i="12"/>
  <c r="AO214" i="12" s="1"/>
  <c r="AN215" i="12"/>
  <c r="AO215" i="12" s="1"/>
  <c r="AN216" i="12"/>
  <c r="AO216" i="12" s="1"/>
  <c r="AN217" i="12"/>
  <c r="AO217" i="12" s="1"/>
  <c r="AN218" i="12"/>
  <c r="AO218" i="12" s="1"/>
  <c r="AN219" i="12"/>
  <c r="AO219" i="12" s="1"/>
  <c r="AN220" i="12"/>
  <c r="AO220" i="12" s="1"/>
  <c r="AN221" i="12"/>
  <c r="AO221" i="12" s="1"/>
  <c r="AN222" i="12"/>
  <c r="AO222" i="12" s="1"/>
  <c r="AN223" i="12"/>
  <c r="AO223" i="12" s="1"/>
  <c r="AN224" i="12"/>
  <c r="AO224" i="12" s="1"/>
  <c r="AN225" i="12"/>
  <c r="AO225" i="12" s="1"/>
  <c r="AN226" i="12"/>
  <c r="AO226" i="12" s="1"/>
  <c r="AN227" i="12"/>
  <c r="AO227" i="12" s="1"/>
  <c r="AN228" i="12"/>
  <c r="AO228" i="12" s="1"/>
  <c r="AN229" i="12"/>
  <c r="AO229" i="12" s="1"/>
  <c r="AN230" i="12"/>
  <c r="AO230" i="12" s="1"/>
  <c r="AN231" i="12"/>
  <c r="AO231" i="12" s="1"/>
  <c r="AN232" i="12"/>
  <c r="AO232" i="12" s="1"/>
  <c r="AN234" i="12"/>
  <c r="AO234" i="12" s="1"/>
  <c r="AN236" i="12"/>
  <c r="AO236" i="12" s="1"/>
  <c r="AN237" i="12"/>
  <c r="AO237" i="12" s="1"/>
  <c r="AN238" i="12"/>
  <c r="AO238" i="12" s="1"/>
  <c r="AN239" i="12"/>
  <c r="AO239" i="12" s="1"/>
  <c r="AN240" i="12"/>
  <c r="AO240" i="12" s="1"/>
  <c r="AN241" i="12"/>
  <c r="AO241" i="12" s="1"/>
  <c r="AN242" i="12"/>
  <c r="AO242" i="12" s="1"/>
  <c r="AN243" i="12"/>
  <c r="AO243" i="12" s="1"/>
  <c r="AN244" i="12"/>
  <c r="AO244" i="12" s="1"/>
  <c r="AN245" i="12"/>
  <c r="AO245" i="12" s="1"/>
  <c r="AN246" i="12"/>
  <c r="AO246" i="12" s="1"/>
  <c r="AN247" i="12"/>
  <c r="AO247" i="12" s="1"/>
  <c r="AN248" i="12"/>
  <c r="AO248" i="12" s="1"/>
  <c r="AN249" i="12"/>
  <c r="AO249" i="12" s="1"/>
  <c r="AN250" i="12"/>
  <c r="AO250" i="12" s="1"/>
  <c r="AN251" i="12"/>
  <c r="AO251" i="12" s="1"/>
  <c r="AN252" i="12"/>
  <c r="AO252" i="12" s="1"/>
  <c r="AN253" i="12"/>
  <c r="AO253" i="12" s="1"/>
  <c r="AN254" i="12"/>
  <c r="AO254" i="12" s="1"/>
  <c r="AN255" i="12"/>
  <c r="AO255" i="12" s="1"/>
  <c r="AN256" i="12"/>
  <c r="AO256" i="12" s="1"/>
  <c r="AN257" i="12"/>
  <c r="AO257" i="12" s="1"/>
  <c r="AN258" i="12"/>
  <c r="AO258" i="12" s="1"/>
  <c r="AN259" i="12"/>
  <c r="AO259" i="12" s="1"/>
  <c r="AN260" i="12"/>
  <c r="AO260" i="12" s="1"/>
  <c r="AN261" i="12"/>
  <c r="AO261" i="12" s="1"/>
  <c r="AN262" i="12"/>
  <c r="AO262" i="12" s="1"/>
  <c r="AN263" i="12"/>
  <c r="AO263" i="12" s="1"/>
  <c r="AN264" i="12"/>
  <c r="AO264" i="12" s="1"/>
  <c r="AN265" i="12"/>
  <c r="AO265" i="12" s="1"/>
  <c r="AN266" i="12"/>
  <c r="AO266" i="12" s="1"/>
  <c r="AN267" i="12"/>
  <c r="AO267" i="12" s="1"/>
  <c r="AN268" i="12"/>
  <c r="AO268" i="12" s="1"/>
  <c r="AN269" i="12"/>
  <c r="AO269" i="12" s="1"/>
  <c r="AN270" i="12"/>
  <c r="AO270" i="12" s="1"/>
  <c r="AN271" i="12"/>
  <c r="AO271" i="12" s="1"/>
  <c r="AN272" i="12"/>
  <c r="AO272" i="12" s="1"/>
  <c r="AN273" i="12"/>
  <c r="AO273" i="12" s="1"/>
  <c r="AN274" i="12"/>
  <c r="AO274" i="12" s="1"/>
  <c r="AN275" i="12"/>
  <c r="AO275" i="12" s="1"/>
  <c r="AN276" i="12"/>
  <c r="AO276" i="12" s="1"/>
  <c r="AN277" i="12"/>
  <c r="AO277" i="12" s="1"/>
  <c r="AN278" i="12"/>
  <c r="AO278" i="12" s="1"/>
  <c r="AN279" i="12"/>
  <c r="AO279" i="12" s="1"/>
  <c r="AN280" i="12"/>
  <c r="AO280" i="12" s="1"/>
  <c r="AN281" i="12"/>
  <c r="AO281" i="12" s="1"/>
  <c r="AN282" i="12"/>
  <c r="AO282" i="12" s="1"/>
  <c r="AN283" i="12"/>
  <c r="AO283" i="12" s="1"/>
  <c r="AN284" i="12"/>
  <c r="AO284" i="12" s="1"/>
  <c r="AN285" i="12"/>
  <c r="AO285" i="12" s="1"/>
  <c r="AN286" i="12"/>
  <c r="AO286" i="12" s="1"/>
  <c r="AN287" i="12"/>
  <c r="AO287" i="12" s="1"/>
  <c r="AN288" i="12"/>
  <c r="AO288" i="12" s="1"/>
  <c r="AN289" i="12"/>
  <c r="AO289" i="12" s="1"/>
  <c r="AN290" i="12"/>
  <c r="AO290" i="12" s="1"/>
  <c r="AN291" i="12"/>
  <c r="AO291" i="12" s="1"/>
  <c r="AN292" i="12"/>
  <c r="AO292" i="12" s="1"/>
  <c r="AN293" i="12"/>
  <c r="AO293" i="12" s="1"/>
  <c r="AN294" i="12"/>
  <c r="AO294" i="12" s="1"/>
  <c r="AN295" i="12"/>
  <c r="AO295" i="12" s="1"/>
  <c r="AN296" i="12"/>
  <c r="AO296" i="12" s="1"/>
  <c r="AN297" i="12"/>
  <c r="AO297" i="12" s="1"/>
  <c r="AN299" i="12"/>
  <c r="AO299" i="12" s="1"/>
  <c r="AN300" i="12"/>
  <c r="AO300" i="12" s="1"/>
  <c r="AN301" i="12"/>
  <c r="AO301" i="12" s="1"/>
  <c r="AN302" i="12"/>
  <c r="AO302" i="12" s="1"/>
  <c r="AN303" i="12"/>
  <c r="AO303" i="12" s="1"/>
  <c r="AN304" i="12"/>
  <c r="AO304" i="12" s="1"/>
  <c r="AN305" i="12"/>
  <c r="AO305" i="12" s="1"/>
  <c r="AN306" i="12"/>
  <c r="AO306" i="12" s="1"/>
  <c r="AN307" i="12"/>
  <c r="AO307" i="12" s="1"/>
  <c r="AN308" i="12"/>
  <c r="AO308" i="12" s="1"/>
  <c r="AN309" i="12"/>
  <c r="AO309" i="12" s="1"/>
  <c r="AN310" i="12"/>
  <c r="AO310" i="12" s="1"/>
  <c r="AN311" i="12"/>
  <c r="AO311" i="12" s="1"/>
  <c r="AN312" i="12"/>
  <c r="AO312" i="12" s="1"/>
  <c r="AN313" i="12"/>
  <c r="AO313" i="12" s="1"/>
  <c r="AN314" i="12"/>
  <c r="AO314" i="12" s="1"/>
  <c r="AN315" i="12"/>
  <c r="AO315" i="12" s="1"/>
  <c r="AN316" i="12"/>
  <c r="AO316" i="12" s="1"/>
  <c r="AN317" i="12"/>
  <c r="AO317" i="12" s="1"/>
  <c r="AN318" i="12"/>
  <c r="AO318" i="12" s="1"/>
  <c r="AN319" i="12"/>
  <c r="AO319" i="12" s="1"/>
  <c r="AN320" i="12"/>
  <c r="AO320" i="12" s="1"/>
  <c r="AN321" i="12"/>
  <c r="AO321" i="12" s="1"/>
  <c r="AN322" i="12"/>
  <c r="AO322" i="12" s="1"/>
  <c r="AN323" i="12"/>
  <c r="AO323" i="12" s="1"/>
  <c r="AN324" i="12"/>
  <c r="AO324" i="12" s="1"/>
  <c r="AN325" i="12"/>
  <c r="AO325" i="12" s="1"/>
  <c r="AN326" i="12"/>
  <c r="AO326" i="12" s="1"/>
  <c r="AN327" i="12"/>
  <c r="AO327" i="12" s="1"/>
  <c r="AN328" i="12"/>
  <c r="AO328" i="12" s="1"/>
  <c r="AN329" i="12"/>
  <c r="AO329" i="12" s="1"/>
  <c r="AN330" i="12"/>
  <c r="AO330" i="12" s="1"/>
  <c r="AN331" i="12"/>
  <c r="AO331" i="12" s="1"/>
  <c r="AN332" i="12"/>
  <c r="AO332" i="12" s="1"/>
  <c r="AN333" i="12"/>
  <c r="AO333" i="12" s="1"/>
  <c r="AN334" i="12"/>
  <c r="AO334" i="12" s="1"/>
  <c r="AN335" i="12"/>
  <c r="AO335" i="12" s="1"/>
  <c r="AN336" i="12"/>
  <c r="AO336" i="12" s="1"/>
  <c r="AN337" i="12"/>
  <c r="AO337" i="12" s="1"/>
  <c r="AN338" i="12"/>
  <c r="AO338" i="12" s="1"/>
  <c r="AN339" i="12"/>
  <c r="AO339" i="12" s="1"/>
  <c r="AN340" i="12"/>
  <c r="AO340" i="12" s="1"/>
  <c r="AN341" i="12"/>
  <c r="AO341" i="12" s="1"/>
  <c r="AN342" i="12"/>
  <c r="AO342" i="12" s="1"/>
  <c r="AN343" i="12"/>
  <c r="AO343" i="12" s="1"/>
  <c r="AN344" i="12"/>
  <c r="AO344" i="12" s="1"/>
  <c r="AN345" i="12"/>
  <c r="AO345" i="12" s="1"/>
  <c r="AN346" i="12"/>
  <c r="AO346" i="12" s="1"/>
  <c r="AN347" i="12"/>
  <c r="AO347" i="12" s="1"/>
  <c r="AN348" i="12"/>
  <c r="AO348" i="12" s="1"/>
  <c r="AN349" i="12"/>
  <c r="AO349" i="12" s="1"/>
  <c r="AN350" i="12"/>
  <c r="AO350" i="12" s="1"/>
  <c r="AN351" i="12"/>
  <c r="AO351" i="12" s="1"/>
  <c r="AN352" i="12"/>
  <c r="AO352" i="12" s="1"/>
  <c r="AN353" i="12"/>
  <c r="AO353" i="12" s="1"/>
  <c r="AN354" i="12"/>
  <c r="AO354" i="12" s="1"/>
  <c r="AN355" i="12"/>
  <c r="AO355" i="12" s="1"/>
  <c r="AN356" i="12"/>
  <c r="AO356" i="12" s="1"/>
  <c r="AN357" i="12"/>
  <c r="AO357" i="12" s="1"/>
  <c r="AN358" i="12"/>
  <c r="AO358" i="12" s="1"/>
  <c r="AN359" i="12"/>
  <c r="AO359" i="12" s="1"/>
  <c r="AN361" i="12"/>
  <c r="AO361" i="12" s="1"/>
  <c r="AN362" i="12"/>
  <c r="AO362" i="12" s="1"/>
  <c r="AN363" i="12"/>
  <c r="AO363" i="12" s="1"/>
  <c r="AN364" i="12"/>
  <c r="AO364" i="12" s="1"/>
  <c r="AN365" i="12"/>
  <c r="AO365" i="12" s="1"/>
  <c r="AN366" i="12"/>
  <c r="AO366" i="12" s="1"/>
  <c r="AN367" i="12"/>
  <c r="AO367" i="12" s="1"/>
  <c r="AN368" i="12"/>
  <c r="AO368" i="12" s="1"/>
  <c r="AN369" i="12"/>
  <c r="AO369" i="12" s="1"/>
  <c r="AN370" i="12"/>
  <c r="AO370" i="12" s="1"/>
  <c r="AN371" i="12"/>
  <c r="AO371" i="12" s="1"/>
  <c r="AN372" i="12"/>
  <c r="AO372" i="12" s="1"/>
  <c r="AN373" i="12"/>
  <c r="AO373" i="12" s="1"/>
  <c r="AN374" i="12"/>
  <c r="AO374" i="12" s="1"/>
  <c r="AN375" i="12"/>
  <c r="AO375" i="12" s="1"/>
  <c r="AN376" i="12"/>
  <c r="AO376" i="12" s="1"/>
  <c r="AN377" i="12"/>
  <c r="AO377" i="12" s="1"/>
  <c r="AN378" i="12"/>
  <c r="AO378" i="12" s="1"/>
  <c r="AN379" i="12"/>
  <c r="AO379" i="12" s="1"/>
  <c r="AN380" i="12"/>
  <c r="AO380" i="12" s="1"/>
  <c r="AN381" i="12"/>
  <c r="AO381" i="12" s="1"/>
  <c r="AN382" i="12"/>
  <c r="AO382" i="12" s="1"/>
  <c r="AN383" i="12"/>
  <c r="AO383" i="12" s="1"/>
  <c r="AN384" i="12"/>
  <c r="AO384" i="12" s="1"/>
  <c r="AN385" i="12"/>
  <c r="AO385" i="12" s="1"/>
  <c r="AN386" i="12"/>
  <c r="AO386" i="12" s="1"/>
  <c r="AN387" i="12"/>
  <c r="AO387" i="12" s="1"/>
  <c r="AN388" i="12"/>
  <c r="AO388" i="12" s="1"/>
  <c r="AN389" i="12"/>
  <c r="AO389" i="12" s="1"/>
  <c r="AN390" i="12"/>
  <c r="AO390" i="12" s="1"/>
  <c r="AN391" i="12"/>
  <c r="AO391" i="12" s="1"/>
  <c r="AN392" i="12"/>
  <c r="AO392" i="12" s="1"/>
  <c r="AN393" i="12"/>
  <c r="AO393" i="12" s="1"/>
  <c r="AN394" i="12"/>
  <c r="AO394" i="12" s="1"/>
  <c r="AN395" i="12"/>
  <c r="AO395" i="12" s="1"/>
  <c r="AN396" i="12"/>
  <c r="AO396" i="12" s="1"/>
  <c r="AN397" i="12"/>
  <c r="AO397" i="12" s="1"/>
  <c r="AN398" i="12"/>
  <c r="AO398" i="12" s="1"/>
  <c r="AN399" i="12"/>
  <c r="AO399" i="12" s="1"/>
  <c r="AN400" i="12"/>
  <c r="AO400" i="12" s="1"/>
  <c r="AN401" i="12"/>
  <c r="AO401" i="12" s="1"/>
  <c r="AN402" i="12"/>
  <c r="AO402" i="12" s="1"/>
  <c r="AN403" i="12"/>
  <c r="AO403" i="12" s="1"/>
  <c r="AN404" i="12"/>
  <c r="AO404" i="12" s="1"/>
  <c r="AN405" i="12"/>
  <c r="AO405" i="12" s="1"/>
  <c r="AN406" i="12"/>
  <c r="AO406" i="12" s="1"/>
  <c r="AN407" i="12"/>
  <c r="AO407" i="12" s="1"/>
  <c r="AN408" i="12"/>
  <c r="AO408" i="12" s="1"/>
  <c r="AN409" i="12"/>
  <c r="AO409" i="12" s="1"/>
  <c r="AN411" i="12"/>
  <c r="AO411" i="12" s="1"/>
  <c r="AN412" i="12"/>
  <c r="AO412" i="12" s="1"/>
  <c r="AN413" i="12"/>
  <c r="AO413" i="12" s="1"/>
  <c r="AN414" i="12"/>
  <c r="AO414" i="12" s="1"/>
  <c r="AN415" i="12"/>
  <c r="AO415" i="12" s="1"/>
  <c r="AN416" i="12"/>
  <c r="AO416" i="12" s="1"/>
  <c r="AN417" i="12"/>
  <c r="AO417" i="12" s="1"/>
  <c r="AN418" i="12"/>
  <c r="AO418" i="12" s="1"/>
  <c r="AN419" i="12"/>
  <c r="AO419" i="12" s="1"/>
  <c r="AN420" i="12"/>
  <c r="AO420" i="12" s="1"/>
  <c r="AN421" i="12"/>
  <c r="AO421" i="12" s="1"/>
  <c r="AN422" i="12"/>
  <c r="AO422" i="12" s="1"/>
  <c r="AN423" i="12"/>
  <c r="AO423" i="12" s="1"/>
  <c r="AN424" i="12"/>
  <c r="AO424" i="12" s="1"/>
  <c r="AN425" i="12"/>
  <c r="AO425" i="12" s="1"/>
  <c r="AN426" i="12"/>
  <c r="AO426" i="12" s="1"/>
  <c r="AN427" i="12"/>
  <c r="AO427" i="12" s="1"/>
  <c r="AN428" i="12"/>
  <c r="AO428" i="12" s="1"/>
  <c r="AN429" i="12"/>
  <c r="AO429" i="12" s="1"/>
  <c r="AN430" i="12"/>
  <c r="AO430" i="12" s="1"/>
  <c r="AN431" i="12"/>
  <c r="AO431" i="12" s="1"/>
  <c r="AN432" i="12"/>
  <c r="AO432" i="12" s="1"/>
  <c r="AN433" i="12"/>
  <c r="AO433" i="12" s="1"/>
  <c r="AN434" i="12"/>
  <c r="AO434" i="12" s="1"/>
  <c r="AN435" i="12"/>
  <c r="AO435" i="12" s="1"/>
  <c r="AN436" i="12"/>
  <c r="AO436" i="12" s="1"/>
  <c r="AN437" i="12"/>
  <c r="AO437" i="12" s="1"/>
  <c r="AN438" i="12"/>
  <c r="AO438" i="12" s="1"/>
  <c r="AN439" i="12"/>
  <c r="AO439" i="12" s="1"/>
  <c r="AN440" i="12"/>
  <c r="AO440" i="12" s="1"/>
  <c r="AN441" i="12"/>
  <c r="AO441" i="12" s="1"/>
  <c r="AN442" i="12"/>
  <c r="AO442" i="12" s="1"/>
  <c r="AN443" i="12"/>
  <c r="AO443" i="12" s="1"/>
  <c r="AN444" i="12"/>
  <c r="AO444" i="12" s="1"/>
  <c r="AN445" i="12"/>
  <c r="AO445" i="12" s="1"/>
  <c r="AN446" i="12"/>
  <c r="AO446" i="12" s="1"/>
  <c r="AN447" i="12"/>
  <c r="AO447" i="12" s="1"/>
  <c r="AN448" i="12"/>
  <c r="AO448" i="12" s="1"/>
  <c r="AN449" i="12"/>
  <c r="AO449" i="12" s="1"/>
  <c r="AN450" i="12"/>
  <c r="AO450" i="12" s="1"/>
  <c r="AN451" i="12"/>
  <c r="AO451" i="12" s="1"/>
  <c r="AN452" i="12"/>
  <c r="AO452" i="12" s="1"/>
  <c r="AN453" i="12"/>
  <c r="AO453" i="12" s="1"/>
  <c r="AN454" i="12"/>
  <c r="AO454" i="12" s="1"/>
  <c r="AN455" i="12"/>
  <c r="AO455" i="12" s="1"/>
  <c r="AN456" i="12"/>
  <c r="AO456" i="12" s="1"/>
  <c r="AN457" i="12"/>
  <c r="AO457" i="12" s="1"/>
  <c r="AN458" i="12"/>
  <c r="AO458" i="12" s="1"/>
  <c r="AN459" i="12"/>
  <c r="AO459" i="12" s="1"/>
  <c r="AN460" i="12"/>
  <c r="AO460" i="12" s="1"/>
  <c r="AN461" i="12"/>
  <c r="AO461" i="12" s="1"/>
  <c r="AN462" i="12"/>
  <c r="AO462" i="12" s="1"/>
  <c r="AN463" i="12"/>
  <c r="AO463" i="12" s="1"/>
  <c r="AN464" i="12"/>
  <c r="AO464" i="12" s="1"/>
  <c r="AN465" i="12"/>
  <c r="AO465" i="12" s="1"/>
  <c r="AN466" i="12"/>
  <c r="AO466" i="12" s="1"/>
  <c r="AN467" i="12"/>
  <c r="AO467" i="12" s="1"/>
  <c r="AN468" i="12"/>
  <c r="AO468" i="12" s="1"/>
  <c r="AN469" i="12"/>
  <c r="AO469" i="12" s="1"/>
  <c r="AN470" i="12"/>
  <c r="AO470" i="12" s="1"/>
  <c r="AN471" i="12"/>
  <c r="AO471" i="12" s="1"/>
  <c r="AN472" i="12"/>
  <c r="AO472" i="12" s="1"/>
  <c r="AN473" i="12"/>
  <c r="AO473" i="12" s="1"/>
  <c r="AN474" i="12"/>
  <c r="AO474" i="12" s="1"/>
  <c r="AN475" i="12"/>
  <c r="AO475" i="12" s="1"/>
  <c r="AN476" i="12"/>
  <c r="AO476" i="12" s="1"/>
  <c r="AN477" i="12"/>
  <c r="AO477" i="12" s="1"/>
  <c r="AN478" i="12"/>
  <c r="AO478" i="12" s="1"/>
  <c r="AN479" i="12"/>
  <c r="AO479" i="12" s="1"/>
  <c r="AN480" i="12"/>
  <c r="AO480" i="12" s="1"/>
  <c r="AN481" i="12"/>
  <c r="AO481" i="12" s="1"/>
  <c r="AN482" i="12"/>
  <c r="AO482" i="12" s="1"/>
  <c r="AN483" i="12"/>
  <c r="AO483" i="12" s="1"/>
  <c r="AN484" i="12"/>
  <c r="AO484" i="12" s="1"/>
  <c r="AN485" i="12"/>
  <c r="AO485" i="12" s="1"/>
  <c r="AN486" i="12"/>
  <c r="AO486" i="12" s="1"/>
  <c r="AN487" i="12"/>
  <c r="AO487" i="12" s="1"/>
  <c r="AN488" i="12"/>
  <c r="AO488" i="12" s="1"/>
  <c r="AN489" i="12"/>
  <c r="AO489" i="12" s="1"/>
  <c r="AN490" i="12"/>
  <c r="AO490" i="12" s="1"/>
  <c r="AN491" i="12"/>
  <c r="AO491" i="12" s="1"/>
  <c r="AN492" i="12"/>
  <c r="AO492" i="12" s="1"/>
  <c r="AN493" i="12"/>
  <c r="AO493" i="12" s="1"/>
  <c r="AN494" i="12"/>
  <c r="AO494" i="12" s="1"/>
  <c r="AN495" i="12"/>
  <c r="AO495" i="12" s="1"/>
  <c r="AN496" i="12"/>
  <c r="AO496" i="12" s="1"/>
  <c r="AN497" i="12"/>
  <c r="AO497" i="12" s="1"/>
  <c r="AN498" i="12"/>
  <c r="AO498" i="12" s="1"/>
  <c r="AN499" i="12"/>
  <c r="AO499" i="12" s="1"/>
  <c r="AN500" i="12"/>
  <c r="AO500" i="12" s="1"/>
  <c r="AN501" i="12"/>
  <c r="AO501" i="12" s="1"/>
  <c r="AN502" i="12"/>
  <c r="AO502" i="12" s="1"/>
  <c r="AN504" i="12"/>
  <c r="AO504" i="12" s="1"/>
  <c r="AO505" i="12"/>
  <c r="AN506" i="12"/>
  <c r="AO506" i="12" s="1"/>
  <c r="AN507" i="12"/>
  <c r="AO507" i="12" s="1"/>
  <c r="AN508" i="12"/>
  <c r="AO508" i="12" s="1"/>
  <c r="AN509" i="12"/>
  <c r="AO509" i="12" s="1"/>
  <c r="AN510" i="12"/>
  <c r="AO510" i="12" s="1"/>
  <c r="AN511" i="12"/>
  <c r="AO511" i="12" s="1"/>
  <c r="AN512" i="12"/>
  <c r="AO512" i="12" s="1"/>
  <c r="AN513" i="12"/>
  <c r="AO513" i="12" s="1"/>
  <c r="AN514" i="12"/>
  <c r="AO514" i="12" s="1"/>
  <c r="AN515" i="12"/>
  <c r="AO515" i="12" s="1"/>
  <c r="AN516" i="12"/>
  <c r="AO516" i="12" s="1"/>
  <c r="AN517" i="12"/>
  <c r="AO517" i="12" s="1"/>
  <c r="AN518" i="12"/>
  <c r="AO518" i="12" s="1"/>
  <c r="AN519" i="12"/>
  <c r="AO519" i="12" s="1"/>
  <c r="AN520" i="12"/>
  <c r="AO520" i="12" s="1"/>
  <c r="AN521" i="12"/>
  <c r="AO521" i="12" s="1"/>
  <c r="AN525" i="12"/>
  <c r="AO525" i="12" s="1"/>
  <c r="AN526" i="12"/>
  <c r="AO526" i="12" s="1"/>
  <c r="AN527" i="12"/>
  <c r="AO527" i="12" s="1"/>
  <c r="AN528" i="12"/>
  <c r="AO528" i="12" s="1"/>
  <c r="AN529" i="12"/>
  <c r="AO529" i="12" s="1"/>
  <c r="AN530" i="12"/>
  <c r="AO530" i="12" s="1"/>
  <c r="AN531" i="12"/>
  <c r="AO531" i="12" s="1"/>
  <c r="AN532" i="12"/>
  <c r="AO532" i="12" s="1"/>
  <c r="AN533" i="12"/>
  <c r="AO533" i="12" s="1"/>
  <c r="AN534" i="12"/>
  <c r="AO534" i="12" s="1"/>
  <c r="AN535" i="12"/>
  <c r="AO535" i="12" s="1"/>
  <c r="AN536" i="12"/>
  <c r="AO536" i="12" s="1"/>
  <c r="AN537" i="12"/>
  <c r="AO537" i="12" s="1"/>
  <c r="AN538" i="12"/>
  <c r="AO538" i="12" s="1"/>
  <c r="AN539" i="12"/>
  <c r="AO539" i="12" s="1"/>
  <c r="AN540" i="12"/>
  <c r="AO540" i="12" s="1"/>
  <c r="AN542" i="12"/>
  <c r="AO542" i="12" s="1"/>
  <c r="AN543" i="12"/>
  <c r="AO543" i="12" s="1"/>
  <c r="AN544" i="12"/>
  <c r="AO544" i="12" s="1"/>
  <c r="AN545" i="12"/>
  <c r="AO545" i="12" s="1"/>
  <c r="AN546" i="12"/>
  <c r="AO546" i="12" s="1"/>
  <c r="AN547" i="12"/>
  <c r="AO547" i="12" s="1"/>
  <c r="AN548" i="12"/>
  <c r="AO548" i="12" s="1"/>
  <c r="AN549" i="12"/>
  <c r="AO549" i="12" s="1"/>
  <c r="AN550" i="12"/>
  <c r="AO550" i="12" s="1"/>
  <c r="AN551" i="12"/>
  <c r="AO551" i="12" s="1"/>
  <c r="AN552" i="12"/>
  <c r="AO552" i="12" s="1"/>
  <c r="AN553" i="12"/>
  <c r="AO553" i="12" s="1"/>
  <c r="AN554" i="12"/>
  <c r="AO554" i="12" s="1"/>
  <c r="AN555" i="12"/>
  <c r="AO555" i="12" s="1"/>
  <c r="AN556" i="12"/>
  <c r="AO556" i="12" s="1"/>
  <c r="AN557" i="12"/>
  <c r="AO557" i="12" s="1"/>
  <c r="AN558" i="12"/>
  <c r="AO558" i="12" s="1"/>
  <c r="AN559" i="12"/>
  <c r="AO559" i="12" s="1"/>
  <c r="AN560" i="12"/>
  <c r="AO560" i="12" s="1"/>
  <c r="AN561" i="12"/>
  <c r="AO561" i="12" s="1"/>
  <c r="AN562" i="12"/>
  <c r="AO562" i="12" s="1"/>
  <c r="AN563" i="12"/>
  <c r="AO563" i="12" s="1"/>
  <c r="AN564" i="12"/>
  <c r="AO564" i="12" s="1"/>
  <c r="AN565" i="12"/>
  <c r="AO565" i="12" s="1"/>
  <c r="AN566" i="12"/>
  <c r="AO566" i="12" s="1"/>
  <c r="AN567" i="12"/>
  <c r="AO567" i="12" s="1"/>
  <c r="AN568" i="12"/>
  <c r="AO568" i="12" s="1"/>
  <c r="AN569" i="12"/>
  <c r="AO569" i="12" s="1"/>
  <c r="AN570" i="12"/>
  <c r="AO570" i="12" s="1"/>
  <c r="AN571" i="12"/>
  <c r="AO571" i="12" s="1"/>
  <c r="AN572" i="12"/>
  <c r="AO572" i="12" s="1"/>
  <c r="AN574" i="12"/>
  <c r="AO574" i="12" s="1"/>
  <c r="AN575" i="12"/>
  <c r="AO575" i="12" s="1"/>
  <c r="AN576" i="12"/>
  <c r="AO576" i="12" s="1"/>
  <c r="AN577" i="12"/>
  <c r="AO577" i="12" s="1"/>
  <c r="AN578" i="12"/>
  <c r="AO578" i="12" s="1"/>
  <c r="AN579" i="12"/>
  <c r="AO579" i="12" s="1"/>
  <c r="AN580" i="12"/>
  <c r="AO580" i="12" s="1"/>
  <c r="AN581" i="12"/>
  <c r="AO581" i="12" s="1"/>
  <c r="AN582" i="12"/>
  <c r="AO582" i="12" s="1"/>
  <c r="AN583" i="12"/>
  <c r="AO583" i="12" s="1"/>
  <c r="AN584" i="12"/>
  <c r="AO584" i="12" s="1"/>
  <c r="AN585" i="12"/>
  <c r="AO585" i="12" s="1"/>
  <c r="AN586" i="12"/>
  <c r="AO586" i="12" s="1"/>
  <c r="AN587" i="12"/>
  <c r="AO587" i="12" s="1"/>
  <c r="AN588" i="12"/>
  <c r="AO588" i="12" s="1"/>
  <c r="AN589" i="12"/>
  <c r="AO589" i="12" s="1"/>
  <c r="AN590" i="12"/>
  <c r="AO590" i="12" s="1"/>
  <c r="AN591" i="12"/>
  <c r="AO591" i="12" s="1"/>
  <c r="AN592" i="12"/>
  <c r="AO592" i="12" s="1"/>
  <c r="AN593" i="12"/>
  <c r="AO593" i="12" s="1"/>
  <c r="AN594" i="12"/>
  <c r="AO594" i="12" s="1"/>
  <c r="AN595" i="12"/>
  <c r="AO595" i="12" s="1"/>
  <c r="AN596" i="12"/>
  <c r="AO596" i="12" s="1"/>
  <c r="AN597" i="12"/>
  <c r="AO597" i="12" s="1"/>
  <c r="AN598" i="12"/>
  <c r="AO598" i="12" s="1"/>
  <c r="AN599" i="12"/>
  <c r="AO599" i="12" s="1"/>
  <c r="AN600" i="12"/>
  <c r="AO600" i="12" s="1"/>
  <c r="AN601" i="12"/>
  <c r="AO601" i="12" s="1"/>
  <c r="AN602" i="12"/>
  <c r="AO602" i="12" s="1"/>
  <c r="AN603" i="12"/>
  <c r="AO603" i="12" s="1"/>
  <c r="AN604" i="12"/>
  <c r="AO604" i="12" s="1"/>
  <c r="AN605" i="12"/>
  <c r="AO605" i="12" s="1"/>
  <c r="AN606" i="12"/>
  <c r="AO606" i="12" s="1"/>
  <c r="AN607" i="12"/>
  <c r="AO607" i="12" s="1"/>
  <c r="AN608" i="12"/>
  <c r="AO608" i="12" s="1"/>
  <c r="AN609" i="12"/>
  <c r="AO609" i="12" s="1"/>
  <c r="AN610" i="12"/>
  <c r="AO610" i="12" s="1"/>
  <c r="AN611" i="12"/>
  <c r="AO611" i="12" s="1"/>
  <c r="AN612" i="12"/>
  <c r="AO612" i="12" s="1"/>
  <c r="AN613" i="12"/>
  <c r="AO613" i="12" s="1"/>
  <c r="AN614" i="12"/>
  <c r="AO614" i="12" s="1"/>
  <c r="AN615" i="12"/>
  <c r="AO615" i="12" s="1"/>
  <c r="AN616" i="12"/>
  <c r="AO616" i="12" s="1"/>
  <c r="AN617" i="12"/>
  <c r="AO617" i="12" s="1"/>
  <c r="AN618" i="12"/>
  <c r="AO618" i="12" s="1"/>
  <c r="AN619" i="12"/>
  <c r="AO619" i="12" s="1"/>
  <c r="AN620" i="12"/>
  <c r="AO620" i="12" s="1"/>
  <c r="AN621" i="12"/>
  <c r="AO621" i="12" s="1"/>
  <c r="AN622" i="12"/>
  <c r="AO622" i="12" s="1"/>
  <c r="AN623" i="12"/>
  <c r="AO623" i="12" s="1"/>
  <c r="AN624" i="12"/>
  <c r="AO624" i="12" s="1"/>
  <c r="AN625" i="12"/>
  <c r="AO625" i="12" s="1"/>
  <c r="AN626" i="12"/>
  <c r="AO626" i="12" s="1"/>
  <c r="AN627" i="12"/>
  <c r="AO627" i="12" s="1"/>
  <c r="AN628" i="12"/>
  <c r="AO628" i="12" s="1"/>
  <c r="AN629" i="12"/>
  <c r="AO629" i="12" s="1"/>
  <c r="AN630" i="12"/>
  <c r="AO630" i="12" s="1"/>
  <c r="AN631" i="12"/>
  <c r="AO631" i="12" s="1"/>
  <c r="AN632" i="12"/>
  <c r="AO632" i="12" s="1"/>
  <c r="AN633" i="12"/>
  <c r="AO633" i="12" s="1"/>
  <c r="AN634" i="12"/>
  <c r="AO634" i="12" s="1"/>
  <c r="AN635" i="12"/>
  <c r="AO635" i="12" s="1"/>
  <c r="AN636" i="12"/>
  <c r="AO636" i="12" s="1"/>
  <c r="AN637" i="12"/>
  <c r="AO637" i="12" s="1"/>
  <c r="AN638" i="12"/>
  <c r="AO638" i="12" s="1"/>
  <c r="AN639" i="12"/>
  <c r="AO639" i="12" s="1"/>
  <c r="AN640" i="12"/>
  <c r="AO640" i="12" s="1"/>
  <c r="AN641" i="12"/>
  <c r="AO641" i="12" s="1"/>
  <c r="AN642" i="12"/>
  <c r="AO642" i="12" s="1"/>
  <c r="AN643" i="12"/>
  <c r="AO643" i="12" s="1"/>
  <c r="AN644" i="12"/>
  <c r="AO644" i="12" s="1"/>
  <c r="AN645" i="12"/>
  <c r="AO645" i="12" s="1"/>
  <c r="AN646" i="12"/>
  <c r="AO646" i="12" s="1"/>
  <c r="AN647" i="12"/>
  <c r="AO647" i="12" s="1"/>
  <c r="AN648" i="12"/>
  <c r="AO648" i="12" s="1"/>
  <c r="AN649" i="12"/>
  <c r="AO649" i="12" s="1"/>
  <c r="AN650" i="12"/>
  <c r="AO650" i="12" s="1"/>
  <c r="AN651" i="12"/>
  <c r="AO651" i="12" s="1"/>
  <c r="AN652" i="12"/>
  <c r="AO652" i="12" s="1"/>
  <c r="AN653" i="12"/>
  <c r="AO653" i="12" s="1"/>
  <c r="AN654" i="12"/>
  <c r="AO654" i="12" s="1"/>
  <c r="AN655" i="12"/>
  <c r="AO655" i="12" s="1"/>
  <c r="AN656" i="12"/>
  <c r="AO656" i="12" s="1"/>
  <c r="AN657" i="12"/>
  <c r="AO657" i="12" s="1"/>
  <c r="AN658" i="12"/>
  <c r="AO658" i="12" s="1"/>
  <c r="AN659" i="12"/>
  <c r="AO659" i="12" s="1"/>
  <c r="AN660" i="12"/>
  <c r="AO660" i="12" s="1"/>
  <c r="AN661" i="12"/>
  <c r="AO661" i="12" s="1"/>
  <c r="AN662" i="12"/>
  <c r="AO662" i="12" s="1"/>
  <c r="AN663" i="12"/>
  <c r="AO663" i="12" s="1"/>
  <c r="AN664" i="12"/>
  <c r="AO664" i="12" s="1"/>
  <c r="AN665" i="12"/>
  <c r="AO665" i="12" s="1"/>
  <c r="AN666" i="12"/>
  <c r="AO666" i="12" s="1"/>
  <c r="AN667" i="12"/>
  <c r="AO667" i="12" s="1"/>
  <c r="AN668" i="12"/>
  <c r="AO668" i="12" s="1"/>
  <c r="AN669" i="12"/>
  <c r="AO669" i="12" s="1"/>
  <c r="AN670" i="12"/>
  <c r="AO670" i="12" s="1"/>
  <c r="AN671" i="12"/>
  <c r="AO671" i="12" s="1"/>
  <c r="AN672" i="12"/>
  <c r="AO672" i="12" s="1"/>
  <c r="AN673" i="12"/>
  <c r="AO673" i="12" s="1"/>
  <c r="AN674" i="12"/>
  <c r="AO674" i="12" s="1"/>
  <c r="AN675" i="12"/>
  <c r="AO675" i="12" s="1"/>
  <c r="AN676" i="12"/>
  <c r="AO676" i="12" s="1"/>
  <c r="AN677" i="12"/>
  <c r="AO677" i="12" s="1"/>
  <c r="AN678" i="12"/>
  <c r="AO678" i="12" s="1"/>
  <c r="AN679" i="12"/>
  <c r="AO679" i="12" s="1"/>
  <c r="AN680" i="12"/>
  <c r="AO680" i="12" s="1"/>
  <c r="AN681" i="12"/>
  <c r="AO681" i="12" s="1"/>
  <c r="AN682" i="12"/>
  <c r="AO682" i="12" s="1"/>
  <c r="AN683" i="12"/>
  <c r="AO683" i="12" s="1"/>
  <c r="AN684" i="12"/>
  <c r="AO684" i="12" s="1"/>
  <c r="AN685" i="12"/>
  <c r="AO685" i="12" s="1"/>
  <c r="AN686" i="12"/>
  <c r="AO686" i="12" s="1"/>
  <c r="AN687" i="12"/>
  <c r="AO687" i="12" s="1"/>
  <c r="AN688" i="12"/>
  <c r="AO688" i="12" s="1"/>
  <c r="AN689" i="12"/>
  <c r="AO689" i="12" s="1"/>
  <c r="AN690" i="12"/>
  <c r="AO690" i="12" s="1"/>
  <c r="AN691" i="12"/>
  <c r="AO691" i="12" s="1"/>
  <c r="AN692" i="12"/>
  <c r="AO692" i="12" s="1"/>
  <c r="AN693" i="12"/>
  <c r="AO693" i="12" s="1"/>
  <c r="AN694" i="12"/>
  <c r="AO694" i="12" s="1"/>
  <c r="AN695" i="12"/>
  <c r="AO695" i="12" s="1"/>
  <c r="AN696" i="12"/>
  <c r="AO696" i="12" s="1"/>
  <c r="AN697" i="12"/>
  <c r="AO697" i="12" s="1"/>
  <c r="AN698" i="12"/>
  <c r="AO698" i="12" s="1"/>
  <c r="AN699" i="12"/>
  <c r="AO699" i="12" s="1"/>
  <c r="AN700" i="12"/>
  <c r="AO700" i="12" s="1"/>
  <c r="AN701" i="12"/>
  <c r="AO701" i="12" s="1"/>
  <c r="AN702" i="12"/>
  <c r="AO702" i="12" s="1"/>
  <c r="AN703" i="12"/>
  <c r="AO703" i="12" s="1"/>
  <c r="AN704" i="12"/>
  <c r="AO704" i="12" s="1"/>
  <c r="AN705" i="12"/>
  <c r="AO705" i="12" s="1"/>
  <c r="AN706" i="12"/>
  <c r="AO706" i="12" s="1"/>
  <c r="AN707" i="12"/>
  <c r="AO707" i="12" s="1"/>
  <c r="AN708" i="12"/>
  <c r="AO708" i="12" s="1"/>
  <c r="AN709" i="12"/>
  <c r="AO709" i="12" s="1"/>
  <c r="AN710" i="12"/>
  <c r="AO710" i="12" s="1"/>
  <c r="AN711" i="12"/>
  <c r="AO711" i="12" s="1"/>
  <c r="AN712" i="12"/>
  <c r="AO712" i="12" s="1"/>
  <c r="AN713" i="12"/>
  <c r="AO713" i="12" s="1"/>
  <c r="AN714" i="12"/>
  <c r="AO714" i="12" s="1"/>
  <c r="AN715" i="12"/>
  <c r="AO715" i="12" s="1"/>
  <c r="AN716" i="12"/>
  <c r="AO716" i="12" s="1"/>
  <c r="AN717" i="12"/>
  <c r="AO717" i="12" s="1"/>
  <c r="AN718" i="12"/>
  <c r="AO718" i="12" s="1"/>
  <c r="AN719" i="12"/>
  <c r="AO719" i="12" s="1"/>
  <c r="AN720" i="12"/>
  <c r="AO720" i="12" s="1"/>
  <c r="AN721" i="12"/>
  <c r="AO721" i="12" s="1"/>
  <c r="AN722" i="12"/>
  <c r="AO722" i="12" s="1"/>
  <c r="AN723" i="12"/>
  <c r="AO723" i="12" s="1"/>
  <c r="AN724" i="12"/>
  <c r="AO724" i="12" s="1"/>
  <c r="AN725" i="12"/>
  <c r="AO725" i="12" s="1"/>
  <c r="AN726" i="12"/>
  <c r="AO726" i="12" s="1"/>
  <c r="AN727" i="12"/>
  <c r="AO727" i="12" s="1"/>
  <c r="AN728" i="12"/>
  <c r="AO728" i="12" s="1"/>
  <c r="AN729" i="12"/>
  <c r="AO729" i="12" s="1"/>
  <c r="AN730" i="12"/>
  <c r="AO730" i="12" s="1"/>
  <c r="AN731" i="12"/>
  <c r="AO731" i="12" s="1"/>
  <c r="AN732" i="12"/>
  <c r="AO732" i="12" s="1"/>
  <c r="AN733" i="12"/>
  <c r="AO733" i="12" s="1"/>
  <c r="AN734" i="12"/>
  <c r="AO734" i="12" s="1"/>
  <c r="AN735" i="12"/>
  <c r="AO735" i="12" s="1"/>
  <c r="AN736" i="12"/>
  <c r="AO736" i="12" s="1"/>
  <c r="AN737" i="12"/>
  <c r="AO737" i="12" s="1"/>
  <c r="AN738" i="12"/>
  <c r="AO738" i="12" s="1"/>
  <c r="AN739" i="12"/>
  <c r="AO739" i="12" s="1"/>
  <c r="AN740" i="12"/>
  <c r="AO740" i="12" s="1"/>
  <c r="AN741" i="12"/>
  <c r="AO741" i="12" s="1"/>
  <c r="AN742" i="12"/>
  <c r="AO742" i="12" s="1"/>
  <c r="AN743" i="12"/>
  <c r="AO743" i="12" s="1"/>
  <c r="AN744" i="12"/>
  <c r="AO744" i="12" s="1"/>
  <c r="AN745" i="12"/>
  <c r="AO745" i="12" s="1"/>
  <c r="AN746" i="12"/>
  <c r="AO746" i="12" s="1"/>
  <c r="AN747" i="12"/>
  <c r="AO747" i="12" s="1"/>
  <c r="AN748" i="12"/>
  <c r="AO748" i="12" s="1"/>
  <c r="AN749" i="12"/>
  <c r="AO749" i="12" s="1"/>
  <c r="AN750" i="12"/>
  <c r="AO750" i="12" s="1"/>
  <c r="AN751" i="12"/>
  <c r="AO751" i="12" s="1"/>
  <c r="AN752" i="12"/>
  <c r="AO752" i="12" s="1"/>
  <c r="AN753" i="12"/>
  <c r="AO753" i="12" s="1"/>
  <c r="AN754" i="12"/>
  <c r="AO754" i="12" s="1"/>
  <c r="AN755" i="12"/>
  <c r="AO755" i="12" s="1"/>
  <c r="AN756" i="12"/>
  <c r="AO756" i="12" s="1"/>
  <c r="AN757" i="12"/>
  <c r="AO757" i="12" s="1"/>
  <c r="AN758" i="12"/>
  <c r="AO758" i="12" s="1"/>
  <c r="AN759" i="12"/>
  <c r="AO759" i="12" s="1"/>
  <c r="AN760" i="12"/>
  <c r="AO760" i="12" s="1"/>
  <c r="AN761" i="12"/>
  <c r="AO761" i="12" s="1"/>
  <c r="AN762" i="12"/>
  <c r="AO762" i="12" s="1"/>
  <c r="AN763" i="12"/>
  <c r="AO763" i="12" s="1"/>
  <c r="AN764" i="12"/>
  <c r="AO764" i="12" s="1"/>
  <c r="AN765" i="12"/>
  <c r="AO765" i="12" s="1"/>
  <c r="AN766" i="12"/>
  <c r="AO766" i="12" s="1"/>
  <c r="AN767" i="12"/>
  <c r="AO767" i="12" s="1"/>
  <c r="AN768" i="12"/>
  <c r="AO768" i="12" s="1"/>
  <c r="AN769" i="12"/>
  <c r="AO769" i="12" s="1"/>
  <c r="AN770" i="12"/>
  <c r="AO770" i="12" s="1"/>
  <c r="AN771" i="12"/>
  <c r="AO771" i="12" s="1"/>
  <c r="AN772" i="12"/>
  <c r="AO772" i="12" s="1"/>
  <c r="AN773" i="12"/>
  <c r="AO773" i="12" s="1"/>
  <c r="AN774" i="12"/>
  <c r="AO774" i="12" s="1"/>
  <c r="AN775" i="12"/>
  <c r="AO775" i="12" s="1"/>
  <c r="AN776" i="12"/>
  <c r="AO776" i="12" s="1"/>
  <c r="AN777" i="12"/>
  <c r="AO777" i="12" s="1"/>
  <c r="AN779" i="12"/>
  <c r="AO779" i="12" s="1"/>
  <c r="AO3" i="12"/>
  <c r="H779" i="12"/>
  <c r="H778" i="12"/>
  <c r="AD779" i="12"/>
  <c r="AM779" i="12"/>
  <c r="AM778" i="12"/>
  <c r="AD778" i="12"/>
  <c r="X779" i="12"/>
  <c r="X778" i="12"/>
  <c r="H777" i="12"/>
  <c r="AM777" i="12"/>
  <c r="AD777" i="12"/>
  <c r="X777" i="12"/>
  <c r="AD278" i="12" l="1"/>
  <c r="AM776" i="12" l="1"/>
  <c r="AD776" i="12"/>
  <c r="AM775" i="12"/>
  <c r="AD775" i="12"/>
  <c r="AM774" i="12"/>
  <c r="AD774" i="12"/>
  <c r="AM773" i="12"/>
  <c r="AD773" i="12"/>
  <c r="AM772" i="12"/>
  <c r="AD772" i="12"/>
  <c r="AM771" i="12"/>
  <c r="AD771" i="12"/>
  <c r="AM770" i="12"/>
  <c r="AD770" i="12"/>
  <c r="AM769" i="12"/>
  <c r="AD769" i="12"/>
  <c r="AM768" i="12"/>
  <c r="AD768" i="12"/>
  <c r="AM767" i="12"/>
  <c r="AD767" i="12"/>
  <c r="AM766" i="12"/>
  <c r="AD766" i="12"/>
  <c r="AM765" i="12"/>
  <c r="AD765" i="12"/>
  <c r="AM764" i="12"/>
  <c r="AD764" i="12"/>
  <c r="AM763" i="12"/>
  <c r="AD763" i="12"/>
  <c r="AM762" i="12"/>
  <c r="AD762" i="12"/>
  <c r="AM761" i="12"/>
  <c r="AD761" i="12"/>
  <c r="AM760" i="12"/>
  <c r="AD760" i="12"/>
  <c r="AM759" i="12"/>
  <c r="AD759" i="12"/>
  <c r="AM758" i="12"/>
  <c r="AD758" i="12"/>
  <c r="AM757" i="12"/>
  <c r="AD757" i="12"/>
  <c r="AM756" i="12"/>
  <c r="AD756" i="12"/>
  <c r="AM755" i="12"/>
  <c r="AD755" i="12"/>
  <c r="AM754" i="12"/>
  <c r="AD754" i="12"/>
  <c r="AM753" i="12"/>
  <c r="AD753" i="12"/>
  <c r="AM752" i="12"/>
  <c r="AD752" i="12"/>
  <c r="AM751" i="12"/>
  <c r="AD751" i="12"/>
  <c r="AM750" i="12"/>
  <c r="AD750" i="12"/>
  <c r="AM749" i="12"/>
  <c r="AD749" i="12"/>
  <c r="AM748" i="12"/>
  <c r="AD748" i="12"/>
  <c r="AM747" i="12"/>
  <c r="AD747" i="12"/>
  <c r="AM746" i="12"/>
  <c r="AD746" i="12"/>
  <c r="AM745" i="12"/>
  <c r="AD745" i="12"/>
  <c r="AM744" i="12"/>
  <c r="AD744" i="12"/>
  <c r="AM743" i="12"/>
  <c r="AD743" i="12"/>
  <c r="AM742" i="12"/>
  <c r="AD742" i="12"/>
  <c r="AM741" i="12"/>
  <c r="AD741" i="12"/>
  <c r="AM740" i="12"/>
  <c r="AD740" i="12"/>
  <c r="AM739" i="12"/>
  <c r="AD739" i="12"/>
  <c r="AM738" i="12"/>
  <c r="AD738" i="12"/>
  <c r="AM737" i="12"/>
  <c r="AD737" i="12"/>
  <c r="AM736" i="12"/>
  <c r="AD736" i="12"/>
  <c r="AM735" i="12"/>
  <c r="AD735" i="12"/>
  <c r="AM734" i="12"/>
  <c r="AD734" i="12"/>
  <c r="AM733" i="12"/>
  <c r="AD733" i="12"/>
  <c r="AM732" i="12"/>
  <c r="AD732" i="12"/>
  <c r="AM731" i="12"/>
  <c r="AD731" i="12"/>
  <c r="AM730" i="12"/>
  <c r="AD730" i="12"/>
  <c r="AM729" i="12"/>
  <c r="AD729" i="12"/>
  <c r="AM728" i="12"/>
  <c r="AD728" i="12"/>
  <c r="AM727" i="12"/>
  <c r="AD727" i="12"/>
  <c r="AM726" i="12"/>
  <c r="AD726" i="12"/>
  <c r="AM725" i="12"/>
  <c r="AD725" i="12"/>
  <c r="AM724" i="12"/>
  <c r="AD724" i="12"/>
  <c r="AM723" i="12"/>
  <c r="AD723" i="12"/>
  <c r="AM722" i="12"/>
  <c r="AD722" i="12"/>
  <c r="AM721" i="12"/>
  <c r="AD721" i="12"/>
  <c r="AM720" i="12"/>
  <c r="AD720" i="12"/>
  <c r="AM719" i="12"/>
  <c r="AD719" i="12"/>
  <c r="AM718" i="12"/>
  <c r="AD718" i="12"/>
  <c r="AM717" i="12"/>
  <c r="AD717" i="12"/>
  <c r="AM716" i="12"/>
  <c r="AD716" i="12"/>
  <c r="AM715" i="12"/>
  <c r="AD715" i="12"/>
  <c r="AM714" i="12"/>
  <c r="AD714" i="12"/>
  <c r="AM713" i="12"/>
  <c r="AD713" i="12"/>
  <c r="AM712" i="12"/>
  <c r="AD712" i="12"/>
  <c r="AM711" i="12"/>
  <c r="AD711" i="12"/>
  <c r="AM710" i="12"/>
  <c r="AD710" i="12"/>
  <c r="AM709" i="12"/>
  <c r="AD709" i="12"/>
  <c r="AM708" i="12"/>
  <c r="AD708" i="12"/>
  <c r="AM707" i="12"/>
  <c r="AD707" i="12"/>
  <c r="AM706" i="12"/>
  <c r="AD706" i="12"/>
  <c r="AM705" i="12"/>
  <c r="AD705" i="12"/>
  <c r="AM704" i="12"/>
  <c r="AD704" i="12"/>
  <c r="AM703" i="12"/>
  <c r="AD703" i="12"/>
  <c r="AM702" i="12"/>
  <c r="AD702" i="12"/>
  <c r="AM701" i="12"/>
  <c r="AD701" i="12"/>
  <c r="AM700" i="12"/>
  <c r="AD700" i="12"/>
  <c r="AM699" i="12"/>
  <c r="AD699" i="12"/>
  <c r="AM698" i="12"/>
  <c r="AD698" i="12"/>
  <c r="AM697" i="12"/>
  <c r="AD697" i="12"/>
  <c r="AM696" i="12"/>
  <c r="AD696" i="12"/>
  <c r="AM695" i="12"/>
  <c r="AD695" i="12"/>
  <c r="AM694" i="12"/>
  <c r="AD694" i="12"/>
  <c r="AM693" i="12"/>
  <c r="AD693" i="12"/>
  <c r="AM692" i="12"/>
  <c r="AD692" i="12"/>
  <c r="AM691" i="12"/>
  <c r="AD691" i="12"/>
  <c r="AM690" i="12"/>
  <c r="AD690" i="12"/>
  <c r="AM689" i="12"/>
  <c r="AD689" i="12"/>
  <c r="AM688" i="12"/>
  <c r="AD688" i="12"/>
  <c r="AM687" i="12"/>
  <c r="AD687" i="12"/>
  <c r="AM686" i="12"/>
  <c r="AD686" i="12"/>
  <c r="AM685" i="12"/>
  <c r="AD685" i="12"/>
  <c r="AM684" i="12"/>
  <c r="AD684" i="12"/>
  <c r="AM683" i="12"/>
  <c r="AD683" i="12"/>
  <c r="AM682" i="12"/>
  <c r="AD682" i="12"/>
  <c r="AM681" i="12"/>
  <c r="AD681" i="12"/>
  <c r="AM680" i="12"/>
  <c r="AD680" i="12"/>
  <c r="AM679" i="12"/>
  <c r="AD679" i="12"/>
  <c r="AM678" i="12"/>
  <c r="AD678" i="12"/>
  <c r="AM677" i="12"/>
  <c r="AD677" i="12"/>
  <c r="AM676" i="12"/>
  <c r="AD676" i="12"/>
  <c r="AM675" i="12"/>
  <c r="AD675" i="12"/>
  <c r="AM674" i="12"/>
  <c r="AD674" i="12"/>
  <c r="AM673" i="12"/>
  <c r="AD673" i="12"/>
  <c r="AM672" i="12"/>
  <c r="AD672" i="12"/>
  <c r="AM671" i="12"/>
  <c r="AD671" i="12"/>
  <c r="AM670" i="12"/>
  <c r="AD670" i="12"/>
  <c r="AM669" i="12"/>
  <c r="AD669" i="12"/>
  <c r="AM668" i="12"/>
  <c r="AD668" i="12"/>
  <c r="AM667" i="12"/>
  <c r="AD667" i="12"/>
  <c r="AM666" i="12"/>
  <c r="AD666" i="12"/>
  <c r="AM665" i="12"/>
  <c r="AD665" i="12"/>
  <c r="AM664" i="12"/>
  <c r="AD664" i="12"/>
  <c r="AM663" i="12"/>
  <c r="AD663" i="12"/>
  <c r="AM662" i="12"/>
  <c r="AD662" i="12"/>
  <c r="AM661" i="12"/>
  <c r="AD661" i="12"/>
  <c r="AM660" i="12"/>
  <c r="AD660" i="12"/>
  <c r="AM659" i="12"/>
  <c r="AD659" i="12"/>
  <c r="AM658" i="12"/>
  <c r="AD658" i="12"/>
  <c r="AM657" i="12"/>
  <c r="AD657" i="12"/>
  <c r="AM656" i="12"/>
  <c r="AD656" i="12"/>
  <c r="AM655" i="12"/>
  <c r="AD655" i="12"/>
  <c r="AM654" i="12"/>
  <c r="AD654" i="12"/>
  <c r="AM653" i="12"/>
  <c r="AD653" i="12"/>
  <c r="AM652" i="12"/>
  <c r="AD652" i="12"/>
  <c r="AM651" i="12"/>
  <c r="AD651" i="12"/>
  <c r="AM650" i="12"/>
  <c r="AD650" i="12"/>
  <c r="AM649" i="12"/>
  <c r="AD649" i="12"/>
  <c r="AM648" i="12"/>
  <c r="AD648" i="12"/>
  <c r="AM647" i="12"/>
  <c r="AD647" i="12"/>
  <c r="AM646" i="12"/>
  <c r="AD646" i="12"/>
  <c r="AM645" i="12"/>
  <c r="AD645" i="12"/>
  <c r="AM644" i="12"/>
  <c r="AD644" i="12"/>
  <c r="AM643" i="12"/>
  <c r="AD643" i="12"/>
  <c r="AM642" i="12"/>
  <c r="AD642" i="12"/>
  <c r="AM641" i="12"/>
  <c r="AD641" i="12"/>
  <c r="AM640" i="12"/>
  <c r="AD640" i="12"/>
  <c r="AM639" i="12"/>
  <c r="AD639" i="12"/>
  <c r="AM638" i="12"/>
  <c r="AD638" i="12"/>
  <c r="AM637" i="12"/>
  <c r="AD637" i="12"/>
  <c r="AM636" i="12"/>
  <c r="AD636" i="12"/>
  <c r="AM635" i="12"/>
  <c r="AD635" i="12"/>
  <c r="AM634" i="12"/>
  <c r="AD634" i="12"/>
  <c r="AM633" i="12"/>
  <c r="AD633" i="12"/>
  <c r="AM632" i="12"/>
  <c r="AD632" i="12"/>
  <c r="AM631" i="12"/>
  <c r="AD631" i="12"/>
  <c r="AM630" i="12"/>
  <c r="AD630" i="12"/>
  <c r="AM629" i="12"/>
  <c r="AD629" i="12"/>
  <c r="AM628" i="12"/>
  <c r="AD628" i="12"/>
  <c r="AM627" i="12"/>
  <c r="AD627" i="12"/>
  <c r="AM626" i="12"/>
  <c r="AD626" i="12"/>
  <c r="AM625" i="12"/>
  <c r="AD625" i="12"/>
  <c r="AM624" i="12"/>
  <c r="AD624" i="12"/>
  <c r="AM623" i="12"/>
  <c r="AD623" i="12"/>
  <c r="AM622" i="12"/>
  <c r="AD622" i="12"/>
  <c r="AM621" i="12"/>
  <c r="AD621" i="12"/>
  <c r="AM620" i="12"/>
  <c r="AD620" i="12"/>
  <c r="AM619" i="12"/>
  <c r="AD619" i="12"/>
  <c r="AM618" i="12"/>
  <c r="AD618" i="12"/>
  <c r="AM617" i="12"/>
  <c r="AD617" i="12"/>
  <c r="AM616" i="12"/>
  <c r="AD616" i="12"/>
  <c r="AM615" i="12"/>
  <c r="AD615" i="12"/>
  <c r="AM614" i="12"/>
  <c r="AD614" i="12"/>
  <c r="AM613" i="12"/>
  <c r="AD613" i="12"/>
  <c r="AM612" i="12"/>
  <c r="AD612" i="12"/>
  <c r="AM611" i="12"/>
  <c r="AD611" i="12"/>
  <c r="AM610" i="12"/>
  <c r="AD610" i="12"/>
  <c r="AD609" i="12"/>
  <c r="H775" i="12" l="1"/>
  <c r="H771" i="12"/>
  <c r="H762" i="12"/>
  <c r="H650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  <c r="X677" i="12"/>
  <c r="X678" i="12"/>
  <c r="X679" i="12"/>
  <c r="X680" i="12"/>
  <c r="X681" i="12"/>
  <c r="X682" i="12"/>
  <c r="X683" i="12"/>
  <c r="X684" i="12"/>
  <c r="X685" i="12"/>
  <c r="X686" i="12"/>
  <c r="X687" i="12"/>
  <c r="X688" i="12"/>
  <c r="X689" i="12"/>
  <c r="X690" i="12"/>
  <c r="X691" i="12"/>
  <c r="X692" i="12"/>
  <c r="X693" i="12"/>
  <c r="X694" i="12"/>
  <c r="X695" i="12"/>
  <c r="X696" i="12"/>
  <c r="X697" i="12"/>
  <c r="X698" i="12"/>
  <c r="X699" i="12"/>
  <c r="X700" i="12"/>
  <c r="X701" i="12"/>
  <c r="X702" i="12"/>
  <c r="X703" i="12"/>
  <c r="X704" i="12"/>
  <c r="X705" i="12"/>
  <c r="X706" i="12"/>
  <c r="X707" i="12"/>
  <c r="X708" i="12"/>
  <c r="X709" i="12"/>
  <c r="X710" i="12"/>
  <c r="X711" i="12"/>
  <c r="X712" i="12"/>
  <c r="X713" i="12"/>
  <c r="X714" i="12"/>
  <c r="X715" i="12"/>
  <c r="X716" i="12"/>
  <c r="X717" i="12"/>
  <c r="X718" i="12"/>
  <c r="X719" i="12"/>
  <c r="X720" i="12"/>
  <c r="X721" i="12"/>
  <c r="X722" i="12"/>
  <c r="X723" i="12"/>
  <c r="X724" i="12"/>
  <c r="X725" i="12"/>
  <c r="X726" i="12"/>
  <c r="X727" i="12"/>
  <c r="X728" i="12"/>
  <c r="X729" i="12"/>
  <c r="X730" i="12"/>
  <c r="X731" i="12"/>
  <c r="X732" i="12"/>
  <c r="X733" i="12"/>
  <c r="X734" i="12"/>
  <c r="X735" i="12"/>
  <c r="X736" i="12"/>
  <c r="X737" i="12"/>
  <c r="X738" i="12"/>
  <c r="X739" i="12"/>
  <c r="X740" i="12"/>
  <c r="X741" i="12"/>
  <c r="X742" i="12"/>
  <c r="X743" i="12"/>
  <c r="X744" i="12"/>
  <c r="X745" i="12"/>
  <c r="X746" i="12"/>
  <c r="X747" i="12"/>
  <c r="X748" i="12"/>
  <c r="X749" i="12"/>
  <c r="X750" i="12"/>
  <c r="X751" i="12"/>
  <c r="X752" i="12"/>
  <c r="X753" i="12"/>
  <c r="X754" i="12"/>
  <c r="X755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773" i="12"/>
  <c r="X774" i="12"/>
  <c r="X775" i="12"/>
  <c r="X776" i="12"/>
  <c r="AM609" i="12" l="1"/>
  <c r="AM608" i="12"/>
  <c r="AD608" i="12"/>
  <c r="X609" i="12"/>
  <c r="X608" i="12"/>
  <c r="N21" i="12"/>
  <c r="O21" i="12"/>
  <c r="L21" i="12"/>
  <c r="Q21" i="12"/>
  <c r="H21" i="12"/>
  <c r="AM21" i="12"/>
  <c r="AD21" i="12"/>
  <c r="X21" i="12"/>
  <c r="H521" i="12" l="1"/>
  <c r="H520" i="12"/>
  <c r="H519" i="12"/>
  <c r="H518" i="12"/>
  <c r="H517" i="12"/>
  <c r="H516" i="12"/>
  <c r="AM520" i="12"/>
  <c r="AM519" i="12"/>
  <c r="AM518" i="12"/>
  <c r="AM517" i="12"/>
  <c r="AM516" i="12"/>
  <c r="X516" i="12"/>
  <c r="G14" i="11"/>
  <c r="AM607" i="12" l="1"/>
  <c r="AM606" i="12"/>
  <c r="AM605" i="12"/>
  <c r="AM604" i="12"/>
  <c r="AM603" i="12"/>
  <c r="AM602" i="12"/>
  <c r="AM601" i="12"/>
  <c r="AM600" i="12"/>
  <c r="AM599" i="12"/>
  <c r="AM598" i="12"/>
  <c r="AM597" i="12"/>
  <c r="AM596" i="12"/>
  <c r="AM595" i="12"/>
  <c r="AM594" i="12"/>
  <c r="AM593" i="12"/>
  <c r="AM592" i="12"/>
  <c r="AM591" i="12"/>
  <c r="AM590" i="12"/>
  <c r="AM589" i="12"/>
  <c r="AM588" i="12"/>
  <c r="AM587" i="12"/>
  <c r="AM586" i="12"/>
  <c r="AM585" i="12"/>
  <c r="AM584" i="12"/>
  <c r="AM583" i="12"/>
  <c r="AM582" i="12"/>
  <c r="AM581" i="12"/>
  <c r="AM580" i="12"/>
  <c r="AM579" i="12"/>
  <c r="AM578" i="12"/>
  <c r="AM577" i="12"/>
  <c r="AM576" i="12"/>
  <c r="AM575" i="12"/>
  <c r="AM574" i="12"/>
  <c r="AD574" i="12"/>
  <c r="X574" i="12"/>
  <c r="X572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AM572" i="12"/>
  <c r="AD572" i="12"/>
  <c r="AM571" i="12"/>
  <c r="AD571" i="12"/>
  <c r="AM570" i="12"/>
  <c r="AD570" i="12"/>
  <c r="AM569" i="12"/>
  <c r="AD569" i="12"/>
  <c r="AM568" i="12"/>
  <c r="AD568" i="12"/>
  <c r="AM567" i="12"/>
  <c r="AD567" i="12"/>
  <c r="AM566" i="12"/>
  <c r="AD566" i="12"/>
  <c r="AM565" i="12"/>
  <c r="AD565" i="12"/>
  <c r="AM564" i="12"/>
  <c r="AD564" i="12"/>
  <c r="AM563" i="12"/>
  <c r="AD563" i="12"/>
  <c r="AM562" i="12"/>
  <c r="AD562" i="12"/>
  <c r="AM561" i="12"/>
  <c r="AD561" i="12"/>
  <c r="AM560" i="12"/>
  <c r="AD560" i="12"/>
  <c r="AM559" i="12"/>
  <c r="AD559" i="12"/>
  <c r="AM558" i="12"/>
  <c r="AD558" i="12"/>
  <c r="AM557" i="12"/>
  <c r="AD557" i="12"/>
  <c r="AM556" i="12"/>
  <c r="AD556" i="12"/>
  <c r="AM555" i="12"/>
  <c r="AD555" i="12"/>
  <c r="AM554" i="12"/>
  <c r="AD554" i="12"/>
  <c r="AM553" i="12"/>
  <c r="AD553" i="12"/>
  <c r="AM552" i="12"/>
  <c r="AD552" i="12"/>
  <c r="AM551" i="12"/>
  <c r="AD551" i="12"/>
  <c r="AM550" i="12"/>
  <c r="AD550" i="12"/>
  <c r="AM549" i="12"/>
  <c r="AD549" i="12"/>
  <c r="AM548" i="12"/>
  <c r="AD548" i="12"/>
  <c r="AM547" i="12"/>
  <c r="AD547" i="12"/>
  <c r="AM546" i="12"/>
  <c r="AD546" i="12"/>
  <c r="AM545" i="12"/>
  <c r="AD545" i="12"/>
  <c r="AM544" i="12"/>
  <c r="AD544" i="12"/>
  <c r="AM543" i="12"/>
  <c r="AD543" i="12"/>
  <c r="AM542" i="12"/>
  <c r="AD542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AM540" i="12"/>
  <c r="AM539" i="12"/>
  <c r="AM538" i="12"/>
  <c r="AM537" i="12"/>
  <c r="AM536" i="12"/>
  <c r="AM535" i="12"/>
  <c r="AM534" i="12"/>
  <c r="AM533" i="12"/>
  <c r="AM532" i="12"/>
  <c r="AM531" i="12"/>
  <c r="AM530" i="12"/>
  <c r="AM529" i="12"/>
  <c r="AM528" i="12"/>
  <c r="AM527" i="12"/>
  <c r="AM526" i="12"/>
  <c r="AM525" i="12"/>
  <c r="AM521" i="12"/>
  <c r="AM515" i="12"/>
  <c r="AM514" i="12"/>
  <c r="AM513" i="12"/>
  <c r="AM512" i="12"/>
  <c r="AM511" i="12"/>
  <c r="AM510" i="12"/>
  <c r="AM509" i="12"/>
  <c r="AM508" i="12"/>
  <c r="AM507" i="12"/>
  <c r="AM506" i="12"/>
  <c r="AM505" i="12"/>
  <c r="AM504" i="12"/>
  <c r="AM502" i="12"/>
  <c r="AD502" i="12"/>
  <c r="X502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AM323" i="12"/>
  <c r="AM322" i="12"/>
  <c r="AM321" i="12"/>
  <c r="AM320" i="12"/>
  <c r="AM319" i="12"/>
  <c r="AM318" i="12"/>
  <c r="AM317" i="12"/>
  <c r="AM316" i="12"/>
  <c r="AM315" i="12"/>
  <c r="AM314" i="12"/>
  <c r="AM313" i="12"/>
  <c r="AM312" i="12"/>
  <c r="AM311" i="12"/>
  <c r="AM310" i="12"/>
  <c r="AM309" i="12"/>
  <c r="AM308" i="12"/>
  <c r="AM307" i="12"/>
  <c r="AM306" i="12"/>
  <c r="AM305" i="12"/>
  <c r="AM304" i="12"/>
  <c r="AM303" i="12"/>
  <c r="AM302" i="12"/>
  <c r="AM301" i="12"/>
  <c r="AM300" i="12"/>
  <c r="AM299" i="12"/>
  <c r="AD299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AM501" i="12"/>
  <c r="AM500" i="12"/>
  <c r="AM499" i="12"/>
  <c r="AM498" i="12"/>
  <c r="AM497" i="12"/>
  <c r="AM496" i="12"/>
  <c r="AM495" i="12"/>
  <c r="AM494" i="12"/>
  <c r="AM493" i="12"/>
  <c r="AM492" i="12"/>
  <c r="AM491" i="12"/>
  <c r="AM490" i="12"/>
  <c r="AM489" i="12"/>
  <c r="AM488" i="12"/>
  <c r="AM487" i="12"/>
  <c r="AM486" i="12"/>
  <c r="AM485" i="12"/>
  <c r="AM484" i="12"/>
  <c r="AM483" i="12"/>
  <c r="AD483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AM296" i="12"/>
  <c r="AM295" i="12"/>
  <c r="AM294" i="12"/>
  <c r="AM293" i="12"/>
  <c r="AM292" i="12"/>
  <c r="AM291" i="12"/>
  <c r="AM290" i="12"/>
  <c r="AM289" i="12"/>
  <c r="AM288" i="12"/>
  <c r="AM286" i="12"/>
  <c r="AM285" i="12"/>
  <c r="AM284" i="12"/>
  <c r="AM283" i="12"/>
  <c r="AM282" i="12"/>
  <c r="AM281" i="12"/>
  <c r="AM280" i="12"/>
  <c r="AD280" i="12"/>
  <c r="X286" i="12"/>
  <c r="X285" i="12"/>
  <c r="X284" i="12"/>
  <c r="X283" i="12"/>
  <c r="X282" i="12"/>
  <c r="X281" i="12"/>
  <c r="X280" i="12"/>
  <c r="X288" i="12"/>
  <c r="X289" i="12"/>
  <c r="X290" i="12"/>
  <c r="X291" i="12"/>
  <c r="X292" i="12"/>
  <c r="X293" i="12"/>
  <c r="X294" i="12"/>
  <c r="X295" i="12"/>
  <c r="X296" i="12"/>
  <c r="AM482" i="12" l="1"/>
  <c r="AM481" i="12"/>
  <c r="AM480" i="12"/>
  <c r="AM479" i="12"/>
  <c r="AM478" i="12"/>
  <c r="AM477" i="12"/>
  <c r="AM476" i="12"/>
  <c r="AM475" i="12"/>
  <c r="AM474" i="12"/>
  <c r="AM473" i="12"/>
  <c r="AM472" i="12"/>
  <c r="AM471" i="12"/>
  <c r="AM470" i="12"/>
  <c r="AM469" i="12"/>
  <c r="AM468" i="12"/>
  <c r="AM467" i="12"/>
  <c r="AM466" i="12"/>
  <c r="AM465" i="12"/>
  <c r="AM464" i="12"/>
  <c r="AM463" i="12"/>
  <c r="AM462" i="12"/>
  <c r="AM461" i="12"/>
  <c r="AM460" i="12"/>
  <c r="AM459" i="12"/>
  <c r="AM458" i="12"/>
  <c r="AM457" i="12"/>
  <c r="AM456" i="12"/>
  <c r="AM455" i="12"/>
  <c r="AM454" i="12"/>
  <c r="AM453" i="12"/>
  <c r="AM452" i="12"/>
  <c r="AM451" i="12"/>
  <c r="AM450" i="12"/>
  <c r="AM449" i="12"/>
  <c r="AM448" i="12"/>
  <c r="AM447" i="12"/>
  <c r="AD447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279" i="12"/>
  <c r="X278" i="12"/>
  <c r="AM446" i="12"/>
  <c r="AM445" i="12"/>
  <c r="AM444" i="12"/>
  <c r="AM443" i="12"/>
  <c r="AM442" i="12"/>
  <c r="AM441" i="12"/>
  <c r="AM440" i="12"/>
  <c r="AM439" i="12"/>
  <c r="AM438" i="12"/>
  <c r="AM437" i="12"/>
  <c r="AM436" i="12"/>
  <c r="AM435" i="12"/>
  <c r="AM434" i="12"/>
  <c r="AM433" i="12"/>
  <c r="AM432" i="12"/>
  <c r="AM431" i="12"/>
  <c r="AM430" i="12"/>
  <c r="AM429" i="12"/>
  <c r="AM428" i="12"/>
  <c r="AM427" i="12"/>
  <c r="AD427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AM248" i="12"/>
  <c r="AD248" i="12"/>
  <c r="X257" i="12"/>
  <c r="X256" i="12"/>
  <c r="X255" i="12"/>
  <c r="X254" i="12"/>
  <c r="X253" i="12"/>
  <c r="X252" i="12"/>
  <c r="X251" i="12"/>
  <c r="X250" i="12"/>
  <c r="X249" i="12"/>
  <c r="X248" i="12"/>
  <c r="AM247" i="12" l="1"/>
  <c r="AD247" i="12"/>
  <c r="AM246" i="12"/>
  <c r="AD246" i="12"/>
  <c r="AM245" i="12"/>
  <c r="AD245" i="12"/>
  <c r="X247" i="12"/>
  <c r="X246" i="12"/>
  <c r="X245" i="12"/>
  <c r="AM244" i="12"/>
  <c r="AD244" i="12"/>
  <c r="X244" i="12"/>
  <c r="H244" i="12"/>
  <c r="AM58" i="12"/>
  <c r="AD58" i="12"/>
  <c r="AM57" i="12"/>
  <c r="AD57" i="12"/>
  <c r="AM56" i="12"/>
  <c r="AD56" i="12"/>
  <c r="AM55" i="12"/>
  <c r="AD55" i="12"/>
  <c r="AM53" i="12"/>
  <c r="AD53" i="12"/>
  <c r="AM52" i="12"/>
  <c r="AD52" i="12"/>
  <c r="AM51" i="12"/>
  <c r="AD51" i="12"/>
  <c r="AM50" i="12"/>
  <c r="AD50" i="12"/>
  <c r="X58" i="12"/>
  <c r="X57" i="12"/>
  <c r="X56" i="12"/>
  <c r="X55" i="12"/>
  <c r="X52" i="12"/>
  <c r="X50" i="12"/>
  <c r="AM426" i="12"/>
  <c r="AD426" i="12"/>
  <c r="AM425" i="12"/>
  <c r="AD425" i="12"/>
  <c r="AM424" i="12"/>
  <c r="AD424" i="12"/>
  <c r="AM423" i="12"/>
  <c r="AD423" i="12"/>
  <c r="AM422" i="12"/>
  <c r="AD422" i="12"/>
  <c r="AM421" i="12"/>
  <c r="AD421" i="12"/>
  <c r="AM420" i="12"/>
  <c r="AD420" i="12"/>
  <c r="AM419" i="12"/>
  <c r="AD419" i="12"/>
  <c r="AM418" i="12"/>
  <c r="AD418" i="12"/>
  <c r="AM417" i="12"/>
  <c r="AD417" i="12"/>
  <c r="AM416" i="12"/>
  <c r="AD416" i="12"/>
  <c r="AM415" i="12"/>
  <c r="AD415" i="12"/>
  <c r="AM414" i="12"/>
  <c r="AD414" i="12"/>
  <c r="AM413" i="12"/>
  <c r="AD413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AM412" i="12"/>
  <c r="AM411" i="12"/>
  <c r="AM409" i="12"/>
  <c r="AM408" i="12"/>
  <c r="AM407" i="12"/>
  <c r="AM406" i="12"/>
  <c r="AM405" i="12"/>
  <c r="AM404" i="12"/>
  <c r="AM403" i="12"/>
  <c r="AM402" i="12"/>
  <c r="AM401" i="12"/>
  <c r="AM400" i="12"/>
  <c r="AM399" i="12"/>
  <c r="AM398" i="12"/>
  <c r="AM397" i="12"/>
  <c r="AM396" i="12"/>
  <c r="AM395" i="12"/>
  <c r="AM394" i="12"/>
  <c r="AM393" i="12"/>
  <c r="AM392" i="12"/>
  <c r="AM391" i="12"/>
  <c r="AM390" i="12"/>
  <c r="AM389" i="12"/>
  <c r="AM388" i="12"/>
  <c r="AM387" i="12"/>
  <c r="AM386" i="12"/>
  <c r="AM385" i="12"/>
  <c r="AM384" i="12"/>
  <c r="AM383" i="12"/>
  <c r="AM382" i="12"/>
  <c r="AM381" i="12"/>
  <c r="AM380" i="12"/>
  <c r="AM379" i="12"/>
  <c r="AM378" i="12"/>
  <c r="AM377" i="12"/>
  <c r="AM376" i="12"/>
  <c r="AM375" i="12"/>
  <c r="AM374" i="12"/>
  <c r="AM373" i="12"/>
  <c r="AM372" i="12"/>
  <c r="AM371" i="12"/>
  <c r="AM370" i="12"/>
  <c r="AM369" i="12"/>
  <c r="AM368" i="12"/>
  <c r="AM367" i="12"/>
  <c r="AM366" i="12"/>
  <c r="AM365" i="12"/>
  <c r="AM364" i="12"/>
  <c r="AM363" i="12"/>
  <c r="AM362" i="12"/>
  <c r="AM361" i="12"/>
  <c r="AM360" i="12"/>
  <c r="AD360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277" i="12" l="1"/>
  <c r="X275" i="12"/>
  <c r="X274" i="12"/>
  <c r="X273" i="12"/>
  <c r="X272" i="12"/>
  <c r="X271" i="12"/>
  <c r="X269" i="12"/>
  <c r="X268" i="12"/>
  <c r="X267" i="12"/>
  <c r="X266" i="12"/>
  <c r="X264" i="12"/>
  <c r="X263" i="12"/>
  <c r="X262" i="12"/>
  <c r="X261" i="12"/>
  <c r="X260" i="12"/>
  <c r="X259" i="12"/>
  <c r="X258" i="12"/>
  <c r="AD234" i="12" l="1"/>
  <c r="AD232" i="12"/>
  <c r="AD231" i="12"/>
  <c r="AD230" i="12"/>
  <c r="AD229" i="12"/>
  <c r="AD228" i="12"/>
  <c r="X164" i="12"/>
  <c r="X150" i="12"/>
  <c r="X125" i="12"/>
  <c r="H123" i="12"/>
  <c r="AM123" i="12"/>
  <c r="AD123" i="12"/>
  <c r="X123" i="12"/>
  <c r="H188" i="12" l="1"/>
  <c r="X188" i="12"/>
  <c r="AD122" i="12" l="1"/>
  <c r="AD121" i="12"/>
  <c r="AD120" i="12"/>
  <c r="AD119" i="12"/>
  <c r="AD118" i="12"/>
  <c r="AD117" i="12"/>
  <c r="AD116" i="12"/>
  <c r="AD115" i="12"/>
  <c r="AD114" i="12"/>
  <c r="AD113" i="12"/>
  <c r="AD112" i="12"/>
  <c r="AD111" i="12"/>
  <c r="AD110" i="12"/>
  <c r="AD109" i="12"/>
  <c r="AD108" i="12"/>
  <c r="H353" i="12" l="1"/>
  <c r="H352" i="12"/>
  <c r="H351" i="12"/>
  <c r="AM353" i="12"/>
  <c r="AD353" i="12"/>
  <c r="AM352" i="12"/>
  <c r="AD352" i="12"/>
  <c r="AM351" i="12"/>
  <c r="AD351" i="12"/>
  <c r="X353" i="12"/>
  <c r="X352" i="12"/>
  <c r="X351" i="12"/>
  <c r="H343" i="12"/>
  <c r="AM343" i="12"/>
  <c r="AD343" i="12"/>
  <c r="H358" i="12"/>
  <c r="H357" i="12"/>
  <c r="H356" i="12"/>
  <c r="H355" i="12"/>
  <c r="H354" i="12"/>
  <c r="H350" i="12"/>
  <c r="H349" i="12"/>
  <c r="H348" i="12"/>
  <c r="H347" i="12"/>
  <c r="H346" i="12"/>
  <c r="H345" i="12"/>
  <c r="H344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AM359" i="12"/>
  <c r="AM358" i="12"/>
  <c r="AM357" i="12"/>
  <c r="AM356" i="12"/>
  <c r="AM355" i="12"/>
  <c r="AM354" i="12"/>
  <c r="AD354" i="12"/>
  <c r="AM350" i="12"/>
  <c r="AD350" i="12"/>
  <c r="AM349" i="12"/>
  <c r="AD349" i="12"/>
  <c r="AM348" i="12"/>
  <c r="AD348" i="12"/>
  <c r="AM347" i="12"/>
  <c r="AD347" i="12"/>
  <c r="AM346" i="12"/>
  <c r="AD346" i="12"/>
  <c r="AM345" i="12"/>
  <c r="AD345" i="12"/>
  <c r="AM344" i="12"/>
  <c r="AD344" i="12"/>
  <c r="AM342" i="12"/>
  <c r="AD342" i="12"/>
  <c r="AM341" i="12"/>
  <c r="AD341" i="12"/>
  <c r="AM340" i="12"/>
  <c r="AD340" i="12"/>
  <c r="AM339" i="12"/>
  <c r="AD339" i="12"/>
  <c r="AM338" i="12"/>
  <c r="AD338" i="12"/>
  <c r="AM337" i="12"/>
  <c r="AD337" i="12"/>
  <c r="AM336" i="12"/>
  <c r="AD336" i="12"/>
  <c r="AM335" i="12"/>
  <c r="AD335" i="12"/>
  <c r="AM334" i="12"/>
  <c r="AD334" i="12"/>
  <c r="AM333" i="12"/>
  <c r="AD333" i="12"/>
  <c r="AM332" i="12"/>
  <c r="AD332" i="12"/>
  <c r="AM331" i="12"/>
  <c r="AD331" i="12"/>
  <c r="AM330" i="12"/>
  <c r="AD330" i="12"/>
  <c r="AM329" i="12"/>
  <c r="AD329" i="12"/>
  <c r="AM328" i="12"/>
  <c r="AD328" i="12"/>
  <c r="AM327" i="12"/>
  <c r="AD327" i="12"/>
  <c r="AM326" i="12"/>
  <c r="AD326" i="12"/>
  <c r="X359" i="12"/>
  <c r="X358" i="12"/>
  <c r="X357" i="12"/>
  <c r="X356" i="12"/>
  <c r="X355" i="12"/>
  <c r="X354" i="12"/>
  <c r="AM325" i="12" l="1"/>
  <c r="AD325" i="12"/>
  <c r="X350" i="12"/>
  <c r="X349" i="12"/>
  <c r="X348" i="12"/>
  <c r="X346" i="12"/>
  <c r="X345" i="12"/>
  <c r="X344" i="12"/>
  <c r="X342" i="12"/>
  <c r="X341" i="12"/>
  <c r="X340" i="12"/>
  <c r="X339" i="12"/>
  <c r="X338" i="12"/>
  <c r="X337" i="12"/>
  <c r="X336" i="12"/>
  <c r="X335" i="12"/>
  <c r="X334" i="12"/>
  <c r="X333" i="12"/>
  <c r="X332" i="12"/>
  <c r="X331" i="12"/>
  <c r="X330" i="12"/>
  <c r="X329" i="12"/>
  <c r="X328" i="12"/>
  <c r="X327" i="12"/>
  <c r="X326" i="12"/>
  <c r="X325" i="12"/>
  <c r="AM324" i="12" l="1"/>
  <c r="X324" i="12"/>
  <c r="H324" i="12"/>
  <c r="AM297" i="12" l="1"/>
  <c r="X297" i="12"/>
  <c r="H297" i="12"/>
  <c r="H14" i="11" l="1"/>
  <c r="N3" i="12" l="1"/>
  <c r="H141" i="12" l="1"/>
  <c r="H148" i="12"/>
  <c r="X148" i="12"/>
  <c r="X132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1" i="12"/>
  <c r="X42" i="12"/>
  <c r="X43" i="12"/>
  <c r="X44" i="12"/>
  <c r="X45" i="12"/>
  <c r="X46" i="12"/>
  <c r="X47" i="12"/>
  <c r="X48" i="12"/>
  <c r="X49" i="12"/>
  <c r="X51" i="12"/>
  <c r="X53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3" i="12"/>
  <c r="X74" i="12"/>
  <c r="X90" i="12"/>
  <c r="X91" i="12"/>
  <c r="X92" i="12"/>
  <c r="X93" i="12"/>
  <c r="X94" i="12"/>
  <c r="X95" i="12"/>
  <c r="X96" i="12"/>
  <c r="X98" i="12"/>
  <c r="X99" i="12"/>
  <c r="X101" i="12"/>
  <c r="X102" i="12"/>
  <c r="X103" i="12"/>
  <c r="X104" i="12"/>
  <c r="X105" i="12"/>
  <c r="X106" i="12"/>
  <c r="X107" i="12"/>
  <c r="X108" i="12"/>
  <c r="X109" i="12"/>
  <c r="X110" i="12"/>
  <c r="X111" i="12"/>
  <c r="X113" i="12"/>
  <c r="X114" i="12"/>
  <c r="X115" i="12"/>
  <c r="X116" i="12"/>
  <c r="X117" i="12"/>
  <c r="X118" i="12"/>
  <c r="X119" i="12"/>
  <c r="X120" i="12"/>
  <c r="X121" i="12"/>
  <c r="X122" i="12"/>
  <c r="X124" i="12"/>
  <c r="X126" i="12"/>
  <c r="X127" i="12"/>
  <c r="X128" i="12"/>
  <c r="X129" i="12"/>
  <c r="X131" i="12"/>
  <c r="X135" i="12"/>
  <c r="X136" i="12"/>
  <c r="X137" i="12"/>
  <c r="X138" i="12"/>
  <c r="X139" i="12"/>
  <c r="X140" i="12"/>
  <c r="X142" i="12"/>
  <c r="X143" i="12"/>
  <c r="X146" i="12"/>
  <c r="X147" i="12"/>
  <c r="X149" i="12"/>
  <c r="X151" i="12"/>
  <c r="X152" i="12"/>
  <c r="X153" i="12"/>
  <c r="X154" i="12"/>
  <c r="X155" i="12"/>
  <c r="X156" i="12"/>
  <c r="X157" i="12"/>
  <c r="X158" i="12"/>
  <c r="X159" i="12"/>
  <c r="X161" i="12"/>
  <c r="X162" i="12"/>
  <c r="X163" i="12"/>
  <c r="X165" i="12"/>
  <c r="X166" i="12"/>
  <c r="X167" i="12"/>
  <c r="X170" i="12"/>
  <c r="X171" i="12"/>
  <c r="X173" i="12"/>
  <c r="X174" i="12"/>
  <c r="X175" i="12"/>
  <c r="X176" i="12"/>
  <c r="X177" i="12"/>
  <c r="X178" i="12"/>
  <c r="X179" i="12"/>
  <c r="X181" i="12"/>
  <c r="X182" i="12"/>
  <c r="X185" i="12"/>
  <c r="X186" i="12"/>
  <c r="X187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37" i="12"/>
  <c r="X238" i="12"/>
  <c r="X239" i="12"/>
  <c r="X240" i="12"/>
  <c r="X241" i="12"/>
  <c r="X242" i="12"/>
  <c r="X243" i="12"/>
  <c r="X287" i="12"/>
  <c r="X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1" i="12"/>
  <c r="H53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3" i="12"/>
  <c r="H74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4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2" i="12"/>
  <c r="H143" i="12"/>
  <c r="H144" i="12"/>
  <c r="H145" i="12"/>
  <c r="H146" i="12"/>
  <c r="H147" i="12"/>
  <c r="H149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8" i="12"/>
  <c r="H229" i="12"/>
  <c r="H230" i="12"/>
  <c r="H231" i="12"/>
  <c r="H232" i="12"/>
  <c r="H234" i="12"/>
  <c r="H236" i="12"/>
  <c r="H237" i="12"/>
  <c r="H238" i="12"/>
  <c r="H239" i="12"/>
  <c r="H240" i="12"/>
  <c r="H241" i="12"/>
  <c r="H242" i="12"/>
  <c r="H243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7" i="12"/>
  <c r="H3" i="12"/>
  <c r="AM287" i="12" l="1"/>
  <c r="AM279" i="12" l="1"/>
  <c r="AD279" i="12"/>
  <c r="AM278" i="12"/>
  <c r="AM277" i="12"/>
  <c r="AD277" i="12"/>
  <c r="AM276" i="12"/>
  <c r="AD276" i="12"/>
  <c r="AM275" i="12"/>
  <c r="AD275" i="12"/>
  <c r="AM274" i="12"/>
  <c r="AD274" i="12"/>
  <c r="AM273" i="12"/>
  <c r="AD273" i="12"/>
  <c r="AM272" i="12"/>
  <c r="AD272" i="12"/>
  <c r="AM271" i="12"/>
  <c r="AD271" i="12"/>
  <c r="AM270" i="12"/>
  <c r="AD270" i="12"/>
  <c r="AM269" i="12"/>
  <c r="AD269" i="12"/>
  <c r="AM268" i="12"/>
  <c r="AD268" i="12"/>
  <c r="AM267" i="12"/>
  <c r="AD267" i="12"/>
  <c r="AM266" i="12"/>
  <c r="AD266" i="12"/>
  <c r="AM265" i="12"/>
  <c r="AD265" i="12"/>
  <c r="AM264" i="12"/>
  <c r="AD264" i="12"/>
  <c r="AM263" i="12"/>
  <c r="AD263" i="12"/>
  <c r="AM262" i="12"/>
  <c r="AD262" i="12"/>
  <c r="AM261" i="12"/>
  <c r="AD261" i="12"/>
  <c r="AM260" i="12"/>
  <c r="AD260" i="12"/>
  <c r="AM259" i="12"/>
  <c r="AD259" i="12"/>
  <c r="AM258" i="12"/>
  <c r="AD258" i="12"/>
  <c r="AM257" i="12"/>
  <c r="AM256" i="12"/>
  <c r="AM255" i="12"/>
  <c r="AM254" i="12"/>
  <c r="AM253" i="12"/>
  <c r="AM252" i="12"/>
  <c r="AM251" i="12"/>
  <c r="AM250" i="12"/>
  <c r="AM249" i="12"/>
  <c r="AM243" i="12"/>
  <c r="AD243" i="12"/>
  <c r="AM242" i="12"/>
  <c r="AD242" i="12"/>
  <c r="AM241" i="12"/>
  <c r="AD241" i="12"/>
  <c r="AM240" i="12"/>
  <c r="AD240" i="12"/>
  <c r="AM239" i="12"/>
  <c r="AD239" i="12"/>
  <c r="AM238" i="12"/>
  <c r="AD238" i="12"/>
  <c r="AM237" i="12"/>
  <c r="AD237" i="12"/>
  <c r="AM236" i="12"/>
  <c r="AD236" i="12"/>
  <c r="AM234" i="12"/>
  <c r="AM232" i="12"/>
  <c r="AM231" i="12"/>
  <c r="AM230" i="12"/>
  <c r="AM229" i="12"/>
  <c r="AM228" i="12"/>
  <c r="AM227" i="12"/>
  <c r="AD227" i="12"/>
  <c r="AM226" i="12"/>
  <c r="AD226" i="12"/>
  <c r="AM225" i="12"/>
  <c r="AD225" i="12"/>
  <c r="AM224" i="12"/>
  <c r="AD224" i="12"/>
  <c r="AM223" i="12"/>
  <c r="AD223" i="12"/>
  <c r="AM222" i="12"/>
  <c r="AD222" i="12"/>
  <c r="AM221" i="12"/>
  <c r="AD221" i="12"/>
  <c r="AM220" i="12"/>
  <c r="AD220" i="12"/>
  <c r="AM219" i="12"/>
  <c r="AD219" i="12"/>
  <c r="AM218" i="12"/>
  <c r="AD218" i="12"/>
  <c r="AM217" i="12"/>
  <c r="AD217" i="12"/>
  <c r="AM216" i="12"/>
  <c r="AD216" i="12"/>
  <c r="AM215" i="12"/>
  <c r="AD215" i="12"/>
  <c r="AM214" i="12"/>
  <c r="AD214" i="12"/>
  <c r="AM213" i="12"/>
  <c r="AD213" i="12"/>
  <c r="AM212" i="12"/>
  <c r="AD212" i="12"/>
  <c r="AM211" i="12"/>
  <c r="AD211" i="12"/>
  <c r="AM210" i="12"/>
  <c r="AD210" i="12"/>
  <c r="AM209" i="12"/>
  <c r="AD209" i="12"/>
  <c r="AM208" i="12"/>
  <c r="AD208" i="12"/>
  <c r="AM207" i="12"/>
  <c r="AD207" i="12"/>
  <c r="AM206" i="12"/>
  <c r="AD206" i="12"/>
  <c r="AM205" i="12"/>
  <c r="AD205" i="12"/>
  <c r="AM204" i="12"/>
  <c r="AD204" i="12"/>
  <c r="AM203" i="12"/>
  <c r="AD203" i="12"/>
  <c r="AM202" i="12"/>
  <c r="AD202" i="12"/>
  <c r="AM201" i="12"/>
  <c r="AD201" i="12"/>
  <c r="AM200" i="12"/>
  <c r="AD200" i="12"/>
  <c r="AM194" i="12"/>
  <c r="AD194" i="12"/>
  <c r="AM122" i="12"/>
  <c r="AM121" i="12"/>
  <c r="AM120" i="12"/>
  <c r="AM119" i="12"/>
  <c r="AM118" i="12"/>
  <c r="AM117" i="12"/>
  <c r="AM116" i="12"/>
  <c r="AM115" i="12"/>
  <c r="AM114" i="12"/>
  <c r="AM113" i="12"/>
  <c r="AM112" i="12"/>
  <c r="AM111" i="12"/>
  <c r="AM110" i="12"/>
  <c r="AM109" i="12"/>
  <c r="AM108" i="12"/>
  <c r="AM107" i="12"/>
  <c r="AD107" i="12"/>
  <c r="AM106" i="12"/>
  <c r="AD106" i="12"/>
  <c r="AM105" i="12"/>
  <c r="AD105" i="12"/>
  <c r="AM104" i="12"/>
  <c r="AD104" i="12"/>
  <c r="AM103" i="12"/>
  <c r="AD103" i="12"/>
  <c r="AM102" i="12"/>
  <c r="AD102" i="12"/>
  <c r="AM101" i="12"/>
  <c r="AD101" i="12"/>
  <c r="AM100" i="12"/>
  <c r="AD100" i="12"/>
  <c r="AM99" i="12"/>
  <c r="AD99" i="12"/>
  <c r="AM98" i="12"/>
  <c r="AD98" i="12"/>
  <c r="AM97" i="12"/>
  <c r="AD97" i="12"/>
  <c r="AM96" i="12"/>
  <c r="AD96" i="12"/>
  <c r="AM95" i="12"/>
  <c r="AD95" i="12"/>
  <c r="AM94" i="12"/>
  <c r="AD94" i="12"/>
  <c r="AM93" i="12"/>
  <c r="AD93" i="12"/>
  <c r="AM74" i="12"/>
  <c r="AD74" i="12"/>
  <c r="AM73" i="12"/>
  <c r="AD73" i="12"/>
  <c r="AM71" i="12"/>
  <c r="AM70" i="12"/>
  <c r="AM69" i="12"/>
  <c r="AM68" i="12"/>
  <c r="AM67" i="12"/>
  <c r="AM66" i="12"/>
  <c r="AM65" i="12"/>
  <c r="AM64" i="12"/>
  <c r="AD64" i="12"/>
  <c r="AM63" i="12"/>
  <c r="AD63" i="12"/>
  <c r="AM62" i="12"/>
  <c r="AD62" i="12"/>
  <c r="AM61" i="12"/>
  <c r="AD61" i="12"/>
  <c r="AM60" i="12"/>
  <c r="AD60" i="12"/>
  <c r="AM59" i="12"/>
  <c r="AD59" i="12"/>
  <c r="AM49" i="12"/>
  <c r="AD49" i="12"/>
  <c r="Q49" i="12"/>
  <c r="O49" i="12"/>
  <c r="N49" i="12"/>
  <c r="L49" i="12"/>
  <c r="AM48" i="12"/>
  <c r="Q48" i="12"/>
  <c r="O48" i="12"/>
  <c r="N48" i="12"/>
  <c r="L48" i="12"/>
  <c r="AM47" i="12"/>
  <c r="Q47" i="12"/>
  <c r="O47" i="12"/>
  <c r="N47" i="12"/>
  <c r="L47" i="12"/>
  <c r="AM46" i="12"/>
  <c r="Q46" i="12"/>
  <c r="O46" i="12"/>
  <c r="N46" i="12"/>
  <c r="L46" i="12"/>
  <c r="AM45" i="12"/>
  <c r="AD45" i="12"/>
  <c r="Q45" i="12"/>
  <c r="O45" i="12"/>
  <c r="N45" i="12"/>
  <c r="L45" i="12"/>
  <c r="AM44" i="12"/>
  <c r="AD44" i="12"/>
  <c r="Q44" i="12"/>
  <c r="O44" i="12"/>
  <c r="N44" i="12"/>
  <c r="L44" i="12"/>
  <c r="AM43" i="12"/>
  <c r="AD43" i="12"/>
  <c r="Q43" i="12"/>
  <c r="O43" i="12"/>
  <c r="N43" i="12"/>
  <c r="L43" i="12"/>
  <c r="AM42" i="12"/>
  <c r="AD42" i="12"/>
  <c r="Q42" i="12"/>
  <c r="O42" i="12"/>
  <c r="N42" i="12"/>
  <c r="L42" i="12"/>
  <c r="AM41" i="12"/>
  <c r="AD41" i="12"/>
  <c r="Q41" i="12"/>
  <c r="O41" i="12"/>
  <c r="N41" i="12"/>
  <c r="L41" i="12"/>
  <c r="AM40" i="12"/>
  <c r="AD40" i="12"/>
  <c r="Q40" i="12"/>
  <c r="O40" i="12"/>
  <c r="N40" i="12"/>
  <c r="L40" i="12"/>
  <c r="AM39" i="12"/>
  <c r="AD39" i="12"/>
  <c r="Q39" i="12"/>
  <c r="O39" i="12"/>
  <c r="N39" i="12"/>
  <c r="L39" i="12"/>
  <c r="AM38" i="12"/>
  <c r="AD38" i="12"/>
  <c r="Q38" i="12"/>
  <c r="O38" i="12"/>
  <c r="N38" i="12"/>
  <c r="L38" i="12"/>
  <c r="AM37" i="12"/>
  <c r="AD37" i="12"/>
  <c r="Q37" i="12"/>
  <c r="O37" i="12"/>
  <c r="N37" i="12"/>
  <c r="L37" i="12"/>
  <c r="AM36" i="12"/>
  <c r="AD36" i="12"/>
  <c r="Q36" i="12"/>
  <c r="O36" i="12"/>
  <c r="N36" i="12"/>
  <c r="L36" i="12"/>
  <c r="AM35" i="12"/>
  <c r="AD35" i="12"/>
  <c r="Q35" i="12"/>
  <c r="O35" i="12"/>
  <c r="N35" i="12"/>
  <c r="L35" i="12"/>
  <c r="AM34" i="12"/>
  <c r="AD34" i="12"/>
  <c r="Q34" i="12"/>
  <c r="O34" i="12"/>
  <c r="N34" i="12"/>
  <c r="L34" i="12"/>
  <c r="AM33" i="12"/>
  <c r="AD33" i="12"/>
  <c r="Q33" i="12"/>
  <c r="O33" i="12"/>
  <c r="N33" i="12"/>
  <c r="L33" i="12"/>
  <c r="AM32" i="12"/>
  <c r="AD32" i="12"/>
  <c r="Q32" i="12"/>
  <c r="O32" i="12"/>
  <c r="N32" i="12"/>
  <c r="L32" i="12"/>
  <c r="AM31" i="12"/>
  <c r="AD31" i="12"/>
  <c r="Q31" i="12"/>
  <c r="O31" i="12"/>
  <c r="N31" i="12"/>
  <c r="L31" i="12"/>
  <c r="AM30" i="12"/>
  <c r="AD30" i="12"/>
  <c r="Q30" i="12"/>
  <c r="O30" i="12"/>
  <c r="N30" i="12"/>
  <c r="L30" i="12"/>
  <c r="AM29" i="12"/>
  <c r="AD29" i="12"/>
  <c r="Q29" i="12"/>
  <c r="O29" i="12"/>
  <c r="N29" i="12"/>
  <c r="L29" i="12"/>
  <c r="AM28" i="12"/>
  <c r="AD28" i="12"/>
  <c r="Q28" i="12"/>
  <c r="O28" i="12"/>
  <c r="N28" i="12"/>
  <c r="L28" i="12"/>
  <c r="AM27" i="12"/>
  <c r="AD27" i="12"/>
  <c r="Q27" i="12"/>
  <c r="O27" i="12"/>
  <c r="N27" i="12"/>
  <c r="L27" i="12"/>
  <c r="AM26" i="12"/>
  <c r="AD26" i="12"/>
  <c r="Q26" i="12"/>
  <c r="O26" i="12"/>
  <c r="N26" i="12"/>
  <c r="L26" i="12"/>
  <c r="AM25" i="12"/>
  <c r="AD25" i="12"/>
  <c r="Q25" i="12"/>
  <c r="O25" i="12"/>
  <c r="N25" i="12"/>
  <c r="L25" i="12"/>
  <c r="AM24" i="12"/>
  <c r="AD24" i="12"/>
  <c r="Q24" i="12"/>
  <c r="O24" i="12"/>
  <c r="N24" i="12"/>
  <c r="L24" i="12"/>
  <c r="AM23" i="12"/>
  <c r="AD23" i="12"/>
  <c r="Q23" i="12"/>
  <c r="O23" i="12"/>
  <c r="N23" i="12"/>
  <c r="L23" i="12"/>
  <c r="AM22" i="12"/>
  <c r="AD22" i="12"/>
  <c r="Q22" i="12"/>
  <c r="O22" i="12"/>
  <c r="N22" i="12"/>
  <c r="L22" i="12"/>
  <c r="Q20" i="12"/>
  <c r="O20" i="12"/>
  <c r="N20" i="12"/>
  <c r="L20" i="12"/>
  <c r="Q19" i="12"/>
  <c r="O19" i="12"/>
  <c r="N19" i="12"/>
  <c r="L19" i="12"/>
  <c r="Q18" i="12"/>
  <c r="O18" i="12"/>
  <c r="N18" i="12"/>
  <c r="L18" i="12"/>
  <c r="Q17" i="12"/>
  <c r="O17" i="12"/>
  <c r="N17" i="12"/>
  <c r="L17" i="12"/>
  <c r="Q16" i="12"/>
  <c r="O16" i="12"/>
  <c r="N16" i="12"/>
  <c r="L16" i="12"/>
  <c r="Q15" i="12"/>
  <c r="O15" i="12"/>
  <c r="N15" i="12"/>
  <c r="L15" i="12"/>
  <c r="Q14" i="12"/>
  <c r="O14" i="12"/>
  <c r="N14" i="12"/>
  <c r="L14" i="12"/>
  <c r="Q13" i="12"/>
  <c r="O13" i="12"/>
  <c r="N13" i="12"/>
  <c r="L13" i="12"/>
  <c r="Q12" i="12"/>
  <c r="O12" i="12"/>
  <c r="N12" i="12"/>
  <c r="L12" i="12"/>
  <c r="Q11" i="12"/>
  <c r="O11" i="12"/>
  <c r="N11" i="12"/>
  <c r="L11" i="12"/>
  <c r="Q10" i="12"/>
  <c r="O10" i="12"/>
  <c r="N10" i="12"/>
  <c r="L10" i="12"/>
  <c r="Q9" i="12"/>
  <c r="O9" i="12"/>
  <c r="N9" i="12"/>
  <c r="L9" i="12"/>
  <c r="Q8" i="12"/>
  <c r="O8" i="12"/>
  <c r="N8" i="12"/>
  <c r="L8" i="12"/>
  <c r="AM7" i="12"/>
  <c r="AD7" i="12"/>
  <c r="Q7" i="12"/>
  <c r="O7" i="12"/>
  <c r="N7" i="12"/>
  <c r="L7" i="12"/>
  <c r="AM6" i="12"/>
  <c r="AD6" i="12"/>
  <c r="Q6" i="12"/>
  <c r="O6" i="12"/>
  <c r="N6" i="12"/>
  <c r="L6" i="12"/>
  <c r="AM5" i="12"/>
  <c r="AD5" i="12"/>
  <c r="Q5" i="12"/>
  <c r="O5" i="12"/>
  <c r="N5" i="12"/>
  <c r="L5" i="12"/>
  <c r="AM4" i="12"/>
  <c r="AD4" i="12"/>
  <c r="Q4" i="12"/>
  <c r="O4" i="12"/>
  <c r="N4" i="12"/>
  <c r="L4" i="12"/>
  <c r="AM3" i="12"/>
  <c r="AD3" i="12"/>
  <c r="Q3" i="12"/>
  <c r="O3" i="12"/>
  <c r="L3" i="12"/>
  <c r="E14" i="11" l="1"/>
  <c r="K14" i="11" l="1"/>
  <c r="I14" i="11"/>
  <c r="J1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tc={83DBFADE-28AD-48C8-A52B-3280B91B5572}</author>
    <author>tc={AAB92A25-1E3E-479A-9685-5AB1B5BEB24F}</author>
  </authors>
  <commentList>
    <comment ref="F2" authorId="0" shapeId="0" xr:uid="{83DBFADE-28AD-48C8-A52B-3280B91B55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do pedido de venda</t>
      </text>
    </comment>
    <comment ref="V2" authorId="1" shapeId="0" xr:uid="{AAB92A25-1E3E-479A-9685-5AB1B5BEB2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comprada</t>
      </text>
    </comment>
  </commentList>
</comments>
</file>

<file path=xl/sharedStrings.xml><?xml version="1.0" encoding="utf-8"?>
<sst xmlns="http://schemas.openxmlformats.org/spreadsheetml/2006/main" count="9284" uniqueCount="2218">
  <si>
    <t>PI</t>
  </si>
  <si>
    <t>ITEM</t>
  </si>
  <si>
    <t>CODIGO</t>
  </si>
  <si>
    <t>PO</t>
  </si>
  <si>
    <t>PEDIDO DE VENDA</t>
  </si>
  <si>
    <t>PEDIDO DE COMPRA</t>
  </si>
  <si>
    <t xml:space="preserve">DATA DA COMPRA </t>
  </si>
  <si>
    <t>PRAZO CLIENTE</t>
  </si>
  <si>
    <t xml:space="preserve">EMISSÃO DO PEDIDO SISTEMA </t>
  </si>
  <si>
    <t xml:space="preserve">RECEBIMENTO DO PEDIDO CLIENTE </t>
  </si>
  <si>
    <t>DATA RECEBIMENTO P/ COMPRA</t>
  </si>
  <si>
    <t xml:space="preserve">CHEGADA HCI </t>
  </si>
  <si>
    <t>PREÇO VENDA</t>
  </si>
  <si>
    <t>PREÇO COMPRA</t>
  </si>
  <si>
    <t xml:space="preserve">FOLLOW UP </t>
  </si>
  <si>
    <t>STATUS
 COMPRA / VENDA</t>
  </si>
  <si>
    <t>STATUS
FORNECEDOR</t>
  </si>
  <si>
    <t>PRAZO INICIAL FORNECEDOR</t>
  </si>
  <si>
    <t xml:space="preserve">ENTREGA FORNECEDOR </t>
  </si>
  <si>
    <t>TERMO DE PAGAMENTO</t>
  </si>
  <si>
    <t>CLIENTE</t>
  </si>
  <si>
    <t>ETD</t>
  </si>
  <si>
    <t>ETA</t>
  </si>
  <si>
    <t>CE25NJR016X65</t>
  </si>
  <si>
    <t>CE25MJR008F91</t>
  </si>
  <si>
    <t>PETROBRAS</t>
  </si>
  <si>
    <t>STATUS EMISSÃO SISTEMA</t>
  </si>
  <si>
    <t xml:space="preserve">CE25NJR012X65            </t>
  </si>
  <si>
    <t>001.503</t>
  </si>
  <si>
    <t>SHANXI</t>
  </si>
  <si>
    <t>CE25NJR004X65</t>
  </si>
  <si>
    <t>001.504</t>
  </si>
  <si>
    <t>2 e 6</t>
  </si>
  <si>
    <t>5 e 7</t>
  </si>
  <si>
    <t>WA150FEST026F53</t>
  </si>
  <si>
    <t>CL454S01404HS</t>
  </si>
  <si>
    <t>CL904S01404HS</t>
  </si>
  <si>
    <t>CL908S00804HS</t>
  </si>
  <si>
    <t>CL908S00304HS</t>
  </si>
  <si>
    <t>WDL8S008002047</t>
  </si>
  <si>
    <t>SK60MS018112047</t>
  </si>
  <si>
    <t>SK60MS006112047</t>
  </si>
  <si>
    <t>CL901S0246/LW</t>
  </si>
  <si>
    <t>CL901S016850W</t>
  </si>
  <si>
    <t>CL9016004047S</t>
  </si>
  <si>
    <t>RQ600RE0026/L</t>
  </si>
  <si>
    <t>REFINARIA MATARIPE</t>
  </si>
  <si>
    <t xml:space="preserve">F8NN150FE0086/L          </t>
  </si>
  <si>
    <t>JNDIA</t>
  </si>
  <si>
    <t>BJREDONNT3/45/A</t>
  </si>
  <si>
    <t>163.807</t>
  </si>
  <si>
    <t>HAIDA</t>
  </si>
  <si>
    <t>EMBARQUE</t>
  </si>
  <si>
    <t>MARITIMO</t>
  </si>
  <si>
    <t>UPS - BY AIR</t>
  </si>
  <si>
    <t>OBS</t>
  </si>
  <si>
    <t>UPS</t>
  </si>
  <si>
    <t>AEREO</t>
  </si>
  <si>
    <t>QTY</t>
  </si>
  <si>
    <t>STATUS PRODUÇÃO</t>
  </si>
  <si>
    <t>INSPEÇÃO</t>
  </si>
  <si>
    <t xml:space="preserve">DATA DA INSPEÇÃO </t>
  </si>
  <si>
    <t>Em Produção</t>
  </si>
  <si>
    <t>Finalizado</t>
  </si>
  <si>
    <t>163.856</t>
  </si>
  <si>
    <t>AIKE</t>
  </si>
  <si>
    <t xml:space="preserve">JAI3300G3038AC </t>
  </si>
  <si>
    <t xml:space="preserve">JBNA300G4032AC </t>
  </si>
  <si>
    <t xml:space="preserve">JEI3900G3006AC </t>
  </si>
  <si>
    <t xml:space="preserve">JEI425MG4003AC </t>
  </si>
  <si>
    <t xml:space="preserve">JEI5150G5010E6 </t>
  </si>
  <si>
    <t xml:space="preserve">JEI6300G6010E6 </t>
  </si>
  <si>
    <t xml:space="preserve">JP15016F008PTFE </t>
  </si>
  <si>
    <t xml:space="preserve">RROC026SFCD </t>
  </si>
  <si>
    <t xml:space="preserve">RROV038S304 </t>
  </si>
  <si>
    <t xml:space="preserve">RROV0390005 </t>
  </si>
  <si>
    <t>STATUS VENDA/COMPRA</t>
  </si>
  <si>
    <t>STATUS PARA COMPRA</t>
  </si>
  <si>
    <t>Não</t>
  </si>
  <si>
    <t>Sim</t>
  </si>
  <si>
    <t>FORNECEDOR</t>
  </si>
  <si>
    <t>JUNTAS</t>
  </si>
  <si>
    <t>RCII010006Y52S</t>
  </si>
  <si>
    <t>CL90XS040WPBW</t>
  </si>
  <si>
    <t>SISNERGY</t>
  </si>
  <si>
    <t>WA150REXS040A1N</t>
  </si>
  <si>
    <t>RCAA008004H52S</t>
  </si>
  <si>
    <t>CL90ST008H52S</t>
  </si>
  <si>
    <t>EMERSON</t>
  </si>
  <si>
    <t>001.513</t>
  </si>
  <si>
    <t>YAHUI</t>
  </si>
  <si>
    <t>O.S ENVIADA</t>
  </si>
  <si>
    <t>PEDIDO VENDA</t>
  </si>
  <si>
    <t>PEDIDO COMPRA</t>
  </si>
  <si>
    <t>WO15MS416008A1N</t>
  </si>
  <si>
    <t>WO15MS414008A1N</t>
  </si>
  <si>
    <t>WN25MJR16003022</t>
  </si>
  <si>
    <t>UHDT</t>
  </si>
  <si>
    <t>BRASKEM</t>
  </si>
  <si>
    <t>001.514</t>
  </si>
  <si>
    <t>BC FLANGES</t>
  </si>
  <si>
    <t>WN15MRW16008A1N</t>
  </si>
  <si>
    <t>WN25MRXXX003022</t>
  </si>
  <si>
    <t>DATA COMPRA</t>
  </si>
  <si>
    <t>PRAZO</t>
  </si>
  <si>
    <t>VALOR</t>
  </si>
  <si>
    <t>A1</t>
  </si>
  <si>
    <t>A2</t>
  </si>
  <si>
    <t>PRAZO FORNECEDOR</t>
  </si>
  <si>
    <t>DESCRIÇÃO</t>
  </si>
  <si>
    <t>DIAS ATRASO</t>
  </si>
  <si>
    <t xml:space="preserve">JUNTA ES. A.I. 347 300 GF+347 DN38 A.E. A/C </t>
  </si>
  <si>
    <t xml:space="preserve">JUNTA ES. S/ A.I. 300# GF+304/L DN32" A.E. A/C </t>
  </si>
  <si>
    <t xml:space="preserve">JUNTA ES. AI 347 900 GF+347 DN6 AE.A/C </t>
  </si>
  <si>
    <t xml:space="preserve">JUNTA ES. AI 304/L 2500 GF+304/L DN3 AE.A/C </t>
  </si>
  <si>
    <t xml:space="preserve">JUNTA ES. A.I UNS N06625 150 GF + UNS N06625 DN10 </t>
  </si>
  <si>
    <t xml:space="preserve">JUNTA ES. AI 316/L 300 GF+316/L DN10 AE316/L </t>
  </si>
  <si>
    <t xml:space="preserve">JUNTA P/ FL 150 ESP.1,6MM FF DN8 PTFE EXPANDIDO </t>
  </si>
  <si>
    <t>JUNTA RTJ OCT. R-26 (3/6# 2.1/2"-25# 2") SOFT IRON</t>
  </si>
  <si>
    <t xml:space="preserve">JUNTA RTJ OVAL R-38 (2500# DN 4") SS304/L </t>
  </si>
  <si>
    <t>JUNTA ANEL RTJ OVAL R-39 A182 F5 UNS K41545 (GR.5)</t>
  </si>
  <si>
    <t>DIAS QUE FALTAM</t>
  </si>
  <si>
    <t>JBI3600G3036AC</t>
  </si>
  <si>
    <t xml:space="preserve">JUNTA ES. A.I. 347 600# GF+347 DN36" A.E. A/C     </t>
  </si>
  <si>
    <t>163.966</t>
  </si>
  <si>
    <t>001.510</t>
  </si>
  <si>
    <t>CE600JR0126/L</t>
  </si>
  <si>
    <t>001.511</t>
  </si>
  <si>
    <t>001.524</t>
  </si>
  <si>
    <t>LUZHONG</t>
  </si>
  <si>
    <t>TENENGE</t>
  </si>
  <si>
    <t xml:space="preserve">Não </t>
  </si>
  <si>
    <t>BW</t>
  </si>
  <si>
    <t>WN600RE10010A1N</t>
  </si>
  <si>
    <t xml:space="preserve">FLANGE WN 600 RFE SCH 100(0,719) DN 10 A105N      </t>
  </si>
  <si>
    <t>WN600RX16010A1N</t>
  </si>
  <si>
    <t>CE25NJR006X70</t>
  </si>
  <si>
    <t xml:space="preserve">CE25NJR006X70            </t>
  </si>
  <si>
    <t>164.032</t>
  </si>
  <si>
    <t>20% - 80%</t>
  </si>
  <si>
    <t>POLAR 1 CONTRUÇÃO</t>
  </si>
  <si>
    <t>RCXX0050026/LS</t>
  </si>
  <si>
    <t>164.096</t>
  </si>
  <si>
    <t>CL454S0126/LS</t>
  </si>
  <si>
    <t xml:space="preserve">CURVA RL 45G SCH40S DN 12 WPS316/L                </t>
  </si>
  <si>
    <t>1 e 2</t>
  </si>
  <si>
    <t>RCCC0100066/LS</t>
  </si>
  <si>
    <t>RCCC0120086/LS</t>
  </si>
  <si>
    <t>TE904S0126/LS</t>
  </si>
  <si>
    <t xml:space="preserve">TE 90G SCH 40S DN 12 WPS316/L                     </t>
  </si>
  <si>
    <t>001.535</t>
  </si>
  <si>
    <t>WA150REXS036A1N</t>
  </si>
  <si>
    <t>001.536</t>
  </si>
  <si>
    <t>REAA016014WPBS</t>
  </si>
  <si>
    <t>001.538</t>
  </si>
  <si>
    <t xml:space="preserve">Material pronto </t>
  </si>
  <si>
    <t>PRODUTO</t>
  </si>
  <si>
    <t>MATERIAL</t>
  </si>
  <si>
    <t xml:space="preserve">FLANGES - CONEXÕES- FORJADINHOS - FIGURA 8 - RAQUETE ANEL </t>
  </si>
  <si>
    <t>INOX- 304/L - 316/L - 314/L -321/L - F51-F53-F55- S31803 - S32750</t>
  </si>
  <si>
    <t xml:space="preserve">JNDIA  - YINGLI - (HH, HAIDA, GH </t>
  </si>
  <si>
    <t>OK PRA TUDO</t>
  </si>
  <si>
    <t>Marcos achou GH mais caro 13/07</t>
  </si>
  <si>
    <t xml:space="preserve">FLANGES CARBONO E LIGA </t>
  </si>
  <si>
    <t xml:space="preserve">A105 - LF2- F5- F11-F22 -F91 </t>
  </si>
  <si>
    <t xml:space="preserve">BC </t>
  </si>
  <si>
    <r>
      <t>OK PRA TUDO (BC INFORMOU QUE NÃO TEM</t>
    </r>
    <r>
      <rPr>
        <b/>
        <sz val="14"/>
        <color rgb="FFCC00FF"/>
        <rFont val="Aptos Narrow"/>
        <family val="2"/>
        <scheme val="minor"/>
      </rPr>
      <t xml:space="preserve"> A522</t>
    </r>
    <r>
      <rPr>
        <sz val="11"/>
        <color theme="1"/>
        <rFont val="Aptos Narrow"/>
        <family val="2"/>
        <scheme val="minor"/>
      </rPr>
      <t xml:space="preserve"> 20/08 , e não tem</t>
    </r>
    <r>
      <rPr>
        <b/>
        <sz val="12"/>
        <color rgb="FFCC00FF"/>
        <rFont val="Aptos Narrow"/>
        <family val="2"/>
        <scheme val="minor"/>
      </rPr>
      <t xml:space="preserve"> UNS N08810</t>
    </r>
    <r>
      <rPr>
        <sz val="11"/>
        <color theme="1"/>
        <rFont val="Aptos Narrow"/>
        <family val="2"/>
        <scheme val="minor"/>
      </rPr>
      <t xml:space="preserve"> 26/09)</t>
    </r>
  </si>
  <si>
    <t>GH não fabrica INOX compra de terceiros / flanges tb não é o forte da gh</t>
  </si>
  <si>
    <t xml:space="preserve">CONEXÕES </t>
  </si>
  <si>
    <t>WPB - WP11 -WP22- WP5- WPL6</t>
  </si>
  <si>
    <t>IMETAL - HH - GH - YAHUI</t>
  </si>
  <si>
    <t>IMETAL (Ñ faz forjado) /HH - CARBONO - YAHUI/GH (GH FAZ FLANGES) - +LIGA</t>
  </si>
  <si>
    <t>YINGLI APENAS FORJADINHOS inox - TUBALRES NÃO COMPRAR NEM INOX NEM CARBONO</t>
  </si>
  <si>
    <t xml:space="preserve">FORJADINHOS </t>
  </si>
  <si>
    <t>A105 -LF2 -F5 -F11 -F22</t>
  </si>
  <si>
    <t xml:space="preserve">HAIDA - YINGLI </t>
  </si>
  <si>
    <t>HAIDA - OK PRA TUDO - YINGLI TB TEM FORJADINHOS INOX</t>
  </si>
  <si>
    <t>Jndia cotou inconel 601 06/12</t>
  </si>
  <si>
    <t>AISI-316/L -304/L - 347/L -CARBONO  - INC 625</t>
  </si>
  <si>
    <t>AIKE - TECSON</t>
  </si>
  <si>
    <t>na haida compramos F5/F5A mas ela fornece com F5 mesmo, e compramos mesmo assim e arrumamos o doc na hci</t>
  </si>
  <si>
    <t>FLANGES -FIGURA 8 - RAQUETE E ANEL</t>
  </si>
  <si>
    <r>
      <t>A105 -</t>
    </r>
    <r>
      <rPr>
        <b/>
        <sz val="12"/>
        <color rgb="FFCC00FF"/>
        <rFont val="Aptos Narrow"/>
        <family val="2"/>
        <scheme val="minor"/>
      </rPr>
      <t xml:space="preserve"> A522 TYPE1</t>
    </r>
    <r>
      <rPr>
        <sz val="11"/>
        <color theme="1"/>
        <rFont val="Aptos Narrow"/>
        <family val="2"/>
        <scheme val="minor"/>
      </rPr>
      <t xml:space="preserve"> - WPL3</t>
    </r>
  </si>
  <si>
    <r>
      <t xml:space="preserve">SHANXI </t>
    </r>
    <r>
      <rPr>
        <b/>
        <sz val="11"/>
        <color rgb="FFFF0000"/>
        <rFont val="Aptos Narrow"/>
        <family val="2"/>
        <scheme val="minor"/>
      </rPr>
      <t xml:space="preserve">(não tem  B564 UNS N08810) </t>
    </r>
  </si>
  <si>
    <t>OK PRA FLANGES ESPECIAIS E FIGURA 8 CARBONO</t>
  </si>
  <si>
    <r>
      <t xml:space="preserve">GH E YAHUI NÃO TEM </t>
    </r>
    <r>
      <rPr>
        <b/>
        <sz val="12"/>
        <color rgb="FFCC00FF"/>
        <rFont val="Aptos Narrow"/>
        <family val="2"/>
        <scheme val="minor"/>
      </rPr>
      <t>A522 / GH NÃO COTOU F22</t>
    </r>
  </si>
  <si>
    <t xml:space="preserve">FALNGES E CONEXÕES </t>
  </si>
  <si>
    <t>LF3 / F9</t>
  </si>
  <si>
    <t>HENGXING / GH</t>
  </si>
  <si>
    <t>NÃO É TD MUNDO QUE FAZ ESSE MATERIAL</t>
  </si>
  <si>
    <t>CÁLCULO MARGEM</t>
  </si>
  <si>
    <t>FRETE AÉREO</t>
  </si>
  <si>
    <t>PREÇO UNIT FORNECEDOR</t>
  </si>
  <si>
    <t>PREÇO UNIT CLIENTE</t>
  </si>
  <si>
    <t>NACIONALIZADO X8</t>
  </si>
  <si>
    <t>MARGEM/MARKUP</t>
  </si>
  <si>
    <t>FATOR</t>
  </si>
  <si>
    <t>PESO</t>
  </si>
  <si>
    <t>USD/KG</t>
  </si>
  <si>
    <t>ITEM+FRETE</t>
  </si>
  <si>
    <t>NOVA MARGEM</t>
  </si>
  <si>
    <t>NOVO FATOR</t>
  </si>
  <si>
    <t>Feriado chinês</t>
  </si>
  <si>
    <t>FS I INDUSTRIA</t>
  </si>
  <si>
    <t>CL9016002022S</t>
  </si>
  <si>
    <t>CT960MSW0001022</t>
  </si>
  <si>
    <t>ML60MSW001022</t>
  </si>
  <si>
    <t xml:space="preserve">CURVA RL 90G SCH160 DN 2 WP22                     </t>
  </si>
  <si>
    <t xml:space="preserve">COTOVELO 90 6000 SW 1 F22                         </t>
  </si>
  <si>
    <t xml:space="preserve">MEIA LUVA 6000 SW 1 F22                           </t>
  </si>
  <si>
    <t>164.180</t>
  </si>
  <si>
    <t>SK30MS004001105</t>
  </si>
  <si>
    <t>001.550</t>
  </si>
  <si>
    <t xml:space="preserve">SK30MS004001105          </t>
  </si>
  <si>
    <t>CE300RE0146/L</t>
  </si>
  <si>
    <t>F8NN300FE0146/L</t>
  </si>
  <si>
    <t>CE150RE0144/L</t>
  </si>
  <si>
    <t>WN300SR8S0106/L</t>
  </si>
  <si>
    <t xml:space="preserve">FLANGE CEGO 300 RFE DN 14 F316/L                  </t>
  </si>
  <si>
    <t xml:space="preserve">WO300RE4S0106/L          </t>
  </si>
  <si>
    <t>01</t>
  </si>
  <si>
    <t>001.552</t>
  </si>
  <si>
    <t>FIGURA 8 N120 300 RANH.EXC 14 A240TP316/L</t>
  </si>
  <si>
    <t xml:space="preserve">FLANGE CEGO 150 RFE DN 14 F304/L                  </t>
  </si>
  <si>
    <t>Finalizada</t>
  </si>
  <si>
    <t>Numero de O.S</t>
  </si>
  <si>
    <t>C5454S0016/LS</t>
  </si>
  <si>
    <t>TRCC0100066/LS</t>
  </si>
  <si>
    <t>CC904S0126/LS</t>
  </si>
  <si>
    <t>WN300RE4S0106/L</t>
  </si>
  <si>
    <t xml:space="preserve">CURVA 5XDN 45G SCH 40S DN 1 WPS316/L              </t>
  </si>
  <si>
    <t xml:space="preserve">C5454S0016/LS            </t>
  </si>
  <si>
    <t xml:space="preserve">TE RED. 40S/40S 10X6 WPS316/L                     </t>
  </si>
  <si>
    <t xml:space="preserve">TRCC0100066/LS           </t>
  </si>
  <si>
    <t xml:space="preserve">CURVA RC 90G SCH 40S DN 12 WPS316/L </t>
  </si>
  <si>
    <t xml:space="preserve">FLANGE WN 300 RFE SCH 40S(0,365) DN 10 F316/L     </t>
  </si>
  <si>
    <t>GRANIHC SERVICES</t>
  </si>
  <si>
    <t>TRX9008004WPBS</t>
  </si>
  <si>
    <t>001.558</t>
  </si>
  <si>
    <t>HENGXIN</t>
  </si>
  <si>
    <t xml:space="preserve">Embarque após o feriado </t>
  </si>
  <si>
    <t xml:space="preserve">09/02 - entrega em 26/02;  </t>
  </si>
  <si>
    <t>CHEGOU?</t>
  </si>
  <si>
    <t>SIM - 03/02</t>
  </si>
  <si>
    <t xml:space="preserve">WN600RE08024A1N </t>
  </si>
  <si>
    <t xml:space="preserve">SO150RE024A1N </t>
  </si>
  <si>
    <t xml:space="preserve">FLANGE WN 600 RFE SCH 80 (1,219") DN 24 A105N     </t>
  </si>
  <si>
    <t>20%;80%</t>
  </si>
  <si>
    <t>WN300RE4S0086/L</t>
  </si>
  <si>
    <t xml:space="preserve">WN300RE4S0086/L </t>
  </si>
  <si>
    <t xml:space="preserve">FLANGE WN 300 RFE 40S 8 F316/L </t>
  </si>
  <si>
    <t>CM150RE032A1N</t>
  </si>
  <si>
    <t>WN300REST016A1N</t>
  </si>
  <si>
    <t>WN150RE01016A1N</t>
  </si>
  <si>
    <t>WN150REST016A1N</t>
  </si>
  <si>
    <t>WN150SR04024A1N</t>
  </si>
  <si>
    <t xml:space="preserve">A105JRNP211660K </t>
  </si>
  <si>
    <t xml:space="preserve">FLANGE WN 5M API 6A TP 6B RTJ DN 2.1/16 API 6A TP 60K </t>
  </si>
  <si>
    <t>001.570</t>
  </si>
  <si>
    <t xml:space="preserve">TE904S0126/LS </t>
  </si>
  <si>
    <t xml:space="preserve">WN600JR8S003047 </t>
  </si>
  <si>
    <t xml:space="preserve">WN300RE4S0126/L </t>
  </si>
  <si>
    <t xml:space="preserve">WN300RE4S0146/L </t>
  </si>
  <si>
    <t xml:space="preserve">CL904S0106/LS </t>
  </si>
  <si>
    <t xml:space="preserve">CE300RE0126/L </t>
  </si>
  <si>
    <t xml:space="preserve">FLANGE WN 300 RFE 40S 12 F316/L </t>
  </si>
  <si>
    <t xml:space="preserve">FLANGE WN 300 RFE SCH 40S DN 14 F316/L </t>
  </si>
  <si>
    <t xml:space="preserve">CURVA RL 90G SCH40S DN 10 WPS316/L </t>
  </si>
  <si>
    <t xml:space="preserve">FLANGE CEGO 300 RFE DN 12 F316/L </t>
  </si>
  <si>
    <t xml:space="preserve">TE 90G SCH 40S DN 12 WPS316/L </t>
  </si>
  <si>
    <t>001.572</t>
  </si>
  <si>
    <t>SK30MS002112105</t>
  </si>
  <si>
    <t>SK30MS002001105</t>
  </si>
  <si>
    <t>SK30MS0023/4105</t>
  </si>
  <si>
    <t>NCASJ002112WPBS</t>
  </si>
  <si>
    <t>NCASJ0023/4WPBS</t>
  </si>
  <si>
    <t>NCSSE1123/4WPBF</t>
  </si>
  <si>
    <t>NCSSE3/41/2WPBF</t>
  </si>
  <si>
    <t>NEASB002001WPBS</t>
  </si>
  <si>
    <t>NCASJ004112WPBS</t>
  </si>
  <si>
    <t>NCAPB0023/4WPBS</t>
  </si>
  <si>
    <t>NCSSD0013/4WPBS</t>
  </si>
  <si>
    <t>NCPPD0011/2WPBS</t>
  </si>
  <si>
    <t>NCSSD3/41/2WPBS</t>
  </si>
  <si>
    <t>NCSSD1123/4WPBS</t>
  </si>
  <si>
    <t>NCSSD1121/2WPBS</t>
  </si>
  <si>
    <t>NCASJ002001WPBS</t>
  </si>
  <si>
    <t>TF30MSW001E105</t>
  </si>
  <si>
    <t>TF60MSW112E105</t>
  </si>
  <si>
    <t>Itens da PO N00.421 cancelados</t>
  </si>
  <si>
    <t>ACMAQ9216</t>
  </si>
  <si>
    <t>ACMAQ9217</t>
  </si>
  <si>
    <t>ACMAQ9218</t>
  </si>
  <si>
    <t>ACMAQ9219</t>
  </si>
  <si>
    <t>ACMAQ9220</t>
  </si>
  <si>
    <t>ACMAQ9221</t>
  </si>
  <si>
    <t>ACMAQ9222</t>
  </si>
  <si>
    <t>ACMAQ9223</t>
  </si>
  <si>
    <t>ACMAQ9224</t>
  </si>
  <si>
    <t>ACMAQ9225</t>
  </si>
  <si>
    <t>ACMAQ9226</t>
  </si>
  <si>
    <t>ACMAQ9227</t>
  </si>
  <si>
    <t>ACMAQ9228</t>
  </si>
  <si>
    <t>ACMAQ9229</t>
  </si>
  <si>
    <t>30%;70%</t>
  </si>
  <si>
    <t xml:space="preserve">FS I INDUSTRIA </t>
  </si>
  <si>
    <t xml:space="preserve">CL90ST004022S </t>
  </si>
  <si>
    <t xml:space="preserve">CL9016212022S </t>
  </si>
  <si>
    <t xml:space="preserve">CT960MSW01/2022 </t>
  </si>
  <si>
    <t xml:space="preserve">CT960MSW0001022 </t>
  </si>
  <si>
    <t xml:space="preserve">TE90XX012022S </t>
  </si>
  <si>
    <t xml:space="preserve">TRID016012022S </t>
  </si>
  <si>
    <t xml:space="preserve">TRAA024012011S </t>
  </si>
  <si>
    <t xml:space="preserve">RCID016012022S </t>
  </si>
  <si>
    <t xml:space="preserve">CL9012016022S </t>
  </si>
  <si>
    <t xml:space="preserve">CL9016002022S </t>
  </si>
  <si>
    <t xml:space="preserve">CPXX012022 </t>
  </si>
  <si>
    <t xml:space="preserve">ML60MSW001022 </t>
  </si>
  <si>
    <t xml:space="preserve">CURVA RL 90G STD DN 4 WP22 </t>
  </si>
  <si>
    <t xml:space="preserve">CURVA RL 90G SCH160 DN 2.1/2 WP22 </t>
  </si>
  <si>
    <t xml:space="preserve">COTOVELO 90 6000 SW 1/2 F22 </t>
  </si>
  <si>
    <t xml:space="preserve">COTOVELO 90 6000 SW 1 F22 </t>
  </si>
  <si>
    <t xml:space="preserve">TE 90G XXS/120(1,000) DN 12 WP22 </t>
  </si>
  <si>
    <t xml:space="preserve">TE RED. 120(1,219) / XXS(120) 16X12 WP22 </t>
  </si>
  <si>
    <t xml:space="preserve">TE RED. STD(20) / STD(0,375) 24X12 WP11 </t>
  </si>
  <si>
    <t xml:space="preserve">CURVA RL 90G SCH120 DN 16 WP22 </t>
  </si>
  <si>
    <t xml:space="preserve">CURVA RL 90G SCH160 DN 2 WP22 </t>
  </si>
  <si>
    <t xml:space="preserve">CAP XXS/120(1,000) DN 12 WP22 </t>
  </si>
  <si>
    <t xml:space="preserve">MEIA LUVA 6000 SW 1 F22 </t>
  </si>
  <si>
    <t>001.579</t>
  </si>
  <si>
    <t xml:space="preserve">JUNTA ANEL RTJ TIPO BX151 SS316/L </t>
  </si>
  <si>
    <t xml:space="preserve">JUNTA ANEL RTJ TIPO BX169 INC 625 </t>
  </si>
  <si>
    <t>JUNTA ANEL NORSOK TIPO IX150 ACO CARB. + REV. PTFE</t>
  </si>
  <si>
    <t xml:space="preserve">JUNTA RTJ OCT. R-71 CARB STEEL + CADMIADO </t>
  </si>
  <si>
    <t xml:space="preserve">JUNTA RTJ OCT. R-74 LOW CARB STEEL </t>
  </si>
  <si>
    <t xml:space="preserve">JUNTA RTJ OVAL R-12 INC 625 </t>
  </si>
  <si>
    <t xml:space="preserve">JUNTA RTJ OVAL R-14 INC 625 </t>
  </si>
  <si>
    <t xml:space="preserve">JUNTA RTJ OVAL R-16 INC 625 </t>
  </si>
  <si>
    <t xml:space="preserve">JUNTA RTJ OVAL R-18 INC 625 </t>
  </si>
  <si>
    <t xml:space="preserve">JUNTA RTJ OVAL R-21 LOW CARB STEEL </t>
  </si>
  <si>
    <t xml:space="preserve">JUNTA RTJ OVAL R-23 INC 625 </t>
  </si>
  <si>
    <t xml:space="preserve">JUNTA RTJ OVAL R-26 INC 625 </t>
  </si>
  <si>
    <t xml:space="preserve">JUNTA RTJ OVAL R-32 INC 625 </t>
  </si>
  <si>
    <t xml:space="preserve">JUNTA RTJ OVAL TIPO R-57 CARB STEEL + ZN-NI </t>
  </si>
  <si>
    <t xml:space="preserve">JUNTA ANEL RTJ OVAL TIPO R-62 SS304/L </t>
  </si>
  <si>
    <t xml:space="preserve">BX169I625 </t>
  </si>
  <si>
    <t xml:space="preserve">IX0150LCPT </t>
  </si>
  <si>
    <t xml:space="preserve">RROC071LCCD </t>
  </si>
  <si>
    <t xml:space="preserve">RROC074LCSS </t>
  </si>
  <si>
    <t xml:space="preserve">RROV012I625 </t>
  </si>
  <si>
    <t xml:space="preserve">RROV014I625 </t>
  </si>
  <si>
    <t xml:space="preserve">RROV016I625 </t>
  </si>
  <si>
    <t xml:space="preserve">RROV018I625 </t>
  </si>
  <si>
    <t xml:space="preserve">RROV021LCSS </t>
  </si>
  <si>
    <t xml:space="preserve">RROV023I625 </t>
  </si>
  <si>
    <t xml:space="preserve">RROV026I625 </t>
  </si>
  <si>
    <t xml:space="preserve">RROV032I625 </t>
  </si>
  <si>
    <t xml:space="preserve">RROV057CSZN </t>
  </si>
  <si>
    <t xml:space="preserve">RROV062S304 </t>
  </si>
  <si>
    <t xml:space="preserve">BX151316L                </t>
  </si>
  <si>
    <t xml:space="preserve">BX169I625                </t>
  </si>
  <si>
    <t xml:space="preserve">IX0150LCPT               </t>
  </si>
  <si>
    <t xml:space="preserve">RROC071LCCD              </t>
  </si>
  <si>
    <t xml:space="preserve">RROC074LCSS              </t>
  </si>
  <si>
    <t xml:space="preserve">RROV012I625              </t>
  </si>
  <si>
    <t xml:space="preserve">RROV014I625              </t>
  </si>
  <si>
    <t xml:space="preserve">RROV016I625              </t>
  </si>
  <si>
    <t xml:space="preserve">RROV018I625              </t>
  </si>
  <si>
    <t xml:space="preserve">RROV021LCSS              </t>
  </si>
  <si>
    <t xml:space="preserve">RROV023I625              </t>
  </si>
  <si>
    <t xml:space="preserve">RROV026I625              </t>
  </si>
  <si>
    <t xml:space="preserve">RROV032I625              </t>
  </si>
  <si>
    <t xml:space="preserve">RROV057CSZN              </t>
  </si>
  <si>
    <t xml:space="preserve">RROV062S304              </t>
  </si>
  <si>
    <t>164.573</t>
  </si>
  <si>
    <t>BX151316L</t>
  </si>
  <si>
    <t xml:space="preserve">JEI415MG4114AC           </t>
  </si>
  <si>
    <t xml:space="preserve">JENA3/6M3003AC           </t>
  </si>
  <si>
    <t xml:space="preserve">JEI6600G6020E6           </t>
  </si>
  <si>
    <t xml:space="preserve">JEI425MG43/4AC           </t>
  </si>
  <si>
    <t xml:space="preserve">JENA3/6G6002AC           </t>
  </si>
  <si>
    <t xml:space="preserve">JBNA300G4030AC           </t>
  </si>
  <si>
    <t xml:space="preserve">RROC037LCSS              </t>
  </si>
  <si>
    <t xml:space="preserve">JEI7150G6018AC           </t>
  </si>
  <si>
    <t xml:space="preserve">JEI4150G4006E4           </t>
  </si>
  <si>
    <t xml:space="preserve">RROV020S347              </t>
  </si>
  <si>
    <t xml:space="preserve">RROV013S347              </t>
  </si>
  <si>
    <t xml:space="preserve">RROV032SFIR              </t>
  </si>
  <si>
    <t xml:space="preserve">RROV0280011              </t>
  </si>
  <si>
    <t xml:space="preserve">RROV055SFIR              </t>
  </si>
  <si>
    <t xml:space="preserve">RROV022S304              </t>
  </si>
  <si>
    <t xml:space="preserve">JEI4300G6008AC           </t>
  </si>
  <si>
    <t xml:space="preserve">JENA150G4018AC           </t>
  </si>
  <si>
    <t xml:space="preserve">JP15031F001PTFE          </t>
  </si>
  <si>
    <t xml:space="preserve">RX024316L                </t>
  </si>
  <si>
    <t xml:space="preserve">BX169316L                </t>
  </si>
  <si>
    <t xml:space="preserve">BX163316L                </t>
  </si>
  <si>
    <t xml:space="preserve">RROV045S347              </t>
  </si>
  <si>
    <t xml:space="preserve">RROC070S317              </t>
  </si>
  <si>
    <t xml:space="preserve">RROC037S317              </t>
  </si>
  <si>
    <t xml:space="preserve">RROC053S317              </t>
  </si>
  <si>
    <t xml:space="preserve">RROC095S317              </t>
  </si>
  <si>
    <t xml:space="preserve">RROC045S317              </t>
  </si>
  <si>
    <t xml:space="preserve">RROC069S317              </t>
  </si>
  <si>
    <t xml:space="preserve">JENA150G6114AC           </t>
  </si>
  <si>
    <t xml:space="preserve">JEIB3/6GC001AC           </t>
  </si>
  <si>
    <t xml:space="preserve">JEI4300G4008E4           </t>
  </si>
  <si>
    <t xml:space="preserve">RROV100SFIR              </t>
  </si>
  <si>
    <t xml:space="preserve">RROC063LCSS              </t>
  </si>
  <si>
    <t xml:space="preserve">RROC057LCSS              </t>
  </si>
  <si>
    <t xml:space="preserve">JEI3600G3312AC           </t>
  </si>
  <si>
    <t xml:space="preserve">JENA150G4024AC           </t>
  </si>
  <si>
    <t xml:space="preserve">JENA300G6014E6           </t>
  </si>
  <si>
    <t xml:space="preserve">JENA300G6005AC           </t>
  </si>
  <si>
    <t xml:space="preserve">RROV058LCSS              </t>
  </si>
  <si>
    <t xml:space="preserve">JEI7600G6004AC           </t>
  </si>
  <si>
    <t xml:space="preserve">RROV093SFIR              </t>
  </si>
  <si>
    <t xml:space="preserve">JENA900G4014AC           </t>
  </si>
  <si>
    <t xml:space="preserve">JEI4150G4004E4           </t>
  </si>
  <si>
    <t xml:space="preserve">RROC026SFCD              </t>
  </si>
  <si>
    <t xml:space="preserve">RROC051LCSS              </t>
  </si>
  <si>
    <t xml:space="preserve">RROC020LCCD              </t>
  </si>
  <si>
    <t xml:space="preserve">RROC062LCSS              </t>
  </si>
  <si>
    <t xml:space="preserve">JEIB150GC003E6           </t>
  </si>
  <si>
    <t xml:space="preserve">JENA15MG4016AC           </t>
  </si>
  <si>
    <t xml:space="preserve">RROC023S321              </t>
  </si>
  <si>
    <t xml:space="preserve">JP15031F112PTFE          </t>
  </si>
  <si>
    <t xml:space="preserve">JENA150G6002E6           </t>
  </si>
  <si>
    <t>001.592</t>
  </si>
  <si>
    <t xml:space="preserve">JENA3/6M3003AC </t>
  </si>
  <si>
    <t xml:space="preserve">JUNTA ES. S/ A.I. 300/600 MI+GF+347 DN3 AE.A/C </t>
  </si>
  <si>
    <t xml:space="preserve">JEI425MG43/4AC </t>
  </si>
  <si>
    <t xml:space="preserve">JUNTA ES. AI 304/L 2500 GF+304/L DN3/4 AE.A/C </t>
  </si>
  <si>
    <t xml:space="preserve">JENA3/6G6002AC </t>
  </si>
  <si>
    <t xml:space="preserve">JUNTA ES. S/ A.I. 300/600 GF+316/L DN2 AE.A/C </t>
  </si>
  <si>
    <t xml:space="preserve">JBNA300G4030AC </t>
  </si>
  <si>
    <t xml:space="preserve">JUNTA ES. S/ A.I. 300# GF+304/L DN30" A.E. A/C </t>
  </si>
  <si>
    <t xml:space="preserve">RROC037LCSS </t>
  </si>
  <si>
    <t xml:space="preserve">JUNTA RTJ OCT. R-37 LOW CARB STEEL </t>
  </si>
  <si>
    <t xml:space="preserve">JEI7150G6018AC </t>
  </si>
  <si>
    <t xml:space="preserve">JUNTA ES. AI317/L 150 GF+316/L DN18 AE.A/C </t>
  </si>
  <si>
    <t xml:space="preserve">JEI4150G4006E4 </t>
  </si>
  <si>
    <t xml:space="preserve">JUNTA ES. AI 304/L 150 GF+304/L DN6 AE304/L </t>
  </si>
  <si>
    <t xml:space="preserve">RROV020S347 </t>
  </si>
  <si>
    <t xml:space="preserve">JUNTA RTJ OVAL R-20 SS347 </t>
  </si>
  <si>
    <t xml:space="preserve">RROV013S347 </t>
  </si>
  <si>
    <t xml:space="preserve">JUNTA RTJ OVAL R-13 SS347 </t>
  </si>
  <si>
    <t xml:space="preserve">RROV032SFIR </t>
  </si>
  <si>
    <t xml:space="preserve">JUNTA RTJ OVAL R-32 SOFT IRON </t>
  </si>
  <si>
    <t xml:space="preserve">RROV0280011 </t>
  </si>
  <si>
    <t xml:space="preserve">JUNTA RTJ OVAL R-28 UNS K11572 (GR.11) </t>
  </si>
  <si>
    <t xml:space="preserve">RROV055SFIR </t>
  </si>
  <si>
    <t xml:space="preserve">JUNTA RTJ OVAL R-55 SOFT IRON </t>
  </si>
  <si>
    <t xml:space="preserve">RROV022S304 </t>
  </si>
  <si>
    <t xml:space="preserve">JUNTA RTJ OVAL R-22 SS304/L </t>
  </si>
  <si>
    <t xml:space="preserve">JEI4300G6008AC </t>
  </si>
  <si>
    <t xml:space="preserve">JUNTA ES. AI 304/L 300 GF+316/L DN8 AE.A/C </t>
  </si>
  <si>
    <t xml:space="preserve">JENA150G4018AC </t>
  </si>
  <si>
    <t xml:space="preserve">JUNTA ES. S/ A.I. 150 GF+304/L DN18 AE.A/C </t>
  </si>
  <si>
    <t xml:space="preserve">JP15031F001PTFE </t>
  </si>
  <si>
    <t xml:space="preserve">JUNTA P/ FL 150 ESP. 3,17MM FF DN1 PTFE EXPANDIDO </t>
  </si>
  <si>
    <t xml:space="preserve">RX024316L </t>
  </si>
  <si>
    <t xml:space="preserve">JUNTA RX TIPO RX-24 SS316/L </t>
  </si>
  <si>
    <t xml:space="preserve">BX163316L </t>
  </si>
  <si>
    <t xml:space="preserve">JUNTA ANEL RTJ TIPO BX163 SS316/L </t>
  </si>
  <si>
    <t xml:space="preserve">RROC070S317 </t>
  </si>
  <si>
    <t xml:space="preserve">JUNTA RTJ OCT. R-70 SS317/L </t>
  </si>
  <si>
    <t xml:space="preserve">RROC037S317 </t>
  </si>
  <si>
    <t xml:space="preserve">JUNTA RTJ OCT. R-37 SS317/L </t>
  </si>
  <si>
    <t xml:space="preserve">RROC053S317 </t>
  </si>
  <si>
    <t xml:space="preserve">JUNTA RTJ OCT. R-53 SS317/L </t>
  </si>
  <si>
    <t xml:space="preserve">RROC095S317 </t>
  </si>
  <si>
    <t xml:space="preserve">JUNTA RTJ OCT. R-95 SS317/L </t>
  </si>
  <si>
    <t xml:space="preserve">RROC045S317 </t>
  </si>
  <si>
    <t xml:space="preserve">JUNTA RTJ OCT. R-45 SS317/L </t>
  </si>
  <si>
    <t xml:space="preserve">RROC069S317 </t>
  </si>
  <si>
    <t xml:space="preserve">JUNTA RTJ OCT. R-69 SS317/L </t>
  </si>
  <si>
    <t xml:space="preserve">JENA150G6114AC </t>
  </si>
  <si>
    <t xml:space="preserve">JUNTA ES. S/ A.I. 150 GF+316/L DN1.1/4 AE.A/C </t>
  </si>
  <si>
    <t xml:space="preserve">JEIB3/6GC001AC </t>
  </si>
  <si>
    <t>JUNTA ES. UNS 31803 300/600 GF+ UNS31803 DN1 AE.A/</t>
  </si>
  <si>
    <t xml:space="preserve">JEI4300G4008E4 </t>
  </si>
  <si>
    <t xml:space="preserve">JUNTA ES. AI 304/L 300 GF+304/L DN8 AE304/L </t>
  </si>
  <si>
    <t xml:space="preserve">RROV100SFIR </t>
  </si>
  <si>
    <t xml:space="preserve">JUNTA RTJ OVAL R-100 SOFT IRON </t>
  </si>
  <si>
    <t xml:space="preserve">RROC063LCSS </t>
  </si>
  <si>
    <t xml:space="preserve">JUNTA RTJ OCT. R-63 LOW CARB STEEL </t>
  </si>
  <si>
    <t xml:space="preserve">RROC057LCSS </t>
  </si>
  <si>
    <t xml:space="preserve">JUNTA RTJ OCT. R-57 LOW CARB STEEL </t>
  </si>
  <si>
    <t xml:space="preserve">JENA150G4024AC </t>
  </si>
  <si>
    <t xml:space="preserve">JUNTA ES. S/ A.I. 150 GF+304/L DN24 AE.A/C </t>
  </si>
  <si>
    <t xml:space="preserve">JENA300G6014E6 </t>
  </si>
  <si>
    <t xml:space="preserve">JUNTA ES. S/ A.I. 300 GF+316/L DN14 AE316/L </t>
  </si>
  <si>
    <t xml:space="preserve">JENA300G6005AC </t>
  </si>
  <si>
    <t xml:space="preserve">JUNTA ES. S/ A.I. 300 GF+316/L DN5 AE.A/C </t>
  </si>
  <si>
    <t xml:space="preserve">RROV058LCSS </t>
  </si>
  <si>
    <t xml:space="preserve">JUNTA RTJ OVAL R-58 LOW CARB STEEL </t>
  </si>
  <si>
    <t xml:space="preserve">JEI7600G6004AC </t>
  </si>
  <si>
    <t xml:space="preserve">JUNTA ES. AI317/L 600 GF+316/L DN4 AE.A/C </t>
  </si>
  <si>
    <t xml:space="preserve">RROV093SFIR </t>
  </si>
  <si>
    <t xml:space="preserve">JUNTA RTJ OVAL R-93 SOFT IRON </t>
  </si>
  <si>
    <t xml:space="preserve">JENA900G4014AC </t>
  </si>
  <si>
    <t xml:space="preserve">JUNTA ES. S/ A.I. 900 GF+304/L DN14 AE.A/C </t>
  </si>
  <si>
    <t xml:space="preserve">JEI4150G4004E4 </t>
  </si>
  <si>
    <t xml:space="preserve">JUNTA ES. AI 304/L 150 GF+304/L DN4 AE304/L </t>
  </si>
  <si>
    <t xml:space="preserve">JUNTA RTJ OCT. R-26 SOFT IRON + CADMIADO </t>
  </si>
  <si>
    <t xml:space="preserve">RROC051LCSS </t>
  </si>
  <si>
    <t xml:space="preserve">JUNTA RTJ OCT. R-51 LOW CARB STEEL </t>
  </si>
  <si>
    <t xml:space="preserve">RROC020LCCD </t>
  </si>
  <si>
    <t xml:space="preserve">JUNTA RTJ OCT. R-20 CARB STEEL+CADMIADO </t>
  </si>
  <si>
    <t xml:space="preserve">RROC062LCSS </t>
  </si>
  <si>
    <t xml:space="preserve">JUNTA RTJ OCT. R-62 LOW CARB STEEL </t>
  </si>
  <si>
    <t xml:space="preserve">JEIB150GC003E6 </t>
  </si>
  <si>
    <t xml:space="preserve">JUNTA ES. UNS 31803 150 GF+ UNS31803 DN3 AE316/L </t>
  </si>
  <si>
    <t xml:space="preserve">JENA15MG4016AC </t>
  </si>
  <si>
    <t xml:space="preserve">JUNTA ES. S/ A.I. 1500 GF+304/L DN16 AE.A/C </t>
  </si>
  <si>
    <t xml:space="preserve">RROC023S321 </t>
  </si>
  <si>
    <t xml:space="preserve">JUNTA RTJ OCT. R-23 SS321 </t>
  </si>
  <si>
    <t xml:space="preserve">JP15031F112PTFE </t>
  </si>
  <si>
    <t>JUNTA P/ FL 150 ESP. 3,17MM FF DN1.1/2 PTFE EXPAND</t>
  </si>
  <si>
    <t xml:space="preserve">JENA150G6002E6 </t>
  </si>
  <si>
    <t xml:space="preserve">JUNTA ES. S/ A.I. 150 GF+316/L DN2 AE316/L </t>
  </si>
  <si>
    <t>VENDA EM DIAS</t>
  </si>
  <si>
    <t>001.598</t>
  </si>
  <si>
    <t>GH SAILING</t>
  </si>
  <si>
    <t>REII008004WPBS</t>
  </si>
  <si>
    <t>CL90XS018WPBS</t>
  </si>
  <si>
    <t>TRQQ020018WPBS</t>
  </si>
  <si>
    <t xml:space="preserve">REII008004WPBS </t>
  </si>
  <si>
    <t xml:space="preserve">CL90XS018WPBS </t>
  </si>
  <si>
    <t xml:space="preserve">CURVA RL 90G XS/0,500 DN 18 WPB </t>
  </si>
  <si>
    <t xml:space="preserve">TRQQ020018WPBS </t>
  </si>
  <si>
    <t xml:space="preserve">TE RED. 10(0,250) / 10(0,250) 20X18 WPB </t>
  </si>
  <si>
    <t>PO embarcada</t>
  </si>
  <si>
    <t>Jndia cotou 10S ao inves de 40S- Feriado chinês</t>
  </si>
  <si>
    <t>SIM - 24/02</t>
  </si>
  <si>
    <t>SIM - 04/03</t>
  </si>
  <si>
    <t>SIM</t>
  </si>
  <si>
    <t>SIM - 20/02</t>
  </si>
  <si>
    <t>WDLST004002105</t>
  </si>
  <si>
    <t>WDLXS008002105</t>
  </si>
  <si>
    <t>WDLST008002105</t>
  </si>
  <si>
    <t>WDLST006002105</t>
  </si>
  <si>
    <t>WDLST024002105</t>
  </si>
  <si>
    <t>WDLST012004105</t>
  </si>
  <si>
    <t>WDLST012003105</t>
  </si>
  <si>
    <t>WDLST012002105</t>
  </si>
  <si>
    <t>WDLST010003105</t>
  </si>
  <si>
    <t>WDLXS010002105</t>
  </si>
  <si>
    <t>WDLST010002105</t>
  </si>
  <si>
    <t>TL30MN004112105</t>
  </si>
  <si>
    <t>TL30MN0043/4105</t>
  </si>
  <si>
    <t>TL30MN003001105</t>
  </si>
  <si>
    <t>TL30MN002112105</t>
  </si>
  <si>
    <t>SK60MS004112105</t>
  </si>
  <si>
    <t>SK60MS004001105</t>
  </si>
  <si>
    <t>SK60MS0043/4105</t>
  </si>
  <si>
    <t>SK60MS003001105</t>
  </si>
  <si>
    <t>SK60MS002001105</t>
  </si>
  <si>
    <t>SK60MS0023/4105</t>
  </si>
  <si>
    <t>SK30MS0043/4105</t>
  </si>
  <si>
    <t>SK30MS003112105</t>
  </si>
  <si>
    <t>SK30MS003001105</t>
  </si>
  <si>
    <t>SK30MS0033/4105</t>
  </si>
  <si>
    <t xml:space="preserve">CE600JR0036/L            </t>
  </si>
  <si>
    <t xml:space="preserve">LV30MSW0014/L            </t>
  </si>
  <si>
    <t xml:space="preserve">CE600JR0066/L            </t>
  </si>
  <si>
    <t xml:space="preserve">SW600JR4S3/4021          </t>
  </si>
  <si>
    <t xml:space="preserve">WN300RE4S0066/L          </t>
  </si>
  <si>
    <t xml:space="preserve">RECC0040036/LS           </t>
  </si>
  <si>
    <t>SK30MS0023/46/L</t>
  </si>
  <si>
    <t>LR30SW0033/4021</t>
  </si>
  <si>
    <t xml:space="preserve">CE600JR0036/L </t>
  </si>
  <si>
    <t xml:space="preserve">LV30MSW0014/L </t>
  </si>
  <si>
    <t xml:space="preserve">LUVA 3000 SW 1 F304/L </t>
  </si>
  <si>
    <t xml:space="preserve">CE600JR0066/L </t>
  </si>
  <si>
    <t xml:space="preserve">SW600JR4S3/4021 </t>
  </si>
  <si>
    <t xml:space="preserve">WN300RE4S0066/L </t>
  </si>
  <si>
    <t xml:space="preserve">FLANGE WN 300 RFE 40S 6 F316/L </t>
  </si>
  <si>
    <t xml:space="preserve">RECC0040036/LS </t>
  </si>
  <si>
    <t xml:space="preserve">SK30MS0023/46/L </t>
  </si>
  <si>
    <t>001.603</t>
  </si>
  <si>
    <t>164.616</t>
  </si>
  <si>
    <t>164.617</t>
  </si>
  <si>
    <t>164.744</t>
  </si>
  <si>
    <t>164.773</t>
  </si>
  <si>
    <t>N00.468</t>
  </si>
  <si>
    <t>WN15MJR16006A1N</t>
  </si>
  <si>
    <t>CE150RE006009</t>
  </si>
  <si>
    <t xml:space="preserve">CL90XS008009S            </t>
  </si>
  <si>
    <t xml:space="preserve">CL9008010009S            </t>
  </si>
  <si>
    <t xml:space="preserve">REYI010006009S           </t>
  </si>
  <si>
    <t xml:space="preserve">TE90XS008009S            </t>
  </si>
  <si>
    <t xml:space="preserve">TE90XS010009S            </t>
  </si>
  <si>
    <t xml:space="preserve">CT990MSW03/4009          </t>
  </si>
  <si>
    <t xml:space="preserve">CT990MSW0001009          </t>
  </si>
  <si>
    <t xml:space="preserve">CT990MSW0112009          </t>
  </si>
  <si>
    <t xml:space="preserve">ML90MSW001009            </t>
  </si>
  <si>
    <t xml:space="preserve">ML90MSW112009            </t>
  </si>
  <si>
    <t xml:space="preserve">TF90MSW0001009           </t>
  </si>
  <si>
    <t xml:space="preserve">TF90MSW0112009           </t>
  </si>
  <si>
    <t xml:space="preserve">CA90MSW3/4009            </t>
  </si>
  <si>
    <t xml:space="preserve">TF90MSW112E009           </t>
  </si>
  <si>
    <t xml:space="preserve">SW600RE163/4A1N  </t>
  </si>
  <si>
    <t>WN300REXS008A1N</t>
  </si>
  <si>
    <t>sim</t>
  </si>
  <si>
    <t>Antiga PO N00.473</t>
  </si>
  <si>
    <t>001.602</t>
  </si>
  <si>
    <t xml:space="preserve">TE908S003047S            </t>
  </si>
  <si>
    <t>CE25MJR008X70</t>
  </si>
  <si>
    <t>RROC022S304</t>
  </si>
  <si>
    <t>RROC026CSZN</t>
  </si>
  <si>
    <t>RROC061LCSS</t>
  </si>
  <si>
    <t xml:space="preserve">JEI43/6M4112E4           </t>
  </si>
  <si>
    <t>JENA150G4010E4</t>
  </si>
  <si>
    <t>JEI415MG41/2E4</t>
  </si>
  <si>
    <t>JENA25MG4012AC</t>
  </si>
  <si>
    <t>JENA25MG4003AC</t>
  </si>
  <si>
    <t>RROC053LCSS</t>
  </si>
  <si>
    <t>JENA25MG4001AC</t>
  </si>
  <si>
    <t>JBI6150G6042AC</t>
  </si>
  <si>
    <t>B3</t>
  </si>
  <si>
    <t xml:space="preserve">WN15MJR16006A1N          </t>
  </si>
  <si>
    <t>AS</t>
  </si>
  <si>
    <t>9T</t>
  </si>
  <si>
    <t>AF</t>
  </si>
  <si>
    <t>UCR</t>
  </si>
  <si>
    <t xml:space="preserve">CL90XS008009S </t>
  </si>
  <si>
    <t xml:space="preserve">CURVA RL 90G XS/0,500 DN 8 WP9 </t>
  </si>
  <si>
    <t xml:space="preserve">CL9008010009S </t>
  </si>
  <si>
    <t xml:space="preserve">CURVA RL 90G SCH80 DN 10 WP9 </t>
  </si>
  <si>
    <t xml:space="preserve">REYI010006009S </t>
  </si>
  <si>
    <t xml:space="preserve">TE90XS008009S </t>
  </si>
  <si>
    <t xml:space="preserve">TE 90G XS(80) DN 8 WP9 </t>
  </si>
  <si>
    <t xml:space="preserve">TE90XS010009S </t>
  </si>
  <si>
    <t xml:space="preserve">TE 90G XS(60) DN 10 WP9 </t>
  </si>
  <si>
    <t xml:space="preserve">CT990MSW03/4009 </t>
  </si>
  <si>
    <t xml:space="preserve">COTOVELO 90G 9000 SW DN 3/4 F9 </t>
  </si>
  <si>
    <t xml:space="preserve">CT990MSW0001009 </t>
  </si>
  <si>
    <t xml:space="preserve">COTOVELO 90G 9000 SW DN 1 F9 </t>
  </si>
  <si>
    <t xml:space="preserve">CT990MSW0112009 </t>
  </si>
  <si>
    <t xml:space="preserve">COTOVELO 90G 9000 SW DN 1.1/2 F9 </t>
  </si>
  <si>
    <t xml:space="preserve">ML90MSW001009 </t>
  </si>
  <si>
    <t xml:space="preserve">MEIA LUVA 9000 SW 1 F9 </t>
  </si>
  <si>
    <t xml:space="preserve">ML90MSW112009 </t>
  </si>
  <si>
    <t xml:space="preserve">MEIA LUVA 9000 SW 1.1/2 F9 </t>
  </si>
  <si>
    <t xml:space="preserve">TF90MSW0001009 </t>
  </si>
  <si>
    <t xml:space="preserve">TE 9000 SW 1 F9 </t>
  </si>
  <si>
    <t xml:space="preserve">TF90MSW0112009 </t>
  </si>
  <si>
    <t xml:space="preserve">TE 9000 SW 1.1/2 F9 </t>
  </si>
  <si>
    <t xml:space="preserve">CA90MSW3/4009 </t>
  </si>
  <si>
    <t xml:space="preserve">CAP 9000 SW DN 3/4 F9 </t>
  </si>
  <si>
    <t xml:space="preserve">TF90MSW112E009 </t>
  </si>
  <si>
    <t xml:space="preserve">TE 9000 SW 1.1/2X3/4 F9 </t>
  </si>
  <si>
    <t xml:space="preserve">SW600RE163/4A1N </t>
  </si>
  <si>
    <t xml:space="preserve">FLANGE SW 600 RFE SCH 160 DN 3/4 A105N </t>
  </si>
  <si>
    <t xml:space="preserve">WN300REXS008A1N </t>
  </si>
  <si>
    <t xml:space="preserve">FLANGE WN 300 RFE XS/80(0,500) DN 8 A105N </t>
  </si>
  <si>
    <t xml:space="preserve">CE150RE006009            </t>
  </si>
  <si>
    <t xml:space="preserve">FLANGE CEGO 150 RFE DN 6 A182 F9                  </t>
  </si>
  <si>
    <t>9G</t>
  </si>
  <si>
    <t xml:space="preserve">TE 90G SCH 80S DN 3 WPS347                        </t>
  </si>
  <si>
    <t xml:space="preserve">CE25MJR008X70            </t>
  </si>
  <si>
    <t>FIGD25MJF010105</t>
  </si>
  <si>
    <t xml:space="preserve">FIGD25MJF010105          </t>
  </si>
  <si>
    <t>FIGURA 8 CONF. DES. 2500 RTJ DN 10 A105</t>
  </si>
  <si>
    <t>COMPLEXO DE ENE</t>
  </si>
  <si>
    <t xml:space="preserve">JUNTA RTJ OCT. R-22 SS304/L </t>
  </si>
  <si>
    <t xml:space="preserve">JUNTA RTJ OCT. R-26 LOW CARB STEEL </t>
  </si>
  <si>
    <t xml:space="preserve">JUNTA RTJ OCT. R-61 LOW CARB STEEL </t>
  </si>
  <si>
    <t xml:space="preserve">JUNTA ES. AI 304/L 1500 GF+304/L DN1/2 AE304/L </t>
  </si>
  <si>
    <t xml:space="preserve">JUNTA ES. S/ A.I. 2500 GF+304/L DN12 AE.A/C </t>
  </si>
  <si>
    <t xml:space="preserve">JUNTA ES. S/ A.I. 2500 GF+304/L DN3 AE.A/C </t>
  </si>
  <si>
    <t xml:space="preserve">JUNTA RTJ OCT. R-53 LOW CARB STEEL </t>
  </si>
  <si>
    <t xml:space="preserve">JUNTA ES. S/ A.I. 2500 GF+304/L DN1 AE.A/C </t>
  </si>
  <si>
    <t xml:space="preserve">JUNTA ES. A.I. 316/L 150# GF+316/L DN42" A.E. A/C </t>
  </si>
  <si>
    <t>03;11 e 13</t>
  </si>
  <si>
    <t>4 e 8</t>
  </si>
  <si>
    <t>5 e 15</t>
  </si>
  <si>
    <t>SO150FE024A1N</t>
  </si>
  <si>
    <t xml:space="preserve">FLANGE SLIP-ON 150 FFE DN 24 A105N                               </t>
  </si>
  <si>
    <t>SO150RE024A1N</t>
  </si>
  <si>
    <t xml:space="preserve">Chegou em 04/03 - 09/02 - Ag. Booking ;04/02 - Material pronto </t>
  </si>
  <si>
    <t>Embarcado</t>
  </si>
  <si>
    <t>Chegou em 20/02 - Chegou no armazem de SP 19/02 ; 09/02 - UPS coleta material</t>
  </si>
  <si>
    <t xml:space="preserve">Chegou em 24/02 - Material coletado </t>
  </si>
  <si>
    <t>Chegou em 03/02 - Finalizado 03/02 - 20/01 - Ag. Coleta UPS; 13/01 - Entrega para 22/01</t>
  </si>
  <si>
    <t>001.607</t>
  </si>
  <si>
    <t>JEI6150G6003E6</t>
  </si>
  <si>
    <t>JENA600G4020AC</t>
  </si>
  <si>
    <t>JEI415MG43/4AC</t>
  </si>
  <si>
    <t>RROC045LCSS</t>
  </si>
  <si>
    <t>JP15016F112PTFE</t>
  </si>
  <si>
    <t>JENA150G4020AC</t>
  </si>
  <si>
    <t>JEI615MG6006AC</t>
  </si>
  <si>
    <t>JBI6300G6040AC</t>
  </si>
  <si>
    <t>1 e 4</t>
  </si>
  <si>
    <t xml:space="preserve">JEI6150G6003E6 </t>
  </si>
  <si>
    <t xml:space="preserve">JUNTA ES. AI 316/L 150 GF+316/L DN3 AE316/L </t>
  </si>
  <si>
    <t xml:space="preserve">JENA600G4020AC </t>
  </si>
  <si>
    <t xml:space="preserve">JUNTA ES. S/ A.I. 600 GF+304/L DN20 AE.A/C </t>
  </si>
  <si>
    <t xml:space="preserve">JEI415MG43/4AC </t>
  </si>
  <si>
    <t xml:space="preserve">JUNTA ES. AI 304/L 1500 GF+304/L DN3/4 AE.A/C </t>
  </si>
  <si>
    <t xml:space="preserve">RROC045LCSS </t>
  </si>
  <si>
    <t xml:space="preserve">JUNTA RTJ OCT. R-45 LOW CARB STEEL </t>
  </si>
  <si>
    <t xml:space="preserve">JP15016F112PTFE </t>
  </si>
  <si>
    <t>JUNTA P/ FL 150 ESP.1,6MM FF DN1.1/2 PTFE EXPANDID</t>
  </si>
  <si>
    <t xml:space="preserve">JENA150G4020AC </t>
  </si>
  <si>
    <t xml:space="preserve">JUNTA ES. S/ A.I. 150 GF+304/L DN20 AE.A/C </t>
  </si>
  <si>
    <t xml:space="preserve">JEI615MG6006AC </t>
  </si>
  <si>
    <t xml:space="preserve">JUNTA ES. A.I 316/L 1500 GF+316/L DN6 A.E. A/C </t>
  </si>
  <si>
    <t xml:space="preserve">JBI6300G6040AC </t>
  </si>
  <si>
    <t xml:space="preserve">JUNTA ES. A.I. 316/L 300# GF+316/L DN40" A.E. A/C </t>
  </si>
  <si>
    <t>TF60MSW0001011</t>
  </si>
  <si>
    <t>REQQ020014WPBS</t>
  </si>
  <si>
    <t>REAQ024020WPBS</t>
  </si>
  <si>
    <t>ECC RED 10(0,250) / 10(0,250) 20X14 WPB</t>
  </si>
  <si>
    <t>ECC RED STD(20) / 10(0,250) 24X20 WPB</t>
  </si>
  <si>
    <t>CM150RE030A1N</t>
  </si>
  <si>
    <t xml:space="preserve">FLANGE CEGO SERIE A 150 RFE 30 A105N                  </t>
  </si>
  <si>
    <t>001.608</t>
  </si>
  <si>
    <t xml:space="preserve">CM150RE030A1N            </t>
  </si>
  <si>
    <t>001.609</t>
  </si>
  <si>
    <t>ND30ME3/41/26/L</t>
  </si>
  <si>
    <t>WN300RL8S3/404H</t>
  </si>
  <si>
    <t>WN300RL8S00204H</t>
  </si>
  <si>
    <t>WN600RL4S02404H</t>
  </si>
  <si>
    <t>CE15MJR2124/L</t>
  </si>
  <si>
    <t>RQ15MJF012F51</t>
  </si>
  <si>
    <t>RCCC0040026/LS</t>
  </si>
  <si>
    <t>SO150FE010F55</t>
  </si>
  <si>
    <t>SO150FE016F55</t>
  </si>
  <si>
    <t>CE150RE0026/L</t>
  </si>
  <si>
    <t>3 e 4</t>
  </si>
  <si>
    <t xml:space="preserve">FLANGE WN 300 RFL SCH 80S DN 3/4 F304H            </t>
  </si>
  <si>
    <t xml:space="preserve">FLANGE WN 300 RFL SCH 80S DN 2 F304H              </t>
  </si>
  <si>
    <t xml:space="preserve">FLANGE WN 600 RFL SCH 40S DN 24 F304H             </t>
  </si>
  <si>
    <t xml:space="preserve">RAQUETE N120 1500 RJF 12 A182 F51                 </t>
  </si>
  <si>
    <t xml:space="preserve">FLANGE SLIP-ON 150 FFE DN 10 A182 F55             </t>
  </si>
  <si>
    <t xml:space="preserve">FLANGE SLIP-ON 150 FFE DN 16 A182 F55             </t>
  </si>
  <si>
    <t xml:space="preserve">FLANGE CEGO 150 RFE DN 2 F316/L                   </t>
  </si>
  <si>
    <t>A210BXJR0009F51</t>
  </si>
  <si>
    <t xml:space="preserve">A210BXJR0009F51          </t>
  </si>
  <si>
    <t xml:space="preserve">FLANGE CEGO 10M API 6A TP 6BX RTJ DN 9 F51            </t>
  </si>
  <si>
    <t xml:space="preserve">JEI6150G6012E6 </t>
  </si>
  <si>
    <t xml:space="preserve">IX02000051 </t>
  </si>
  <si>
    <t xml:space="preserve">IX03000051 </t>
  </si>
  <si>
    <t xml:space="preserve">IX0300S316 </t>
  </si>
  <si>
    <t xml:space="preserve">RROV063CSZN </t>
  </si>
  <si>
    <t xml:space="preserve">RROV100S316 </t>
  </si>
  <si>
    <t xml:space="preserve">RROC048SFIR </t>
  </si>
  <si>
    <t xml:space="preserve">IX0150S316 </t>
  </si>
  <si>
    <t xml:space="preserve">RROV075LCSS </t>
  </si>
  <si>
    <t xml:space="preserve">RROV093SFCD </t>
  </si>
  <si>
    <t xml:space="preserve">RROC060LCSS </t>
  </si>
  <si>
    <t xml:space="preserve">RROC093SFCD </t>
  </si>
  <si>
    <t xml:space="preserve">JEIB300GC012E6 </t>
  </si>
  <si>
    <t xml:space="preserve">RROC027S304 </t>
  </si>
  <si>
    <t xml:space="preserve">JENA150G6020AC </t>
  </si>
  <si>
    <t xml:space="preserve">RROC067LCSS </t>
  </si>
  <si>
    <t xml:space="preserve">RROC050S321 </t>
  </si>
  <si>
    <t xml:space="preserve">JUNTA ES. AI 316/L 150 GF+316/L DN12 AE316/L </t>
  </si>
  <si>
    <t xml:space="preserve">JUNTA ANEL NORSOK IX200 A182 F51 S31803 (GR.F51) </t>
  </si>
  <si>
    <t xml:space="preserve">JUNTA ANEL NORSOK TIPO IX300 S31803 (GR.F51) </t>
  </si>
  <si>
    <t xml:space="preserve">JUNTA ANEL NORSOK TIPO IX300 SS316/L </t>
  </si>
  <si>
    <t xml:space="preserve">JUNTA RTJ OVAL R-63 CARB STEEL+ZN-NI </t>
  </si>
  <si>
    <t xml:space="preserve">JUNTA RTJ OVAL R-100 SS316/L </t>
  </si>
  <si>
    <t xml:space="preserve">JUNTA RTJ OCT. R-48 SOFT IRON </t>
  </si>
  <si>
    <t xml:space="preserve">JUNTA ANEL NORSOK TIPO IX150 SS316/L </t>
  </si>
  <si>
    <t xml:space="preserve">JUNTA RTJ OVAL R-75 LOW CARB STEEL </t>
  </si>
  <si>
    <t xml:space="preserve">JUNTA RTJ OVAL R-93 SOFT IRON + CADMIADO </t>
  </si>
  <si>
    <t xml:space="preserve">JUNTA RTJ OCT. R-60 LOW CARB STEEL </t>
  </si>
  <si>
    <t xml:space="preserve">JUNTA RTJ OCT. R-93 SOFT IRON + CADMIADO </t>
  </si>
  <si>
    <t xml:space="preserve">JUNTA ES. UNS 31803 300 GF+ UNS31803 DN12 AE316/L </t>
  </si>
  <si>
    <t xml:space="preserve">JUNTA RTJ OCT. R-27 SS304/L </t>
  </si>
  <si>
    <t xml:space="preserve">JUNTA ES. S/ A.I. 150 GF+316/L DN20 AE.A/C </t>
  </si>
  <si>
    <t xml:space="preserve">JUNTA RTJ OCT. R-67 LOW CARB STEEL </t>
  </si>
  <si>
    <t xml:space="preserve">JUNTA RTJ OCT. R-50 SS321 </t>
  </si>
  <si>
    <t>001.610</t>
  </si>
  <si>
    <t xml:space="preserve">FLANGE CEGO 2500 NORSOK RTJ DN 6 A694 F70         </t>
  </si>
  <si>
    <t>COOPERVAL</t>
  </si>
  <si>
    <t>RCSA016010011S</t>
  </si>
  <si>
    <t>CP12008022</t>
  </si>
  <si>
    <t>164.952</t>
  </si>
  <si>
    <t>CAP SCH 120(0,719) DN 8 WP22</t>
  </si>
  <si>
    <t>CC90ST004WPBS</t>
  </si>
  <si>
    <t>CC90ST006WPBS</t>
  </si>
  <si>
    <t>CC90ST008WPBS</t>
  </si>
  <si>
    <t>CC90ST012WPBS</t>
  </si>
  <si>
    <t>CC90ST020WPBS</t>
  </si>
  <si>
    <t>CC90XS006WPBS</t>
  </si>
  <si>
    <t>CC90XS012WPBS</t>
  </si>
  <si>
    <t>CC90XS014WPBS</t>
  </si>
  <si>
    <t>CC90XS212WPBS</t>
  </si>
  <si>
    <t>CL45ST012WPBS</t>
  </si>
  <si>
    <t>CL9001016WPBS</t>
  </si>
  <si>
    <t>CL9001018WPBS</t>
  </si>
  <si>
    <t>CL9002012WPBS</t>
  </si>
  <si>
    <t>CL9004012WPBS</t>
  </si>
  <si>
    <t>CL9008010WPBS</t>
  </si>
  <si>
    <t>CL9012008WPBS</t>
  </si>
  <si>
    <t>CL9016002WPBS</t>
  </si>
  <si>
    <t>CL90ST002WPBS</t>
  </si>
  <si>
    <t>CL90ST004WPBS</t>
  </si>
  <si>
    <t>CL90ST006WPBS</t>
  </si>
  <si>
    <t>CL90ST010WPBS</t>
  </si>
  <si>
    <t>CL90ST012WPBS</t>
  </si>
  <si>
    <t>CL90ST014WPBS</t>
  </si>
  <si>
    <t>CL90ST016WPBS</t>
  </si>
  <si>
    <t>CL90ST018WPBS</t>
  </si>
  <si>
    <t>CL90ST024WPBS</t>
  </si>
  <si>
    <t>CL90ST026WPBS</t>
  </si>
  <si>
    <t>CL90XS002WPBS</t>
  </si>
  <si>
    <t>CL90XS004WPBS</t>
  </si>
  <si>
    <t>CL90XS008WPBS</t>
  </si>
  <si>
    <t>CL90XS012WPBS</t>
  </si>
  <si>
    <t>CL90XS014WPBS</t>
  </si>
  <si>
    <t>CL90XX002WPBS</t>
  </si>
  <si>
    <t xml:space="preserve">PREXX - GH </t>
  </si>
  <si>
    <t xml:space="preserve">Compra pela Prexx com a GH </t>
  </si>
  <si>
    <t xml:space="preserve">REAS004002WPBS           </t>
  </si>
  <si>
    <t>001.614</t>
  </si>
  <si>
    <t xml:space="preserve">Outros itens foram comprados para estoque </t>
  </si>
  <si>
    <t>Embarcado; Entrega em 29/01  - 21/01 - Prod. Schedule 31/01</t>
  </si>
  <si>
    <t>PREÇO VENDA TOTAL</t>
  </si>
  <si>
    <t>PREÇO COMPRA TOTAL</t>
  </si>
  <si>
    <t xml:space="preserve">BX169316L </t>
  </si>
  <si>
    <t xml:space="preserve">JUNTA ANEL RTJ TIPO BX169 SS316/L </t>
  </si>
  <si>
    <t>Material no porto de destino 30/03</t>
  </si>
  <si>
    <t xml:space="preserve">Ag. Confirmação de entrega; Entrega após o feriado </t>
  </si>
  <si>
    <t>Chegou na hci 19/03; UPS coletou em 16/03</t>
  </si>
  <si>
    <t>sim - 19/03</t>
  </si>
  <si>
    <t xml:space="preserve">GH vai liberar material após pagamento </t>
  </si>
  <si>
    <t>Ag. Pagamento da PO 001.598</t>
  </si>
  <si>
    <t>Adicionamos mais tres itens; Pedimos entrega para meio de abril</t>
  </si>
  <si>
    <t xml:space="preserve">REWA010006WPBS </t>
  </si>
  <si>
    <t>001.616</t>
  </si>
  <si>
    <t>TE9012006WPBS</t>
  </si>
  <si>
    <t xml:space="preserve">JP15032F003PTFE          </t>
  </si>
  <si>
    <t xml:space="preserve">JP15032F002PTFE          </t>
  </si>
  <si>
    <t xml:space="preserve">JP15032F001PTFE          </t>
  </si>
  <si>
    <t xml:space="preserve">JP15032F112PTFE          </t>
  </si>
  <si>
    <t xml:space="preserve">JEI4150G4002E4           </t>
  </si>
  <si>
    <t xml:space="preserve">RROV078S316              </t>
  </si>
  <si>
    <t xml:space="preserve">RROV0200005              </t>
  </si>
  <si>
    <t xml:space="preserve">RROC073LCSS              </t>
  </si>
  <si>
    <t xml:space="preserve">RROV073LCSS              </t>
  </si>
  <si>
    <t xml:space="preserve">JBI6150G6042AC           </t>
  </si>
  <si>
    <t xml:space="preserve">RROV0310005              </t>
  </si>
  <si>
    <t xml:space="preserve">JEI3300G3004AC           </t>
  </si>
  <si>
    <t xml:space="preserve">JEI1150G2014E1           </t>
  </si>
  <si>
    <t xml:space="preserve">JEIA300NP001AC           </t>
  </si>
  <si>
    <t xml:space="preserve">JEI0150G03/4AC           </t>
  </si>
  <si>
    <t xml:space="preserve">JENA300G4006AC           </t>
  </si>
  <si>
    <t xml:space="preserve">JENA300G6020AC           </t>
  </si>
  <si>
    <t xml:space="preserve">JENA300G6018AC           </t>
  </si>
  <si>
    <t xml:space="preserve">RROC031LCSS              </t>
  </si>
  <si>
    <t xml:space="preserve">JENA150G6010AC           </t>
  </si>
  <si>
    <t xml:space="preserve">JEI4400G4020AC           </t>
  </si>
  <si>
    <t xml:space="preserve">RROC012LCSS              </t>
  </si>
  <si>
    <t>001.679</t>
  </si>
  <si>
    <t>TH150RENT0026/L</t>
  </si>
  <si>
    <t>CE600JR0046/L</t>
  </si>
  <si>
    <t>LR30NT1120016/L</t>
  </si>
  <si>
    <t>WN150FE1S014F53</t>
  </si>
  <si>
    <t>WDL1S014003F55</t>
  </si>
  <si>
    <t>NL8SG3/40044/L</t>
  </si>
  <si>
    <t>001.680</t>
  </si>
  <si>
    <t xml:space="preserve">JUNTA P/ FL 150 ESP.3,2MM FF DN3 PTFE EXPANDIDO </t>
  </si>
  <si>
    <t xml:space="preserve">JUNTA P/ FL 150 ESP.3,2MM FF DN2 PTFE EXPANDIDO </t>
  </si>
  <si>
    <t xml:space="preserve">JUNTA P/ FL 150 ESP.3,2MM FF DN1 PTFE EXPANDIDO </t>
  </si>
  <si>
    <t>JUNTA P/ FL 150 ESP.3,2MM FF DN1.1/2 PTFE EXPANDID</t>
  </si>
  <si>
    <t xml:space="preserve">JUNTA ES. AI 304/L 150 GF+304/L DN2 AE304/L </t>
  </si>
  <si>
    <t xml:space="preserve">JUNTA RTJ OVAL R-78 SS316/L </t>
  </si>
  <si>
    <t xml:space="preserve">JUNTA RTJ OVAL R-20 A182 F5 UNS K41545 (GR.5) </t>
  </si>
  <si>
    <t xml:space="preserve">JUNTA RTJ OCT. R-73 LOW CARB STEEL </t>
  </si>
  <si>
    <t xml:space="preserve">JUNTA RTJ OVAL R-73 LOW CARB STEEL </t>
  </si>
  <si>
    <t xml:space="preserve">JUNTA RTJ OVAL R-31 A182 F5 UNS K41545 (GR.5) </t>
  </si>
  <si>
    <t xml:space="preserve">JUNTA ES. AI 347 300 GF+347 DN4 AE.A/C </t>
  </si>
  <si>
    <t xml:space="preserve">JUNTA ES. AI 321 150 GF+321SS DN14 AE321 </t>
  </si>
  <si>
    <t xml:space="preserve">JUNTA ES. AI UNS MO4400 300 NI+PTFE DN1 AE.A/C </t>
  </si>
  <si>
    <t xml:space="preserve">JUNTA ES. AI 310 150 GF+310 DN3/4 AE.A/C </t>
  </si>
  <si>
    <t xml:space="preserve">JUNTA ES. S/ A.I. 300 GF+304/L DN6 AE.A/C </t>
  </si>
  <si>
    <t xml:space="preserve">JUNTA ES. S/ A.I. 300 GF+316/L DN20 AE.A/C </t>
  </si>
  <si>
    <t xml:space="preserve">JUNTA ES. S/ A.I. 300 GF+316/L DN18 AE.A/C </t>
  </si>
  <si>
    <t xml:space="preserve">JUNTA RTJ OCT. R-31 LOW CARB STEEL </t>
  </si>
  <si>
    <t xml:space="preserve">JUNTA ES. S/ A.I. 150 GF+316/L DN10 AE.A/C </t>
  </si>
  <si>
    <t xml:space="preserve">JUNTA ES. AI 304/L 400 GF+304/L DN20 AE.A/C </t>
  </si>
  <si>
    <t xml:space="preserve">JUNTA RTJ OCT. R-12 LOW CARB STEEL </t>
  </si>
  <si>
    <t xml:space="preserve">FLANGE TH 150 RFE NPT 2 F316/L </t>
  </si>
  <si>
    <t xml:space="preserve">LUVA RED. 3000 NPT 1.1/2X1 F316/L </t>
  </si>
  <si>
    <t xml:space="preserve">FLANGE WN 150 FFE SCH 10S DN 14 F53 </t>
  </si>
  <si>
    <t>Qualidade liberou da inspeção; Feriado chinês</t>
  </si>
  <si>
    <t>Ag. Booking final; Entrega em 02/04 ;Entrega em 25/03 devido ao feriado chines</t>
  </si>
  <si>
    <t>JEI4600G4004E4</t>
  </si>
  <si>
    <t>JEI4150G4006E4</t>
  </si>
  <si>
    <t>RROV031S316</t>
  </si>
  <si>
    <t xml:space="preserve">JUNTA ES. AI304/L 600 GF+304/L DN4 AE304/L        </t>
  </si>
  <si>
    <t>JUNTA ES. AI 304/L 150 GF+304/L DN6 AE304/L</t>
  </si>
  <si>
    <t xml:space="preserve">JUNTA RTJ OVAL R-31 SS316/L                       </t>
  </si>
  <si>
    <t xml:space="preserve">JEI4150G4002AC </t>
  </si>
  <si>
    <t xml:space="preserve">JUNTA ES. AI 304/L 150 GF+304/L DN2 AE.A/C        </t>
  </si>
  <si>
    <t xml:space="preserve">JUNTA ES. AI 304/L 1500 GF+304/L DN1.1/4 AE.A/C   </t>
  </si>
  <si>
    <t>Chegada HCI 07/04; Coleta UPS 27/03; Entrega 25/03; Ag. Coleta UPS</t>
  </si>
  <si>
    <t>sim - 07/04</t>
  </si>
  <si>
    <t xml:space="preserve">Chegou na no porto 07/04;  frete fechado </t>
  </si>
  <si>
    <t>Produção após o pagamento (60 dias para entrega)</t>
  </si>
  <si>
    <t>WO15MCR16002A1N</t>
  </si>
  <si>
    <t>TH36FOSSR002A1N </t>
  </si>
  <si>
    <t>TH36FOSSR003A1N</t>
  </si>
  <si>
    <t>TH30FOSSR006A1N</t>
  </si>
  <si>
    <t>001.611</t>
  </si>
  <si>
    <t>CP02010WPB</t>
  </si>
  <si>
    <t>CP02012WPB</t>
  </si>
  <si>
    <t>CP08010WPB</t>
  </si>
  <si>
    <t>CP08012WPB</t>
  </si>
  <si>
    <t>CP08020WPB</t>
  </si>
  <si>
    <t>CP16002WPB</t>
  </si>
  <si>
    <t>CP16003WPB</t>
  </si>
  <si>
    <t>CP16004WPB</t>
  </si>
  <si>
    <t>CPST003WPB</t>
  </si>
  <si>
    <t>CPST012WPB</t>
  </si>
  <si>
    <t>CPST014WPB</t>
  </si>
  <si>
    <t>CPST016WPB</t>
  </si>
  <si>
    <t>CPST024WPB</t>
  </si>
  <si>
    <t>CPXS001WPB</t>
  </si>
  <si>
    <t>CPXS003WPB</t>
  </si>
  <si>
    <t>CPXS004WPB</t>
  </si>
  <si>
    <t>CPXS005WPB</t>
  </si>
  <si>
    <t>CPXS006WPB</t>
  </si>
  <si>
    <t>CPXS008WPB</t>
  </si>
  <si>
    <t>CPXS012WPB</t>
  </si>
  <si>
    <t>001.613</t>
  </si>
  <si>
    <t>RCAA002114WPBS</t>
  </si>
  <si>
    <t>RCAA003002WPBS</t>
  </si>
  <si>
    <t>RCAA003212WPBS</t>
  </si>
  <si>
    <t>RCAA004002WPBS</t>
  </si>
  <si>
    <t>RCAA004003WPBS</t>
  </si>
  <si>
    <t>RCAA004212WPBS</t>
  </si>
  <si>
    <t>RCAA006003WPBS</t>
  </si>
  <si>
    <t>RCAA006004WPBS</t>
  </si>
  <si>
    <t>RCAA008006WPBS</t>
  </si>
  <si>
    <t>RCAA010004WPBS</t>
  </si>
  <si>
    <t>RCAA010006WPBS</t>
  </si>
  <si>
    <t>RCAA010008WPBS</t>
  </si>
  <si>
    <t>RCAA014008WPBS</t>
  </si>
  <si>
    <t>RCAA014010WPBS</t>
  </si>
  <si>
    <t>RCAA014012WPBS</t>
  </si>
  <si>
    <t>RCAA016008WPBS</t>
  </si>
  <si>
    <t>RCAA016010WPBS</t>
  </si>
  <si>
    <t>RCAA016014WPBS</t>
  </si>
  <si>
    <t>RCAA018016WPBS</t>
  </si>
  <si>
    <t>RCAA020012WPBS</t>
  </si>
  <si>
    <t>RCAA024020WPBS</t>
  </si>
  <si>
    <t>RCPP003002WPBS</t>
  </si>
  <si>
    <t>RCSS0013/4WPBS</t>
  </si>
  <si>
    <t>RCSS002112WPBS</t>
  </si>
  <si>
    <t>RCSS003002WPBS</t>
  </si>
  <si>
    <t>RCSS004002WPBS</t>
  </si>
  <si>
    <t>RCSS004003WPBS</t>
  </si>
  <si>
    <t>RCSS006003WPBS</t>
  </si>
  <si>
    <t>RCSS006004WPBS</t>
  </si>
  <si>
    <t>RCSS008004WPBS</t>
  </si>
  <si>
    <t>RCSS008006WPBS</t>
  </si>
  <si>
    <t>RCSS112001WPBS</t>
  </si>
  <si>
    <t>RCSS212002WPBS</t>
  </si>
  <si>
    <t>RCSS3/41/2WPBS</t>
  </si>
  <si>
    <t>RCYS010008WPBS</t>
  </si>
  <si>
    <t>RCYY012010WPBS</t>
  </si>
  <si>
    <t>REAA006003WPBS</t>
  </si>
  <si>
    <t>REAA006004WPBS</t>
  </si>
  <si>
    <t>REAA006005WPBS</t>
  </si>
  <si>
    <t>REAA012006WPBS</t>
  </si>
  <si>
    <t>REAA012008WPBS</t>
  </si>
  <si>
    <t>REAS003002WPBS</t>
  </si>
  <si>
    <t>RESS003002WPBS</t>
  </si>
  <si>
    <t>RESS004002WPBS</t>
  </si>
  <si>
    <t>RESS004003WPBS</t>
  </si>
  <si>
    <t>RESS006004WPBS</t>
  </si>
  <si>
    <t>RESS008004WPBS</t>
  </si>
  <si>
    <t>RESS008006WPBS</t>
  </si>
  <si>
    <t>REWW010008WPBS</t>
  </si>
  <si>
    <t>REWW012008WPBS</t>
  </si>
  <si>
    <t>REWW012010WPBS</t>
  </si>
  <si>
    <t>001.615</t>
  </si>
  <si>
    <t>TRAA002001WPBS</t>
  </si>
  <si>
    <t>TRAA003002WPBS</t>
  </si>
  <si>
    <t>TRAA004002WPBS</t>
  </si>
  <si>
    <t>TRAA004112WPBS</t>
  </si>
  <si>
    <t>TRAA004212WPBS</t>
  </si>
  <si>
    <t>TRAA005212WPBS</t>
  </si>
  <si>
    <t>TRAA006003WPBS</t>
  </si>
  <si>
    <t>TRAA006004WPBS</t>
  </si>
  <si>
    <t>TRAA008004WPBS</t>
  </si>
  <si>
    <t>TRAA008006WPBS</t>
  </si>
  <si>
    <t>TRAA010004WPBS</t>
  </si>
  <si>
    <t>TRAA012006WPBS</t>
  </si>
  <si>
    <t>TRAA012008WPBS</t>
  </si>
  <si>
    <t>TRAA012010WPBS</t>
  </si>
  <si>
    <t>TRAA014008WPBS</t>
  </si>
  <si>
    <t>TRSS002001WPBS</t>
  </si>
  <si>
    <t>TRSS004003WPBS</t>
  </si>
  <si>
    <t>TRSS006003WPBS</t>
  </si>
  <si>
    <t>TRSS006004WPBS</t>
  </si>
  <si>
    <t>TE9001016WPBS</t>
  </si>
  <si>
    <t>TE9001018WPBS</t>
  </si>
  <si>
    <t>TE9001020WPBS</t>
  </si>
  <si>
    <t>TE9002008WPBS</t>
  </si>
  <si>
    <t>TE9002010WPBS</t>
  </si>
  <si>
    <t>TE9002012WPBS</t>
  </si>
  <si>
    <t>TE9002016WPBS</t>
  </si>
  <si>
    <t>TE9008012WPBS</t>
  </si>
  <si>
    <t>TE9016002WPBS</t>
  </si>
  <si>
    <t>TE90ST002WPBS</t>
  </si>
  <si>
    <t>TE90ST003WPBS</t>
  </si>
  <si>
    <t>TE90ST004WPBS</t>
  </si>
  <si>
    <t>TE90ST006WPBS</t>
  </si>
  <si>
    <t>TE90ST008WPBS</t>
  </si>
  <si>
    <t>TE90ST012WPBS</t>
  </si>
  <si>
    <t>TE90ST014WPBS</t>
  </si>
  <si>
    <t>TE90ST016WPBS</t>
  </si>
  <si>
    <t>TE90ST018WPBS</t>
  </si>
  <si>
    <t>TE90ST020WPBS</t>
  </si>
  <si>
    <t>TE90ST024WPBS</t>
  </si>
  <si>
    <t>TE90XS002WPBS</t>
  </si>
  <si>
    <t>TE90XS006WPBS</t>
  </si>
  <si>
    <t>TE90XS008WPBS</t>
  </si>
  <si>
    <t>TE90XS018WPBS</t>
  </si>
  <si>
    <t>TE90XS020WPBS</t>
  </si>
  <si>
    <t>001.617</t>
  </si>
  <si>
    <t>FLEXITALLIC</t>
  </si>
  <si>
    <t xml:space="preserve">JEI6150G6001AC </t>
  </si>
  <si>
    <t xml:space="preserve">JEI43/6G41/2AC </t>
  </si>
  <si>
    <t xml:space="preserve">JEI63/6G61/2AC </t>
  </si>
  <si>
    <t xml:space="preserve">JEI4150G4010AC </t>
  </si>
  <si>
    <t xml:space="preserve">JEI6150G6010AC </t>
  </si>
  <si>
    <t xml:space="preserve">JEI4300G4010AC </t>
  </si>
  <si>
    <t xml:space="preserve">JEI4300G4012AC </t>
  </si>
  <si>
    <t xml:space="preserve">JEI4150G4014AC </t>
  </si>
  <si>
    <t xml:space="preserve">JEI4300G4014AC </t>
  </si>
  <si>
    <t xml:space="preserve">JEI4150G4016E4 </t>
  </si>
  <si>
    <t xml:space="preserve">JEI4300G4016AC </t>
  </si>
  <si>
    <t xml:space="preserve">JEI4150G4018AC </t>
  </si>
  <si>
    <t xml:space="preserve">JEI4150G4212E4 </t>
  </si>
  <si>
    <t xml:space="preserve">JEI43/6G4002AC </t>
  </si>
  <si>
    <t xml:space="preserve">JEI4150G4003AC </t>
  </si>
  <si>
    <t xml:space="preserve">JEI6150G6003AC </t>
  </si>
  <si>
    <t xml:space="preserve">JEI43/6G4003AC </t>
  </si>
  <si>
    <t xml:space="preserve">JEI4150G43/4AC </t>
  </si>
  <si>
    <t xml:space="preserve">JEI6150G63/4AC </t>
  </si>
  <si>
    <t xml:space="preserve">JEI43/6G43/4AC </t>
  </si>
  <si>
    <t xml:space="preserve">JEI63/6G63/4AC </t>
  </si>
  <si>
    <t xml:space="preserve">JEI4150G4004AC </t>
  </si>
  <si>
    <t xml:space="preserve">JEI4300G4006AC </t>
  </si>
  <si>
    <t xml:space="preserve">JEI6300G6006AC </t>
  </si>
  <si>
    <t xml:space="preserve">JEI4150G4008AC </t>
  </si>
  <si>
    <t xml:space="preserve">JEI4300G4008AC </t>
  </si>
  <si>
    <t xml:space="preserve">JEI6300G6008AC </t>
  </si>
  <si>
    <t>JP150160010PHAR</t>
  </si>
  <si>
    <t>JP150160004PHAR</t>
  </si>
  <si>
    <t>JP150160008PHAR</t>
  </si>
  <si>
    <t>001.622</t>
  </si>
  <si>
    <t>WN150REST002A1N</t>
  </si>
  <si>
    <t>CE150RE002A1N</t>
  </si>
  <si>
    <t>CE150RE004A1N</t>
  </si>
  <si>
    <t>CE300RE004A1N</t>
  </si>
  <si>
    <t>TH150RESR002A1N</t>
  </si>
  <si>
    <t>WN150REST004A1N</t>
  </si>
  <si>
    <t>WN150REST006A1N</t>
  </si>
  <si>
    <t>CE300RE014A1N</t>
  </si>
  <si>
    <t>CE150RE006A1N</t>
  </si>
  <si>
    <t>CE300RE010A1N</t>
  </si>
  <si>
    <t>WN150REST001A1N</t>
  </si>
  <si>
    <t>WN150REST003A1N</t>
  </si>
  <si>
    <t>SO150RE006A1N</t>
  </si>
  <si>
    <t>CE300RE002A1N</t>
  </si>
  <si>
    <t>CE150RE003A1N</t>
  </si>
  <si>
    <t>CE300RE020A1N</t>
  </si>
  <si>
    <t>WN150REST008A1N</t>
  </si>
  <si>
    <t>SO150RE002A1N</t>
  </si>
  <si>
    <t>WN300REXS012A1N</t>
  </si>
  <si>
    <t>CE300RE012A1N</t>
  </si>
  <si>
    <t>WN150REXS012A1N</t>
  </si>
  <si>
    <t>SO300RE002A1N</t>
  </si>
  <si>
    <t>CE150RE008A1N</t>
  </si>
  <si>
    <t>WN150REST010A1N</t>
  </si>
  <si>
    <t>WN300REST001A1N</t>
  </si>
  <si>
    <t>WN300REST003A1N</t>
  </si>
  <si>
    <t>WN300REXS014A1N</t>
  </si>
  <si>
    <t>SO150RE112A1N</t>
  </si>
  <si>
    <t>SO150RE004A1N</t>
  </si>
  <si>
    <t>SO150RE008A1N</t>
  </si>
  <si>
    <t>CE600RE012A1N</t>
  </si>
  <si>
    <t>164.959</t>
  </si>
  <si>
    <t xml:space="preserve">Marcos aceitou o embarque maritimo aceitando o risco de cancelamento </t>
  </si>
  <si>
    <t>JEI43/6G4002AC</t>
  </si>
  <si>
    <t xml:space="preserve">JUNTA ES. AI 304/L 300/600 GF+304/L DN2 AE.A/C    </t>
  </si>
  <si>
    <t>001.506</t>
  </si>
  <si>
    <t xml:space="preserve">TE9001020WPBS            </t>
  </si>
  <si>
    <t xml:space="preserve">Item add na PO de tubos </t>
  </si>
  <si>
    <t>A7</t>
  </si>
  <si>
    <t xml:space="preserve">TE 90G SCH 10(0,250) DN 20 WPB                    </t>
  </si>
  <si>
    <t>164.511</t>
  </si>
  <si>
    <t>EDDIFY</t>
  </si>
  <si>
    <t>ACMAQ9240</t>
  </si>
  <si>
    <t>ACMAQ9241</t>
  </si>
  <si>
    <t xml:space="preserve">BUNF3/41/2105 </t>
  </si>
  <si>
    <t xml:space="preserve">BUNT0011/2105 </t>
  </si>
  <si>
    <t xml:space="preserve">BUNT0013/4105 </t>
  </si>
  <si>
    <t xml:space="preserve">BUNT002001105 </t>
  </si>
  <si>
    <t xml:space="preserve">BUNT002112105 </t>
  </si>
  <si>
    <t xml:space="preserve">BUNT112001105 </t>
  </si>
  <si>
    <t xml:space="preserve">BUNT1123/4105 </t>
  </si>
  <si>
    <t xml:space="preserve">BUNT3/41/2105 </t>
  </si>
  <si>
    <t xml:space="preserve">CA30FNT1/2105 </t>
  </si>
  <si>
    <t xml:space="preserve">CA30FNT112105 </t>
  </si>
  <si>
    <t xml:space="preserve">CA30MNT001105 </t>
  </si>
  <si>
    <t xml:space="preserve">CA30MNT002105 </t>
  </si>
  <si>
    <t xml:space="preserve">CA30MNT1/2105 </t>
  </si>
  <si>
    <t xml:space="preserve">CA30MNT112105 </t>
  </si>
  <si>
    <t xml:space="preserve">CA30MNT3/4105 </t>
  </si>
  <si>
    <t xml:space="preserve">CA30MSW001105 </t>
  </si>
  <si>
    <t xml:space="preserve">CA30MSW112105 </t>
  </si>
  <si>
    <t xml:space="preserve">CA60MNT001105 </t>
  </si>
  <si>
    <t xml:space="preserve">CA60MNT1/2105 </t>
  </si>
  <si>
    <t xml:space="preserve">CA60MNT3/4105 </t>
  </si>
  <si>
    <t xml:space="preserve">CA60MSW3/4105 </t>
  </si>
  <si>
    <t xml:space="preserve">CT430MSW0001105 </t>
  </si>
  <si>
    <t xml:space="preserve">CT460MSW0001105 </t>
  </si>
  <si>
    <t xml:space="preserve">CT460MSW03/4105 </t>
  </si>
  <si>
    <t xml:space="preserve">CT930MNT01/2105 </t>
  </si>
  <si>
    <t xml:space="preserve">CT930MNT0112105 </t>
  </si>
  <si>
    <t xml:space="preserve">CT930MNT03/4105 </t>
  </si>
  <si>
    <t xml:space="preserve">CT930MSW0001105 </t>
  </si>
  <si>
    <t xml:space="preserve">CT930MSW0002105 </t>
  </si>
  <si>
    <t xml:space="preserve">CT930MSW01/2105 </t>
  </si>
  <si>
    <t xml:space="preserve">CT930MSW0112105 </t>
  </si>
  <si>
    <t xml:space="preserve">CT930MSW0212105 </t>
  </si>
  <si>
    <t xml:space="preserve">CT930MSW03/4105 </t>
  </si>
  <si>
    <t xml:space="preserve">CT960MNT0001105 </t>
  </si>
  <si>
    <t xml:space="preserve">CT960MNT01/2105 </t>
  </si>
  <si>
    <t xml:space="preserve">CT960MNT0112105 </t>
  </si>
  <si>
    <t xml:space="preserve">CT960MNT03/4105 </t>
  </si>
  <si>
    <t xml:space="preserve">CT960MSW0001105 </t>
  </si>
  <si>
    <t xml:space="preserve">CT960MSW0112105 </t>
  </si>
  <si>
    <t xml:space="preserve">CT960MSW03/4105 </t>
  </si>
  <si>
    <t xml:space="preserve">CT990MSW0001105 </t>
  </si>
  <si>
    <t xml:space="preserve">LV30FNT002105 </t>
  </si>
  <si>
    <t xml:space="preserve">LV30FNT1/2105 </t>
  </si>
  <si>
    <t xml:space="preserve">LV30FNT112105 </t>
  </si>
  <si>
    <t xml:space="preserve">LV30FNT3/4105 </t>
  </si>
  <si>
    <t xml:space="preserve">LV30MNT001105 </t>
  </si>
  <si>
    <t xml:space="preserve">LV30MNT002105 </t>
  </si>
  <si>
    <t xml:space="preserve">LV30MNT003105 </t>
  </si>
  <si>
    <t xml:space="preserve">LV30MNT1/2105 </t>
  </si>
  <si>
    <t xml:space="preserve">LV30MNT1/4105 </t>
  </si>
  <si>
    <t xml:space="preserve">LV30MNT112105 </t>
  </si>
  <si>
    <t xml:space="preserve">LV30MNT3/4105 </t>
  </si>
  <si>
    <t xml:space="preserve">LV30MSW001105 </t>
  </si>
  <si>
    <t xml:space="preserve">LV30MSW002105 </t>
  </si>
  <si>
    <t xml:space="preserve">LV30MSW1/2105 </t>
  </si>
  <si>
    <t xml:space="preserve">LV30MSW112105 </t>
  </si>
  <si>
    <t xml:space="preserve">LV30MSW3/4105 </t>
  </si>
  <si>
    <t xml:space="preserve">LV60FNT1/2105 </t>
  </si>
  <si>
    <t xml:space="preserve">LV60FNT112105 </t>
  </si>
  <si>
    <t xml:space="preserve">LV60FNT3/4105 </t>
  </si>
  <si>
    <t xml:space="preserve">LV60MNT001105 </t>
  </si>
  <si>
    <t xml:space="preserve">LV60MNT1/2105 </t>
  </si>
  <si>
    <t xml:space="preserve">LV60MNT112105 </t>
  </si>
  <si>
    <t xml:space="preserve">LV60MNT3/4105 </t>
  </si>
  <si>
    <t xml:space="preserve">LV60MSN3/4105 </t>
  </si>
  <si>
    <t xml:space="preserve">LV60MSW001105 </t>
  </si>
  <si>
    <t xml:space="preserve">LV60MSW1/2105 </t>
  </si>
  <si>
    <t xml:space="preserve">LV60MSW112105 </t>
  </si>
  <si>
    <t xml:space="preserve">LV60MSW3/4105 </t>
  </si>
  <si>
    <t xml:space="preserve">LV90MSW1/2105 </t>
  </si>
  <si>
    <t xml:space="preserve">LV90MSW112105 </t>
  </si>
  <si>
    <t xml:space="preserve">LV90MSW3/4105 </t>
  </si>
  <si>
    <t xml:space="preserve">ML30MNT001105 </t>
  </si>
  <si>
    <t xml:space="preserve">ML30MNT002105 </t>
  </si>
  <si>
    <t xml:space="preserve">ML30MNT1/2105 </t>
  </si>
  <si>
    <t xml:space="preserve">ML30MNT1/4105 </t>
  </si>
  <si>
    <t xml:space="preserve">ML30MNT112105 </t>
  </si>
  <si>
    <t xml:space="preserve">ML30MNT212105 </t>
  </si>
  <si>
    <t xml:space="preserve">ML30MNT3/4105 </t>
  </si>
  <si>
    <t xml:space="preserve">ML30MSW001105 </t>
  </si>
  <si>
    <t xml:space="preserve">ML30MSW002105 </t>
  </si>
  <si>
    <t xml:space="preserve">ML30MSW1/2105 </t>
  </si>
  <si>
    <t xml:space="preserve">ML30MSW112105 </t>
  </si>
  <si>
    <t xml:space="preserve">ML30MSW3/4105 </t>
  </si>
  <si>
    <t xml:space="preserve">ML60MNT001105 </t>
  </si>
  <si>
    <t xml:space="preserve">ML60MNT1/2105 </t>
  </si>
  <si>
    <t xml:space="preserve">ML60MNT3/4105 </t>
  </si>
  <si>
    <t xml:space="preserve">ML60MSW001105 </t>
  </si>
  <si>
    <t xml:space="preserve">ML60MSW1/2105 </t>
  </si>
  <si>
    <t xml:space="preserve">ML60MSW112105 </t>
  </si>
  <si>
    <t xml:space="preserve">ML60MSW3/4105 </t>
  </si>
  <si>
    <t xml:space="preserve">ML90MSW001105 </t>
  </si>
  <si>
    <t xml:space="preserve">ML90MSW1/2105 </t>
  </si>
  <si>
    <t xml:space="preserve">ML90MSW112105 </t>
  </si>
  <si>
    <t xml:space="preserve">LR30NT0013/4105 </t>
  </si>
  <si>
    <t xml:space="preserve">LR30NT002001105 </t>
  </si>
  <si>
    <t xml:space="preserve">LR30NT0021/2105 </t>
  </si>
  <si>
    <t xml:space="preserve">LR30NT002112105 </t>
  </si>
  <si>
    <t xml:space="preserve">LR30NT0023/4105 </t>
  </si>
  <si>
    <t xml:space="preserve">LR30NT1121/2105 </t>
  </si>
  <si>
    <t xml:space="preserve">LR30NT1123/4105 </t>
  </si>
  <si>
    <t xml:space="preserve">LR30NT3/41/2105 </t>
  </si>
  <si>
    <t xml:space="preserve">LR30SN3/41/2105 </t>
  </si>
  <si>
    <t xml:space="preserve">LR30SW0011/2105 </t>
  </si>
  <si>
    <t xml:space="preserve">LR30SW0013/4105 </t>
  </si>
  <si>
    <t xml:space="preserve">LR30SW002001105 </t>
  </si>
  <si>
    <t xml:space="preserve">LR30SW002112105 </t>
  </si>
  <si>
    <t xml:space="preserve">LR30SW1121/2105 </t>
  </si>
  <si>
    <t xml:space="preserve">LR30SW212002105 </t>
  </si>
  <si>
    <t xml:space="preserve">LR30SW3/41/2105 </t>
  </si>
  <si>
    <t xml:space="preserve">LR3FNT0013/4105 </t>
  </si>
  <si>
    <t xml:space="preserve">LR3FNT3/41/2105 </t>
  </si>
  <si>
    <t xml:space="preserve">LR60NT0013/4105 </t>
  </si>
  <si>
    <t xml:space="preserve">LR60SN0011/2105 </t>
  </si>
  <si>
    <t xml:space="preserve">LR60SN3/41/2105 </t>
  </si>
  <si>
    <t xml:space="preserve">LR60SW0011/2105 </t>
  </si>
  <si>
    <t xml:space="preserve">LR60SW0013/4105 </t>
  </si>
  <si>
    <t xml:space="preserve">LR60SW112001105 </t>
  </si>
  <si>
    <t xml:space="preserve">LR60SW1123/4105 </t>
  </si>
  <si>
    <t xml:space="preserve">LR60SW3/41/2105 </t>
  </si>
  <si>
    <t xml:space="preserve">TF30FNT0001105 </t>
  </si>
  <si>
    <t xml:space="preserve">TF30FNT002E105 </t>
  </si>
  <si>
    <t xml:space="preserve">TF30FNT002F105 </t>
  </si>
  <si>
    <t xml:space="preserve">TF30FNT01/2105 </t>
  </si>
  <si>
    <t xml:space="preserve">TF30FNT03/4105 </t>
  </si>
  <si>
    <t xml:space="preserve">TF30MNT0002105 </t>
  </si>
  <si>
    <t xml:space="preserve">TF30MNT001E105 </t>
  </si>
  <si>
    <t xml:space="preserve">TF30MNT003I105 </t>
  </si>
  <si>
    <t xml:space="preserve">TF30MNT01/2105 </t>
  </si>
  <si>
    <t xml:space="preserve">TF30MNT0112105 </t>
  </si>
  <si>
    <t xml:space="preserve">TF30MNT03/4105 </t>
  </si>
  <si>
    <t xml:space="preserve">TF30MNT112E105 </t>
  </si>
  <si>
    <t xml:space="preserve">TF30MNT112F105 </t>
  </si>
  <si>
    <t xml:space="preserve">TF30MNT3/4D105 </t>
  </si>
  <si>
    <t xml:space="preserve">TF30MSW0001105 </t>
  </si>
  <si>
    <t xml:space="preserve">TF30MSW001D105 </t>
  </si>
  <si>
    <t xml:space="preserve">TF30MSW001E105 </t>
  </si>
  <si>
    <t xml:space="preserve">TF30MSW002E105 </t>
  </si>
  <si>
    <t xml:space="preserve">TF30MSW002F105 </t>
  </si>
  <si>
    <t xml:space="preserve">TF30MSW01/2105 </t>
  </si>
  <si>
    <t xml:space="preserve">TF30MSW0112105 </t>
  </si>
  <si>
    <t xml:space="preserve">TF30MSW0212105 </t>
  </si>
  <si>
    <t xml:space="preserve">TF30MSW03/4105 </t>
  </si>
  <si>
    <t xml:space="preserve">TF30MSW112D105 </t>
  </si>
  <si>
    <t xml:space="preserve">TF30MSW112E105 </t>
  </si>
  <si>
    <t xml:space="preserve">TF30MSW112F105 </t>
  </si>
  <si>
    <t xml:space="preserve">TF30MSW3/4D105 </t>
  </si>
  <si>
    <t xml:space="preserve">TF60MNT0001105 </t>
  </si>
  <si>
    <t xml:space="preserve">TF60MNT01/2105 </t>
  </si>
  <si>
    <t xml:space="preserve">TF60MSW0001105 </t>
  </si>
  <si>
    <t xml:space="preserve">TF60MSW001D105 </t>
  </si>
  <si>
    <t xml:space="preserve">TF60MSW001E105 </t>
  </si>
  <si>
    <t xml:space="preserve">TF60MSW01/2105 </t>
  </si>
  <si>
    <t xml:space="preserve">TF60MSW0112105 </t>
  </si>
  <si>
    <t xml:space="preserve">TF60MSW03/4105 </t>
  </si>
  <si>
    <t xml:space="preserve">TF60MSW112E105 </t>
  </si>
  <si>
    <t xml:space="preserve">TF60MSW112F105 </t>
  </si>
  <si>
    <t xml:space="preserve">TF60MSW3/4D105 </t>
  </si>
  <si>
    <t xml:space="preserve">UAB30MSW112105 </t>
  </si>
  <si>
    <t xml:space="preserve">UAI30FNT1/2105 </t>
  </si>
  <si>
    <t xml:space="preserve">UAI30FNT112105 </t>
  </si>
  <si>
    <t xml:space="preserve">UAI30FNT3/4105 </t>
  </si>
  <si>
    <t xml:space="preserve">UAI30MNT1/2105 </t>
  </si>
  <si>
    <t xml:space="preserve">UAI30MSW001105 </t>
  </si>
  <si>
    <t xml:space="preserve">LR60NT3/41/2105 </t>
  </si>
  <si>
    <t xml:space="preserve">NCDDG0011/2WPBS </t>
  </si>
  <si>
    <t xml:space="preserve">LR30SW0033/4021 </t>
  </si>
  <si>
    <t>001.505</t>
  </si>
  <si>
    <t>YINGLI</t>
  </si>
  <si>
    <t xml:space="preserve">A8 </t>
  </si>
  <si>
    <t xml:space="preserve">ORIGEM ENERGIA </t>
  </si>
  <si>
    <t xml:space="preserve">COTOVELO 90 9000 SW 1 A105 </t>
  </si>
  <si>
    <t xml:space="preserve">TE 6000 SW 1/2 A105 </t>
  </si>
  <si>
    <t xml:space="preserve">UNIAO ASS INTEGRAL 3000 GV.FOGO NPT DN 3/4 A105 </t>
  </si>
  <si>
    <t xml:space="preserve">NIPLE RED.CONC. XXSXXS PLANO/NPT 1X1/2 WPB </t>
  </si>
  <si>
    <t xml:space="preserve">LUVA RED. 3000 SW 3X3/4 F321 </t>
  </si>
  <si>
    <t>FLANGE CEGO 2500 NORSOK RTJ DN 16 A694 F65</t>
  </si>
  <si>
    <t>FLANGE CEGO 2500 NORSOK RTJ DN 12 A694 F65</t>
  </si>
  <si>
    <t>FLANGE CEGO 2500 NORSOK RTJ DN 4 A694 F65</t>
  </si>
  <si>
    <t>FLANGE CEGO 2500 RTJ DN 8 A182 F91</t>
  </si>
  <si>
    <t xml:space="preserve">FLANGE WN ORIF. 1500 RJF C/TOM. SW SCH 160 DN 8 A105N </t>
  </si>
  <si>
    <t xml:space="preserve">FLANGE WN ORIF. 1500 RJF C/TOM. SW SCH 140 DN 8 A105N </t>
  </si>
  <si>
    <t xml:space="preserve">FLANGE WN SERIE A 150 RFE XS 36 A105N                 </t>
  </si>
  <si>
    <t>FLANGE WN ORIF. 300 RFE C/TOM. NPT SCH 40S DN 10 F316/</t>
  </si>
  <si>
    <t xml:space="preserve">COLAR COLAR SOCKOLET 3000 SW 4X1 A105                   </t>
  </si>
  <si>
    <t>COLAR SOCKOLET 6000 SW 18X1.1/2 F347</t>
  </si>
  <si>
    <t>COLAR SOCKOLET 6000 SW 6X1.1/2 F347</t>
  </si>
  <si>
    <t xml:space="preserve">COLAR COLAR WELDOLET SCH 10S 14X3 F55 </t>
  </si>
  <si>
    <t>COLAR WELDOLET SCH 80S 8X2 F347</t>
  </si>
  <si>
    <t xml:space="preserve">ECC RED STD(30) / STD(30) DN 16X14 WPB          </t>
  </si>
  <si>
    <t xml:space="preserve">ECC RED 120(0,719) / 120(0,438) 8X4 WPB </t>
  </si>
  <si>
    <t xml:space="preserve">ECC RED 80(0,594) / 120(0,562) 10X6 WP9 </t>
  </si>
  <si>
    <t xml:space="preserve">ECC RED STD(40) / XS(80) 4X2 WPB                </t>
  </si>
  <si>
    <t xml:space="preserve">ECC RED 20(0,250) / STD(40) 10X6 WPB </t>
  </si>
  <si>
    <t>CURVA LR 90° STD DN 8 MSS SP 75 WPHY52</t>
  </si>
  <si>
    <t>CURVA LR 90° XS/0,500 DN 40 WPBW</t>
  </si>
  <si>
    <t>CURVA LR 90° SCH160 DN 4 WPS347</t>
  </si>
  <si>
    <t>CURVA LR 90° SCH 10S DN 16 A815 GR S32750W</t>
  </si>
  <si>
    <t>CURVA LR 90° SCH10S (6,35000M) DN 24 WPW316/L</t>
  </si>
  <si>
    <t>CURVA LR 90° SCH 80S DN 3 WPS304H</t>
  </si>
  <si>
    <t>CURVA LR 90° SCH 80S DN 8 WPS304H</t>
  </si>
  <si>
    <t>CURVA LR 90° SCH 40S DN 14 WPS304H</t>
  </si>
  <si>
    <t>CURVA LR 45° SCH 40S DN 14 WPS304H</t>
  </si>
  <si>
    <t>JUNTA ES.AI304/L 300/600 MICA+GRAF+304/L1.1/2 AE304/L</t>
  </si>
  <si>
    <t>FIGURA 8 N120 150 RANH.EXC 8 A240TYPE316/L</t>
  </si>
  <si>
    <t>RAQUETE N120 600 RANH.EXC 2 A240TYPE316/L</t>
  </si>
  <si>
    <t>BUJAO CAB. REDONDA NPT DN 3/4 F5/F5A</t>
  </si>
  <si>
    <t>TE 6000 SW 1 F11</t>
  </si>
  <si>
    <t>TE 90° SCH 120(0,562) DN 6 WPB</t>
  </si>
  <si>
    <t xml:space="preserve">TE RED. CONF. DES 8X4 SCH 1.312X160 WPB            </t>
  </si>
  <si>
    <t>FLANGE WN SERIE A 150 FF SPIRAL STD(0,375) DN 26 A182 F53</t>
  </si>
  <si>
    <t>FLANGE WN SERIE A 150 RF SPIRAL XS 40 A105N</t>
  </si>
  <si>
    <t>Pagamento ao fornecedor em 10/03</t>
  </si>
  <si>
    <t>Pedimos antecipação;Entrega no Meio de Maio; Fornecedor só produziu após o pgmto do antecipado 10/03</t>
  </si>
  <si>
    <t>BC informou um aumento de 5% nos itens, negociamos valores</t>
  </si>
  <si>
    <t>001.626</t>
  </si>
  <si>
    <t xml:space="preserve">RED. EXC. 120(0,719) / 120(0,438) 8X4 WPB         </t>
  </si>
  <si>
    <t xml:space="preserve">REII008004WPBS           </t>
  </si>
  <si>
    <t>001.627</t>
  </si>
  <si>
    <t>SW150RE8S0014/L</t>
  </si>
  <si>
    <t>SK30MS0023/44/L</t>
  </si>
  <si>
    <t xml:space="preserve">FLANGE SW 150 RFE SCH 80S DN 1 F304/L             </t>
  </si>
  <si>
    <t>COLAR SOCKOLET 3000 SW 2X3/4 F304/L</t>
  </si>
  <si>
    <t>Verificar prazo PB</t>
  </si>
  <si>
    <t>JAI4300G4046AC</t>
  </si>
  <si>
    <t>JEI4150G4003E4</t>
  </si>
  <si>
    <t>JENA3/6NP003AC</t>
  </si>
  <si>
    <t>JEPF3/6NP003AC</t>
  </si>
  <si>
    <t>001.629</t>
  </si>
  <si>
    <t xml:space="preserve">JUNTA ES. A.I. 304/L 300 GF+304/L DN46 A.E. A/C   </t>
  </si>
  <si>
    <t xml:space="preserve">JUNTA ES. AI 304/L 150 GF+304/L DN3 AE304/L       </t>
  </si>
  <si>
    <t xml:space="preserve">JUNTA ES. S/ A.I. 300/600 NI+PTFE DN3 AE.A/C      </t>
  </si>
  <si>
    <t xml:space="preserve">JUNTA ES. AI PTFE 300/600 NI+PTFE DN3 AE.A/C      </t>
  </si>
  <si>
    <t>Booking;Entrega em 10/04;Pedimos confirmação de entrega</t>
  </si>
  <si>
    <t>Ag. Confirmação de antecipação; Entrega antes do dia 07/05; Ag. Confirmação de valores e Proforma</t>
  </si>
  <si>
    <t xml:space="preserve">JUNTA ES. AI 316/L 600 GF+316/L DN20 AE316/L      </t>
  </si>
  <si>
    <t xml:space="preserve">JUNTA RTJ OVAL R-45 SS347                         </t>
  </si>
  <si>
    <t xml:space="preserve">JUNTA ES. AI 347 600 GF+347 DN3.1/2 AE.A/C        </t>
  </si>
  <si>
    <t xml:space="preserve">JUNTA ES. S/ A.I. 150 GF+304/L DN10 AE304/L       </t>
  </si>
  <si>
    <t xml:space="preserve">FLANGE WN 300 RFE STD 16 A105N                    </t>
  </si>
  <si>
    <t xml:space="preserve">FLANGE WN 150 RFE SCH 10(0,250) 16 A105N          </t>
  </si>
  <si>
    <t xml:space="preserve">FLANGE WN 150 RFE STD/30(0,375) DN 16 A105N       </t>
  </si>
  <si>
    <t xml:space="preserve">FLANGE WN 150 RF SB 40 24 A105N                   </t>
  </si>
  <si>
    <t xml:space="preserve">FLANGE TH 300 GV.FOGO S/ROSCA ORIFICIO RF 6 A105N </t>
  </si>
  <si>
    <t xml:space="preserve">FLANGE WN 150 RFE STD/40(0,154) DN 2 A105N        </t>
  </si>
  <si>
    <t xml:space="preserve">FLANGE CEGO 150 RFE DN 2 A105N                    </t>
  </si>
  <si>
    <t xml:space="preserve">FLANGE CEGO 150 RFE DN 4 A105N                    </t>
  </si>
  <si>
    <t xml:space="preserve">FLANGE CEGO 300 RFE DN 4 A105N                    </t>
  </si>
  <si>
    <t xml:space="preserve">FLANGE TH 150 RFE S/ROSCA 2 A105N                 </t>
  </si>
  <si>
    <t xml:space="preserve">FLANGE WN 150 RFE STD 4 A105N                     </t>
  </si>
  <si>
    <t xml:space="preserve">FLANGE WN 150 RFE STD/40(0,280) DN 6 A105N        </t>
  </si>
  <si>
    <t xml:space="preserve">FLANGE CEGO 300 RFE DN 14 A105 NORM.              </t>
  </si>
  <si>
    <t xml:space="preserve">FLANGE CEGO 150 RFE DN 6 A105N                    </t>
  </si>
  <si>
    <t xml:space="preserve">FLANGE CEGO 300 RFE DN 10 A105 NORM.              </t>
  </si>
  <si>
    <t xml:space="preserve">FLANGE WN 150 RFE STD DN 1 A105N                  </t>
  </si>
  <si>
    <t xml:space="preserve">FLANGE WN 150 RFE STD 3 A105N                     </t>
  </si>
  <si>
    <t xml:space="preserve">FLANGE SLIP-ON 150 RFE DN 6 A105N                 </t>
  </si>
  <si>
    <t xml:space="preserve">FLANGE CEGO 300 RFE DN 2 A105 NORM.               </t>
  </si>
  <si>
    <t xml:space="preserve">FLANGE CEGO 150 RFE DN 3 A105N                    </t>
  </si>
  <si>
    <t xml:space="preserve">FLANGE CEGO 300 RFE DN 20 A105N                   </t>
  </si>
  <si>
    <t xml:space="preserve">FLANGE WN 150 RFE STD 8 A105N                     </t>
  </si>
  <si>
    <t xml:space="preserve">FLANGE SLIP-ON 150 RFE DN 2 A105N                 </t>
  </si>
  <si>
    <t xml:space="preserve">FLANGE WN 300 RFE XS(0,500) DN 12 A105N           </t>
  </si>
  <si>
    <t xml:space="preserve">FLANGE CEGO 300 RFE DN 12 A105N                   </t>
  </si>
  <si>
    <t xml:space="preserve">FLANGE WN 150 RFE XS 12 A105N                    </t>
  </si>
  <si>
    <t xml:space="preserve">FLANGE SLIP-ON 300 RFE DN 2 A105N                 </t>
  </si>
  <si>
    <t xml:space="preserve">FLANGE CEGO 150 RFE DN 8 A105N                    </t>
  </si>
  <si>
    <t xml:space="preserve">FLANGE WN 150 RFE STD 10 A105N                    </t>
  </si>
  <si>
    <t xml:space="preserve">FLANGE WN 300 RFE STD DN 1 A105N                  </t>
  </si>
  <si>
    <t xml:space="preserve">FLANGE WN 300 RFE STD 3 A105N                     </t>
  </si>
  <si>
    <t xml:space="preserve">FLANGE WN 300 RFE XS(0,500) DN 14 A105N           </t>
  </si>
  <si>
    <t xml:space="preserve">FLANGE SLIP-ON 150 RFE DN 1.1/2 A105N             </t>
  </si>
  <si>
    <t xml:space="preserve">FLANGE SLIP-ON 150 RFE DN 4 A105N                 </t>
  </si>
  <si>
    <t xml:space="preserve">FLANGE SLIP-ON 150 RFE DN 8 A105N                 </t>
  </si>
  <si>
    <t xml:space="preserve">FLANGE CEGO 600 RFE DN 12 A105 NORM.              </t>
  </si>
  <si>
    <t xml:space="preserve">FLANGE CEGO SERIE A 150 RFE 32 A105N                  </t>
  </si>
  <si>
    <t>FLANGE WN ORIF.1500 RJF S/CAP. S/DRENO SCH 160 2 A105N</t>
  </si>
  <si>
    <t>FLANGE TH 3/6#GV.FOG ORIF.S/DRENO S/CAP.RFE/S/ROS 2 A1N</t>
  </si>
  <si>
    <t>FLANGE TH 3/6#GV.FOG ORIF.S/DRENO S/CAP.RFE S/ROS 3 A1N</t>
  </si>
  <si>
    <t xml:space="preserve">JUNTA ES. AI316/L 150 GF+316/L DN1 AE.A/C </t>
  </si>
  <si>
    <t xml:space="preserve">JUNTA ES. AI 304/L 300/600 GF+304/L DN1/2 AE.A/C </t>
  </si>
  <si>
    <t xml:space="preserve">JUNTA ES. AI 316/L 300/600 GF+316/L DN1/2 AE.A/C </t>
  </si>
  <si>
    <t xml:space="preserve">JUNTA ES. AI 304/L 150 GF+304/L DN10 AE.A/C </t>
  </si>
  <si>
    <t xml:space="preserve">JUNTA ES. AI316/L 150 GF+316/L DN10 AE A/C </t>
  </si>
  <si>
    <t xml:space="preserve">JUNTA ES. AI 304/L 300 GF+304/L DN10 AE.A/C </t>
  </si>
  <si>
    <t xml:space="preserve">JUNTA ES. AI 304/L 300 GF+304/L DN12 AE.A/C </t>
  </si>
  <si>
    <t xml:space="preserve">JUNTA ES. AI 304/L 300 GF+304/L DN14 AE.A/C </t>
  </si>
  <si>
    <t xml:space="preserve">JUNTA ES. AI 304/L 150 GF+304/L DN16 AE304/L </t>
  </si>
  <si>
    <t xml:space="preserve">JUNTA ES. AI 304/L 300 GF+304/L DN16 AE.A/C </t>
  </si>
  <si>
    <t xml:space="preserve">JUNTA ES. AI 304/L 150 GF+304/L DN18 AE.A/C </t>
  </si>
  <si>
    <t xml:space="preserve">JUNTA ES. AI 304/L 150 GF+304/L DN2.1/2 AE304/L </t>
  </si>
  <si>
    <t xml:space="preserve">JUNTA ES. AI304/L 150 GF+304/L DN14 AE.A/C        </t>
  </si>
  <si>
    <t xml:space="preserve">JUNTA ES. AI 304/L 150 GF+304/L DN3 AE.A/C </t>
  </si>
  <si>
    <t xml:space="preserve">JUNTA ES. AI 316/L 150 GF+316/L DN3 AE.A/C </t>
  </si>
  <si>
    <t xml:space="preserve">JUNTA ES. AI 304/L 300/600 GF+304/L DN3 AE.A/C </t>
  </si>
  <si>
    <t xml:space="preserve">JUNTA ES. AI 304/L 150 GF+304/L DN3/4 AE.A/C </t>
  </si>
  <si>
    <t xml:space="preserve">JUNTA ES. AI316/L 150 GF+316/L DN3/4 AE.A/C </t>
  </si>
  <si>
    <t xml:space="preserve">JUNTA ES. AI 304/L 300/600 GF+304/L DN3/4 AE.A/C </t>
  </si>
  <si>
    <t xml:space="preserve">JUNTA ES. AI 316/L 300/600 GF+316/L DN3/4 AE.A/C </t>
  </si>
  <si>
    <t xml:space="preserve">JUNTA ES. AI 304/L 150 GF+304/L DN4 AE.A/C </t>
  </si>
  <si>
    <t xml:space="preserve">JUNTA ES. AI 304/L 300 GF+304/L DN6 AE.A/C </t>
  </si>
  <si>
    <t xml:space="preserve">JUNTA ES. AI316/L 300 GF+316/L DN6 AE.A/C </t>
  </si>
  <si>
    <t xml:space="preserve">JUNTA ES. AI316/L 300 GF+316/L DN8 AE.A/C </t>
  </si>
  <si>
    <t xml:space="preserve">JUNTA P/ FL 150 ESP.1,6MM RF DN10 PH ARAMIDA/NBR </t>
  </si>
  <si>
    <t xml:space="preserve">JUNTA P/ FL 150 ESP.1,6MM RF DN4 PH ARAMIDA/NBR </t>
  </si>
  <si>
    <t xml:space="preserve">JUNTA P/ FL 150 ESP.1,6MM RF DN8 PH ARAMIDA/NBR </t>
  </si>
  <si>
    <t xml:space="preserve">JUNTA ES. AI 304/L 150 GF+304/L DN2 AE.A/C </t>
  </si>
  <si>
    <t>JEI4150G4002AC</t>
  </si>
  <si>
    <t xml:space="preserve">JUNTA ES. AI 304/L 150 GF+304/L DN8 AE.A/C        </t>
  </si>
  <si>
    <t xml:space="preserve">JUNTA ES. AI304/L 300 GF+304/L DN8 AE.A/C         </t>
  </si>
  <si>
    <t xml:space="preserve">CP02010WPB </t>
  </si>
  <si>
    <t xml:space="preserve">CAP SCH 20(0,250) DN 10 WPB </t>
  </si>
  <si>
    <t xml:space="preserve">CP02012WPB </t>
  </si>
  <si>
    <t xml:space="preserve">CAP SCH 20(0,250) DN 12 WPB </t>
  </si>
  <si>
    <t xml:space="preserve">CP08010WPB </t>
  </si>
  <si>
    <t xml:space="preserve">CAP SCH 80(0,594) DN 10 WPB </t>
  </si>
  <si>
    <t xml:space="preserve">CP08012WPB </t>
  </si>
  <si>
    <t xml:space="preserve">CAP SCH 80(0,688) DN 12 WPB </t>
  </si>
  <si>
    <t xml:space="preserve">CP08020WPB </t>
  </si>
  <si>
    <t xml:space="preserve">CAP SCH 80(1,031) DN 20 WPB </t>
  </si>
  <si>
    <t xml:space="preserve">CP16002WPB </t>
  </si>
  <si>
    <t xml:space="preserve">CAP SCH 160(0,344) DN 2 WPB </t>
  </si>
  <si>
    <t xml:space="preserve">CP16003WPB </t>
  </si>
  <si>
    <t xml:space="preserve">CAP SCH 160(0,438) DN 3 WPB </t>
  </si>
  <si>
    <t xml:space="preserve">CP16004WPB </t>
  </si>
  <si>
    <t xml:space="preserve">CAP SCH 160(0,531) DN 4 WPB </t>
  </si>
  <si>
    <t xml:space="preserve">CPST003WPB </t>
  </si>
  <si>
    <t xml:space="preserve">CAP STD(40) DN 3 WPB </t>
  </si>
  <si>
    <t xml:space="preserve">CPST012WPB </t>
  </si>
  <si>
    <t xml:space="preserve">CAP STD(0,375) DN 12 WPB </t>
  </si>
  <si>
    <t xml:space="preserve">CPST014WPB </t>
  </si>
  <si>
    <t xml:space="preserve">CAP STD/30(0,375) DN 14 WPB </t>
  </si>
  <si>
    <t xml:space="preserve">CPST016WPB </t>
  </si>
  <si>
    <t xml:space="preserve">CAP STD/30(0,375) DN 16 WPB </t>
  </si>
  <si>
    <t xml:space="preserve">CPST024WPB </t>
  </si>
  <si>
    <t xml:space="preserve">CAP STD/20(0,375) DN 24 WPB </t>
  </si>
  <si>
    <t xml:space="preserve">CPXS001WPB </t>
  </si>
  <si>
    <t xml:space="preserve">CAP XS(80) DN 1 WPB </t>
  </si>
  <si>
    <t xml:space="preserve">CPXS003WPB </t>
  </si>
  <si>
    <t xml:space="preserve">CAP XS(80) DN 3 WPB </t>
  </si>
  <si>
    <t xml:space="preserve">CPXS004WPB </t>
  </si>
  <si>
    <t xml:space="preserve">CAP XS(80) DN 4 WPB </t>
  </si>
  <si>
    <t xml:space="preserve">CPXS005WPB </t>
  </si>
  <si>
    <t xml:space="preserve">CAP XS(80) DN 5 WPB </t>
  </si>
  <si>
    <t xml:space="preserve">CPXS006WPB </t>
  </si>
  <si>
    <t xml:space="preserve">CAP XS(80) DN 6 WPB </t>
  </si>
  <si>
    <t xml:space="preserve">CPXS008WPB </t>
  </si>
  <si>
    <t xml:space="preserve">CAP XS(80) DN 8 WPB </t>
  </si>
  <si>
    <t xml:space="preserve">CPXS012WPB </t>
  </si>
  <si>
    <t xml:space="preserve">CAP XS(0,500) DN 12 WPB </t>
  </si>
  <si>
    <t xml:space="preserve">RCAA002114WPBS </t>
  </si>
  <si>
    <t xml:space="preserve">RCAA003002WPBS </t>
  </si>
  <si>
    <t xml:space="preserve">RCAA003212WPBS </t>
  </si>
  <si>
    <t xml:space="preserve">RCAA004002WPBS </t>
  </si>
  <si>
    <t xml:space="preserve">RCAA004003WPBS </t>
  </si>
  <si>
    <t xml:space="preserve">RCAA004212WPBS </t>
  </si>
  <si>
    <t xml:space="preserve">RCAA006003WPBS </t>
  </si>
  <si>
    <t xml:space="preserve">RCAA006004WPBS </t>
  </si>
  <si>
    <t xml:space="preserve">RCAA008006WPBS </t>
  </si>
  <si>
    <t xml:space="preserve">RCAA010004WPBS </t>
  </si>
  <si>
    <t xml:space="preserve">RCAA010006WPBS </t>
  </si>
  <si>
    <t xml:space="preserve">RCAA010008WPBS </t>
  </si>
  <si>
    <t xml:space="preserve">RCAA014008WPBS </t>
  </si>
  <si>
    <t xml:space="preserve">RCAA014010WPBS </t>
  </si>
  <si>
    <t xml:space="preserve">RCAA014012WPBS </t>
  </si>
  <si>
    <t xml:space="preserve">RCAA016008WPBS </t>
  </si>
  <si>
    <t xml:space="preserve">RCAA016010WPBS </t>
  </si>
  <si>
    <t xml:space="preserve">RCAA016014WPBS </t>
  </si>
  <si>
    <t xml:space="preserve">RCAA018016WPBS </t>
  </si>
  <si>
    <t xml:space="preserve">RCAA020012WPBS </t>
  </si>
  <si>
    <t xml:space="preserve">RCAA024020WPBS </t>
  </si>
  <si>
    <t xml:space="preserve">RCPP003002WPBS </t>
  </si>
  <si>
    <t xml:space="preserve">RCSS0013/4WPBS </t>
  </si>
  <si>
    <t xml:space="preserve">RCSS002112WPBS </t>
  </si>
  <si>
    <t xml:space="preserve">RCSS003002WPBS </t>
  </si>
  <si>
    <t xml:space="preserve">RCSS004002WPBS </t>
  </si>
  <si>
    <t xml:space="preserve">RCSS004003WPBS </t>
  </si>
  <si>
    <t xml:space="preserve">RCSS006003WPBS </t>
  </si>
  <si>
    <t xml:space="preserve">RCSS006004WPBS </t>
  </si>
  <si>
    <t xml:space="preserve">RCSS008004WPBS </t>
  </si>
  <si>
    <t xml:space="preserve">RCSS008006WPBS </t>
  </si>
  <si>
    <t xml:space="preserve">RCSS112001WPBS </t>
  </si>
  <si>
    <t xml:space="preserve">RCSS212002WPBS </t>
  </si>
  <si>
    <t xml:space="preserve">RCSS3/41/2WPBS </t>
  </si>
  <si>
    <t xml:space="preserve">RCYS010008WPBS </t>
  </si>
  <si>
    <t xml:space="preserve">RCYY012010WPBS </t>
  </si>
  <si>
    <t xml:space="preserve">REAA006003WPBS </t>
  </si>
  <si>
    <t xml:space="preserve">RED. EXC. STD(40) / STD(40) 6X3 WPB </t>
  </si>
  <si>
    <t xml:space="preserve">REAA006004WPBS </t>
  </si>
  <si>
    <t xml:space="preserve">RED. EXC. STD(40) / STD(40) 6X4 WPB </t>
  </si>
  <si>
    <t xml:space="preserve">REAA006005WPBS </t>
  </si>
  <si>
    <t xml:space="preserve">RED. EXC. STD(40) / STD(40) 6X5 WPB </t>
  </si>
  <si>
    <t xml:space="preserve">REAA012006WPBS </t>
  </si>
  <si>
    <t xml:space="preserve">RED. EXC. STD(0,375) / STD(40) 12X6 WPB </t>
  </si>
  <si>
    <t xml:space="preserve">REAA012008WPBS </t>
  </si>
  <si>
    <t xml:space="preserve">RED. EXC. STD(0,375) / STD(40) 12X8 WPB </t>
  </si>
  <si>
    <t xml:space="preserve">REAA016014WPBS </t>
  </si>
  <si>
    <t xml:space="preserve">RED. EXC. STD(30) / STD(30) DN 16X14 WPB </t>
  </si>
  <si>
    <t xml:space="preserve">REAS003002WPBS </t>
  </si>
  <si>
    <t xml:space="preserve">RED. EXC. STD(40) / XS(80) 3X2 WPB </t>
  </si>
  <si>
    <t xml:space="preserve">RESS003002WPBS </t>
  </si>
  <si>
    <t xml:space="preserve">RED. EXC. XS(80) / XS(80) 3X2 WPB </t>
  </si>
  <si>
    <t xml:space="preserve">RESS004002WPBS </t>
  </si>
  <si>
    <t xml:space="preserve">RED. EXC. XS(80) / XS(80) 4X2 WPB </t>
  </si>
  <si>
    <t xml:space="preserve">RESS004003WPBS </t>
  </si>
  <si>
    <t xml:space="preserve">RED. EXC. XS(80) / XS(80) 4X3 WPB </t>
  </si>
  <si>
    <t xml:space="preserve">RESS006004WPBS </t>
  </si>
  <si>
    <t xml:space="preserve">RED. EXC. XS(80) / XS(80) 6X4 WPB </t>
  </si>
  <si>
    <t xml:space="preserve">RESS008004WPBS </t>
  </si>
  <si>
    <t xml:space="preserve">RED. EXC. XS(80) / XS(80) 8X4 WPB </t>
  </si>
  <si>
    <t xml:space="preserve">RESS008006WPBS </t>
  </si>
  <si>
    <t xml:space="preserve">RED. EXC. XS(80) / XS(80) 8X6 WPB </t>
  </si>
  <si>
    <t xml:space="preserve">REWW010008WPBS </t>
  </si>
  <si>
    <t xml:space="preserve">RED. EXC. 20(0,250) / 20(0,250) 10X8 WPB </t>
  </si>
  <si>
    <t xml:space="preserve">REWW012008WPBS </t>
  </si>
  <si>
    <t xml:space="preserve">RED. EXC. 20(0,250) / 20(0,250) 12X8 WPB </t>
  </si>
  <si>
    <t xml:space="preserve">REWW012010WPBS </t>
  </si>
  <si>
    <t xml:space="preserve">RED. EXC. 20(0,250) / 20(0,250) 12X10 WPB </t>
  </si>
  <si>
    <t xml:space="preserve">WDLST008002105 </t>
  </si>
  <si>
    <t xml:space="preserve">COLAR WELDOLET STD/40 8X2 A105 </t>
  </si>
  <si>
    <t xml:space="preserve">TRAA002001WPBS </t>
  </si>
  <si>
    <t xml:space="preserve">TE RED. STD(40) / STD(40) 2X1 WPB </t>
  </si>
  <si>
    <t xml:space="preserve">TRAA003002WPBS </t>
  </si>
  <si>
    <t xml:space="preserve">TE RED. STD(40) / STD(40) 3X2 WPB </t>
  </si>
  <si>
    <t xml:space="preserve">TRAA004002WPBS </t>
  </si>
  <si>
    <t xml:space="preserve">TE RED. STD(40) / STD(40) 4X2 WPB </t>
  </si>
  <si>
    <t xml:space="preserve">TRAA004112WPBS </t>
  </si>
  <si>
    <t xml:space="preserve">TE RED. STD(40) / STD(40) 4X1.1/2 WPB </t>
  </si>
  <si>
    <t xml:space="preserve">TRAA004212WPBS </t>
  </si>
  <si>
    <t xml:space="preserve">TE RED. STD(40) / STD(40) 4X2.1/2 WPB </t>
  </si>
  <si>
    <t xml:space="preserve">TRAA005212WPBS </t>
  </si>
  <si>
    <t xml:space="preserve">TE RED. STD(40) / STD(40) 5X2.1/2 WPB </t>
  </si>
  <si>
    <t xml:space="preserve">TRAA006003WPBS </t>
  </si>
  <si>
    <t xml:space="preserve">TE RED. STD(40) / STD(40) 6X3 WPB </t>
  </si>
  <si>
    <t xml:space="preserve">TRAA006004WPBS </t>
  </si>
  <si>
    <t xml:space="preserve">TE RED. STD(40) / STD(40) 6X4 WPB </t>
  </si>
  <si>
    <t xml:space="preserve">TRAA008004WPBS </t>
  </si>
  <si>
    <t xml:space="preserve">TE RED. STD(40) / STD(40) 8X4 WPB </t>
  </si>
  <si>
    <t xml:space="preserve">TRAA008006WPBS </t>
  </si>
  <si>
    <t xml:space="preserve">TE RED STD(40) / STD(40) 8X6 WPB </t>
  </si>
  <si>
    <t xml:space="preserve">TRAA010004WPBS </t>
  </si>
  <si>
    <t xml:space="preserve">TE RED. STD(40) / STD(40) 10X4 WPB </t>
  </si>
  <si>
    <t xml:space="preserve">TRAA012006WPBS </t>
  </si>
  <si>
    <t xml:space="preserve">TE RED STD(0,375) / STD(40) 12X6 WPB </t>
  </si>
  <si>
    <t xml:space="preserve">TRAA012008WPBS </t>
  </si>
  <si>
    <t xml:space="preserve">TE RED. STD(0,375) / STD(40) 12X8 WPB </t>
  </si>
  <si>
    <t xml:space="preserve">TRAA012010WPBS </t>
  </si>
  <si>
    <t xml:space="preserve">TE RED. STD(0,375) / STD(40) 12X10 WPB </t>
  </si>
  <si>
    <t xml:space="preserve">TRAA014008WPBS </t>
  </si>
  <si>
    <t xml:space="preserve">TE RED. STD(30) / STD(40) 14X8 WPB </t>
  </si>
  <si>
    <t xml:space="preserve">TRSS002001WPBS </t>
  </si>
  <si>
    <t xml:space="preserve">TE RED. XS(80) / XS(80) 2X1 WPB </t>
  </si>
  <si>
    <t xml:space="preserve">TRSS004003WPBS </t>
  </si>
  <si>
    <t xml:space="preserve">TE RED. XS(80) / XS(80) 4X3 WPB </t>
  </si>
  <si>
    <t xml:space="preserve">TRSS006003WPBS </t>
  </si>
  <si>
    <t xml:space="preserve">TE RED. XS(80) / XS(80) 6X3 WPB </t>
  </si>
  <si>
    <t xml:space="preserve">TRSS006004WPBS </t>
  </si>
  <si>
    <t xml:space="preserve">TE RED. XS(80) / XS(80) 6X4 WPB </t>
  </si>
  <si>
    <t xml:space="preserve">TE9001016WPBS </t>
  </si>
  <si>
    <t xml:space="preserve">TE 90G SCH 10(0,250) DN 16 WPB </t>
  </si>
  <si>
    <t xml:space="preserve">TE9001018WPBS </t>
  </si>
  <si>
    <t xml:space="preserve">TE 90G SCH 10(0,250) DN 18 WPB </t>
  </si>
  <si>
    <t xml:space="preserve">TE9001020WPBS </t>
  </si>
  <si>
    <t xml:space="preserve">TE 90G SCH 10(0,250) DN 20 WPB </t>
  </si>
  <si>
    <t xml:space="preserve">TE9002008WPBS </t>
  </si>
  <si>
    <t xml:space="preserve">TE 90G SCH 20(0,250) DN 8 WPB </t>
  </si>
  <si>
    <t xml:space="preserve">TE9002010WPBS </t>
  </si>
  <si>
    <t xml:space="preserve">TE 90G SCH 20(0,250) DN 10 WPB </t>
  </si>
  <si>
    <t xml:space="preserve">TE9002012WPBS </t>
  </si>
  <si>
    <t xml:space="preserve">TE 90G SCH 20(0,250) DN 12 WPB </t>
  </si>
  <si>
    <t xml:space="preserve">TE9002016WPBS </t>
  </si>
  <si>
    <t xml:space="preserve">TE 90G SCH 20(0,312) DN 16 WPB </t>
  </si>
  <si>
    <t xml:space="preserve">TE9008012WPBS </t>
  </si>
  <si>
    <t xml:space="preserve">TE 90G SCH 80(0,688) DN 12 WPB </t>
  </si>
  <si>
    <t xml:space="preserve">TE9016002WPBS </t>
  </si>
  <si>
    <t xml:space="preserve">TE 90G SCH 160(0,344) DN 2 WPB </t>
  </si>
  <si>
    <t xml:space="preserve">TE90ST002WPBS </t>
  </si>
  <si>
    <t xml:space="preserve">TE 90G STD(40) DN 2 WPB </t>
  </si>
  <si>
    <t xml:space="preserve">TE90ST003WPBS </t>
  </si>
  <si>
    <t xml:space="preserve">TE 90G STD(40) DN 3 WPB </t>
  </si>
  <si>
    <t xml:space="preserve">TE90ST004WPBS </t>
  </si>
  <si>
    <t xml:space="preserve">TE 90G STD(40) DN 4 WPB </t>
  </si>
  <si>
    <t xml:space="preserve">TE90ST006WPBS </t>
  </si>
  <si>
    <t xml:space="preserve">TE 90G STD(40) DN 6 WPB </t>
  </si>
  <si>
    <t xml:space="preserve">TE90ST008WPBS </t>
  </si>
  <si>
    <t xml:space="preserve">TE 90G STD(40) DN 8 WPB </t>
  </si>
  <si>
    <t xml:space="preserve">TE90ST012WPBS </t>
  </si>
  <si>
    <t xml:space="preserve">TE 90G STD(0,375) DN 12 WPB </t>
  </si>
  <si>
    <t xml:space="preserve">TE90ST014WPBS </t>
  </si>
  <si>
    <t xml:space="preserve">TE 90G STD/30(0,375) DN 14 WPB </t>
  </si>
  <si>
    <t xml:space="preserve">TE90ST016WPBS </t>
  </si>
  <si>
    <t xml:space="preserve">TE 90G STD/30(0,375) DN 16 WPB </t>
  </si>
  <si>
    <t xml:space="preserve">TE90ST018WPBS </t>
  </si>
  <si>
    <t xml:space="preserve">TE 90G STD(0,375) DN 18 WPB </t>
  </si>
  <si>
    <t xml:space="preserve">TE90ST020WPBS </t>
  </si>
  <si>
    <t xml:space="preserve">TE 90G STD/20(0,375) DN 20 WPB </t>
  </si>
  <si>
    <t xml:space="preserve">TE90ST024WPBS </t>
  </si>
  <si>
    <t xml:space="preserve">TE 90G STD/20(0,375) DN 24 WPB </t>
  </si>
  <si>
    <t xml:space="preserve">TE90XS002WPBS </t>
  </si>
  <si>
    <t xml:space="preserve">TE 90G XS(80) DN 2 WPB </t>
  </si>
  <si>
    <t xml:space="preserve">TE90XS006WPBS </t>
  </si>
  <si>
    <t xml:space="preserve">TE 90G XS(80) DN 6 WPB </t>
  </si>
  <si>
    <t xml:space="preserve">TE90XS008WPBS </t>
  </si>
  <si>
    <t xml:space="preserve">TE 90G XS(80) DN 8 WPB </t>
  </si>
  <si>
    <t xml:space="preserve">TE90XS018WPBS </t>
  </si>
  <si>
    <t xml:space="preserve">TE 90G XS(0,500) DN 18 WPB </t>
  </si>
  <si>
    <t xml:space="preserve">TE90XS020WPBS </t>
  </si>
  <si>
    <t xml:space="preserve">TE 90G XS/30(0,500) DN 20 WPB </t>
  </si>
  <si>
    <t xml:space="preserve">WDLST004002105 </t>
  </si>
  <si>
    <t xml:space="preserve">COLAR WELDOLET STD 4X2 A105 </t>
  </si>
  <si>
    <t xml:space="preserve">WDLXS008002105 </t>
  </si>
  <si>
    <t xml:space="preserve">COLAR WELDOLET XS 8X2 A105 </t>
  </si>
  <si>
    <t xml:space="preserve">COLAR WELDOLET STD 8X2 A105 </t>
  </si>
  <si>
    <t xml:space="preserve">WDLST006002105 </t>
  </si>
  <si>
    <t xml:space="preserve">COLAR WELDOLET STD 6X2 A105 </t>
  </si>
  <si>
    <t xml:space="preserve">WDLST024002105 </t>
  </si>
  <si>
    <t xml:space="preserve">COLAR WELDOLET STD 24X2 A105 </t>
  </si>
  <si>
    <t xml:space="preserve">WDLST012004105 </t>
  </si>
  <si>
    <t xml:space="preserve">COLAR WELDOLET STD 12X4 A105 </t>
  </si>
  <si>
    <t xml:space="preserve">WDLST012003105 </t>
  </si>
  <si>
    <t xml:space="preserve">COLAR WELDOLET STD 12X3 A105 </t>
  </si>
  <si>
    <t xml:space="preserve">WDLST012002105 </t>
  </si>
  <si>
    <t xml:space="preserve">COLAR WELDOLET STD 12X2 A105 </t>
  </si>
  <si>
    <t xml:space="preserve">WDLST010003105 </t>
  </si>
  <si>
    <t xml:space="preserve">COLAR WELDOLET STD 10X3 A105 </t>
  </si>
  <si>
    <t xml:space="preserve">WDLXS010002105 </t>
  </si>
  <si>
    <t xml:space="preserve">COLAR WELDOLET XS 10X2 A105 </t>
  </si>
  <si>
    <t xml:space="preserve">WDLST010002105 </t>
  </si>
  <si>
    <t xml:space="preserve">COLAR WELDOLET STD 10X2 A105 </t>
  </si>
  <si>
    <t xml:space="preserve">TL30MN004112105 </t>
  </si>
  <si>
    <t xml:space="preserve">COLAR THREADOLET 3000 NPT 4X1.1/2 A105 </t>
  </si>
  <si>
    <t xml:space="preserve">TL30MN0043/4105 </t>
  </si>
  <si>
    <t xml:space="preserve">COLAR THREADOLET 3000 NPT 4X3/4 A105 </t>
  </si>
  <si>
    <t xml:space="preserve">TL30MN003001105 </t>
  </si>
  <si>
    <t xml:space="preserve">COLAR THREADOLET 3000 NPT 3X1 A105 </t>
  </si>
  <si>
    <t xml:space="preserve">TL30MN002112105 </t>
  </si>
  <si>
    <t xml:space="preserve">COLAR THREADOLET 3000 NPT 2X1.1/2 A105 </t>
  </si>
  <si>
    <t xml:space="preserve">SK60MS004112105 </t>
  </si>
  <si>
    <t xml:space="preserve">COLAR SOCKOLET 6000 SW 4X1.1/2 A105 </t>
  </si>
  <si>
    <t xml:space="preserve">SK60MS004001105 </t>
  </si>
  <si>
    <t xml:space="preserve">COLAR SOCKOLET 6000 SW 4X1 A105 </t>
  </si>
  <si>
    <t xml:space="preserve">SK60MS0043/4105 </t>
  </si>
  <si>
    <t xml:space="preserve">COLAR SOCKOLET 6000 SW 4X3/4 A105 </t>
  </si>
  <si>
    <t xml:space="preserve">SK60MS003001105 </t>
  </si>
  <si>
    <t xml:space="preserve">COLAR SOCKOLET 6000 SW 3X1 A105 </t>
  </si>
  <si>
    <t xml:space="preserve">SK60MS002001105 </t>
  </si>
  <si>
    <t xml:space="preserve">COLAR SOCKOLET 6000 SW 2X1 A105 </t>
  </si>
  <si>
    <t xml:space="preserve">SK60MS0023/4105 </t>
  </si>
  <si>
    <t xml:space="preserve">COLAR SOCKOLET 6000 SW 2X3/4 A105 </t>
  </si>
  <si>
    <t xml:space="preserve">SK30MS0043/4105 </t>
  </si>
  <si>
    <t xml:space="preserve">COLAR SOCKOLET 3000 SW 4X3/4 A105 </t>
  </si>
  <si>
    <t xml:space="preserve">SK30MS003112105 </t>
  </si>
  <si>
    <t xml:space="preserve">COLAR SOCKOLET 3000 SW 3X1.1/2 A105 </t>
  </si>
  <si>
    <t xml:space="preserve">SK30MS003001105 </t>
  </si>
  <si>
    <t xml:space="preserve">COLAR SOCKOLET 3000 SW 3X1 A105 </t>
  </si>
  <si>
    <t xml:space="preserve">SK30MS0033/4105 </t>
  </si>
  <si>
    <t xml:space="preserve">COLAR SOCKOLET 3000 SW 3X3/4 A105 </t>
  </si>
  <si>
    <t xml:space="preserve">SK30MS002112105 </t>
  </si>
  <si>
    <t xml:space="preserve">COLAR SOCKOLET 3000 SW 2X1.1/2 A105 </t>
  </si>
  <si>
    <t xml:space="preserve">SK30MS002001105 </t>
  </si>
  <si>
    <t xml:space="preserve">COLAR SOCKOLET 3000 SW 2X1 A105 </t>
  </si>
  <si>
    <t xml:space="preserve">SK30MS0023/4105 </t>
  </si>
  <si>
    <t xml:space="preserve">COLAR SOCKOLET 3000 SW 2X3/4 A105 </t>
  </si>
  <si>
    <t xml:space="preserve">NCASJ002112WPBS </t>
  </si>
  <si>
    <t xml:space="preserve">NIPLE RED.CONC. STD/XS BISEL/NPT 2X1.1/2 WPB </t>
  </si>
  <si>
    <t xml:space="preserve">NCASJ0023/4WPBS </t>
  </si>
  <si>
    <t xml:space="preserve">NIPLE RED.CONC. STD/XS BISEL/NPT 2X3/4 WPB </t>
  </si>
  <si>
    <t xml:space="preserve">NCSSE1123/4WPBF </t>
  </si>
  <si>
    <t>NIPLE RED.CONC. XS/XS NPT/NPT 1.1/2X3/4 WPB GV FOG</t>
  </si>
  <si>
    <t xml:space="preserve">NCSSE3/41/2WPBF </t>
  </si>
  <si>
    <t xml:space="preserve">NIPLE RED.CONC. XS/XS NPT/NPT 3/4X1/2 WPB GV FOGO </t>
  </si>
  <si>
    <t xml:space="preserve">NEASB002001WPBS </t>
  </si>
  <si>
    <t xml:space="preserve">NIPLE RED.EXC. STD/XS BISEL/PLANO 2X1 WPB </t>
  </si>
  <si>
    <t xml:space="preserve">NCASJ004112WPBS </t>
  </si>
  <si>
    <t xml:space="preserve">NIPLE RED.CONC. STD/XS BISEL/NPT 4X1.1/2 WPB </t>
  </si>
  <si>
    <t xml:space="preserve">NCAPB0023/4WPBS </t>
  </si>
  <si>
    <t xml:space="preserve">NIPLE RED.CONC. STD160 BISEL/PLANO 2X3/4 WPB </t>
  </si>
  <si>
    <t xml:space="preserve">NCSSD0013/4WPBS </t>
  </si>
  <si>
    <t xml:space="preserve">NIPLE RED.CONC. XS/XS PLANO/PLANO 1X3/4 WPB </t>
  </si>
  <si>
    <t xml:space="preserve">NCPPD0011/2WPBS </t>
  </si>
  <si>
    <t xml:space="preserve">NIPLE RED.CONC. 160160 PLANO/PLANO 1X1/2 WPB </t>
  </si>
  <si>
    <t xml:space="preserve">NCSSD3/41/2WPBS </t>
  </si>
  <si>
    <t xml:space="preserve">NIPLE RED.CONC. XS/XS PLANO/PLANO 3/4X1/2 WPB </t>
  </si>
  <si>
    <t xml:space="preserve">NCSSD1123/4WPBS </t>
  </si>
  <si>
    <t xml:space="preserve">NIPLE RED.CONC. XS/XS PLANO/PLANO 1.1/2X3/4 WPB </t>
  </si>
  <si>
    <t xml:space="preserve">NCSSD1121/2WPBS </t>
  </si>
  <si>
    <t xml:space="preserve">NIPLE RED.CONC. XS/XS PLANO/PLANO 1.1/2X1/2 WPB </t>
  </si>
  <si>
    <t xml:space="preserve">NCASJ002001WPBS </t>
  </si>
  <si>
    <t xml:space="preserve">NIPLE RED.CONC. STD/XS BISEL/NPT 2X1 WPB </t>
  </si>
  <si>
    <t xml:space="preserve">TE 3000 SW 1X3/4 A105 </t>
  </si>
  <si>
    <t xml:space="preserve">TE 6000 SW 1.1/2X3/4 A105 </t>
  </si>
  <si>
    <t xml:space="preserve">NIPLE DUPLO 3000 NPT 3/4X1/2 F316/L               </t>
  </si>
  <si>
    <t xml:space="preserve">NIPLE LONGO 80S PLANO/NPT 3/4X4 (101,6MM) 304/L   </t>
  </si>
  <si>
    <t xml:space="preserve">ACMAQ9216 </t>
  </si>
  <si>
    <t xml:space="preserve">ACMAQ9217 </t>
  </si>
  <si>
    <t xml:space="preserve">ACMAQ9218 </t>
  </si>
  <si>
    <t xml:space="preserve">ACMAQ9219 </t>
  </si>
  <si>
    <t xml:space="preserve">ACMAQ9220 </t>
  </si>
  <si>
    <t xml:space="preserve">ACMAQ9221 </t>
  </si>
  <si>
    <t xml:space="preserve">ACMAQ9222 </t>
  </si>
  <si>
    <t xml:space="preserve">ACMAQ9223 </t>
  </si>
  <si>
    <t xml:space="preserve">ACMAQ9224 </t>
  </si>
  <si>
    <t xml:space="preserve">ACMAQ9225 </t>
  </si>
  <si>
    <t xml:space="preserve">ACMAQ9226 </t>
  </si>
  <si>
    <t xml:space="preserve">ACMAQ9227 </t>
  </si>
  <si>
    <t xml:space="preserve">ACMAQ9228 </t>
  </si>
  <si>
    <t xml:space="preserve">ACMAQ9229 </t>
  </si>
  <si>
    <t xml:space="preserve">CC90ST004WPBS </t>
  </si>
  <si>
    <t xml:space="preserve">CURVA RC 90G STD/40(0,237) DN 4 WPB </t>
  </si>
  <si>
    <t xml:space="preserve">CC90ST006WPBS </t>
  </si>
  <si>
    <t xml:space="preserve">CURVA RC 90G STD/40(0,280) DN 6 WPB </t>
  </si>
  <si>
    <t xml:space="preserve">CC90ST008WPBS </t>
  </si>
  <si>
    <t xml:space="preserve">CURVA RC 90G STD/40(0,322) DN 8 WPB </t>
  </si>
  <si>
    <t xml:space="preserve">CC90ST012WPBS </t>
  </si>
  <si>
    <t xml:space="preserve">CURVA RC 90G STD(0,375) DN 12 WPB </t>
  </si>
  <si>
    <t xml:space="preserve">CC90ST020WPBS </t>
  </si>
  <si>
    <t xml:space="preserve">CURVA RC 90G STD/20(0,375) DN 20 WPB </t>
  </si>
  <si>
    <t xml:space="preserve">CC90XS006WPBS </t>
  </si>
  <si>
    <t xml:space="preserve">CURVA RC 90G XS/80(0,432) DN 6 WPB </t>
  </si>
  <si>
    <t xml:space="preserve">CC90XS012WPBS </t>
  </si>
  <si>
    <t xml:space="preserve">CURVA RC 90G XS(0,500) DN 12 WPB </t>
  </si>
  <si>
    <t xml:space="preserve">CC90XS014WPBS </t>
  </si>
  <si>
    <t xml:space="preserve">CURVA RC 90G XS(0,500) DN 14 WPB </t>
  </si>
  <si>
    <t xml:space="preserve">CC90XS212WPBS </t>
  </si>
  <si>
    <t xml:space="preserve">CURVA RC 90G XS/80(0,276) DN 2.1/2 WPB </t>
  </si>
  <si>
    <t xml:space="preserve">CL45ST012WPBS </t>
  </si>
  <si>
    <t xml:space="preserve">CURVA RL 45G STD/0,375 DN 12 WPB </t>
  </si>
  <si>
    <t xml:space="preserve">CL9001016WPBS </t>
  </si>
  <si>
    <t xml:space="preserve">CURVA RL 90G SCH10/0,250 DN 16 WPB </t>
  </si>
  <si>
    <t xml:space="preserve">CL9001018WPBS </t>
  </si>
  <si>
    <t xml:space="preserve">CURVA RL 90G SCH10/0,250 DN 18 WPB </t>
  </si>
  <si>
    <t xml:space="preserve">CL9002012WPBS </t>
  </si>
  <si>
    <t xml:space="preserve">CURVA RL 90G SCH20/0,250 DN 12 WPB </t>
  </si>
  <si>
    <t xml:space="preserve">CL9004012WPBS </t>
  </si>
  <si>
    <t xml:space="preserve">CURVA RL 90G SCH40 DN 12 WPB </t>
  </si>
  <si>
    <t xml:space="preserve">CL9008010WPBS </t>
  </si>
  <si>
    <t xml:space="preserve">CURVA RL 90G SCH80 DN 10 WPB </t>
  </si>
  <si>
    <t xml:space="preserve">CL9012008WPBS </t>
  </si>
  <si>
    <t xml:space="preserve">CURVA RL 90G SCH120 DN 8 WPB </t>
  </si>
  <si>
    <t xml:space="preserve">CL9016002WPBS </t>
  </si>
  <si>
    <t xml:space="preserve">CURVA RL 90G SCH160 DN 2 WPB </t>
  </si>
  <si>
    <t xml:space="preserve">CL90ST002WPBS </t>
  </si>
  <si>
    <t xml:space="preserve">CURVA RL 90G STD DN 2 WPB </t>
  </si>
  <si>
    <t xml:space="preserve">CL90ST004WPBS </t>
  </si>
  <si>
    <t xml:space="preserve">CURVA RL 90G STD DN 4 WPB </t>
  </si>
  <si>
    <t xml:space="preserve">CL90ST006WPBS </t>
  </si>
  <si>
    <t xml:space="preserve">CURVA RL 90G STD/40(0,280) DN 6 WPB </t>
  </si>
  <si>
    <t xml:space="preserve">CL90ST010WPBS </t>
  </si>
  <si>
    <t xml:space="preserve">CURVA RL 90G STD DN 10 WPB </t>
  </si>
  <si>
    <t xml:space="preserve">CL90ST012WPBS </t>
  </si>
  <si>
    <t xml:space="preserve">CURVA RL 90G STD/0,375 DN 12 WPB </t>
  </si>
  <si>
    <t xml:space="preserve">CL90ST014WPBS </t>
  </si>
  <si>
    <t xml:space="preserve">CURVA RL 90G STD/30 (0,375) DN 14 WPB </t>
  </si>
  <si>
    <t xml:space="preserve">CL90ST016WPBS </t>
  </si>
  <si>
    <t xml:space="preserve">CURVA RL 90G STD/0,375 DN 16 WPB </t>
  </si>
  <si>
    <t xml:space="preserve">CL90ST018WPBS </t>
  </si>
  <si>
    <t xml:space="preserve">CURVA RL 90G STD/0,375 DN 18 WPB </t>
  </si>
  <si>
    <t xml:space="preserve">CL90ST024WPBS </t>
  </si>
  <si>
    <t xml:space="preserve">CURVA RL 90G STD/20(0,375) DN 24 WPB </t>
  </si>
  <si>
    <t xml:space="preserve">CL90ST026WPBS </t>
  </si>
  <si>
    <t xml:space="preserve">CURVA RL 90G STD(0,375) DN 26 WPB </t>
  </si>
  <si>
    <t xml:space="preserve">CL90XS002WPBS </t>
  </si>
  <si>
    <t xml:space="preserve">CURVA RL 90G XS DN 2 WPB </t>
  </si>
  <si>
    <t xml:space="preserve">CL90XS004WPBS </t>
  </si>
  <si>
    <t xml:space="preserve">CURVA RL 90G XS DN 4 WPB </t>
  </si>
  <si>
    <t xml:space="preserve">CL90XS008WPBS </t>
  </si>
  <si>
    <t xml:space="preserve">CURVA RL 90G XS/0,500 DN 8 WPB </t>
  </si>
  <si>
    <t xml:space="preserve">CL90XS012WPBS </t>
  </si>
  <si>
    <t xml:space="preserve">CURVA RL 90G XS/0,500 DN 12 WPB </t>
  </si>
  <si>
    <t xml:space="preserve">CL90XS014WPBS </t>
  </si>
  <si>
    <t xml:space="preserve">CURVA RL 90G XS/0,500 DN 14 WPB </t>
  </si>
  <si>
    <t xml:space="preserve">CL90XX002WPBS </t>
  </si>
  <si>
    <t xml:space="preserve">CURVA RL 90G XXS DN 2 WPB </t>
  </si>
  <si>
    <t xml:space="preserve">BUCHA DE RED SEXTAV NPT GALV. FOGO 3/4X1/2 105 </t>
  </si>
  <si>
    <t xml:space="preserve">BUCHA DE RED SEXTAV 3000/6000 NPT 1X1/2 A105 </t>
  </si>
  <si>
    <t xml:space="preserve">BUCHA DE RED SEXTAV 3000/6000 NPT 1X3/4 A105 </t>
  </si>
  <si>
    <t xml:space="preserve">BUCHA DE RED SEXTAV 3000/6000 NPT 2X1 A105 </t>
  </si>
  <si>
    <t xml:space="preserve">BUCHA DE RED SEXTAV 3000/6000 NPT 2X1.1/2 A105 </t>
  </si>
  <si>
    <t xml:space="preserve">BUCHA DE RED SEXTAV 3000/6000 NPT 1.1/2X1 A105 </t>
  </si>
  <si>
    <t xml:space="preserve">BUCHA DE RED SEXTAV 3000/6000 NPT 1.1/2X3/4 A105 </t>
  </si>
  <si>
    <t xml:space="preserve">BUCHA DE RED SEXTAV 3000/6000 NPT 3/4X1/2 A105 </t>
  </si>
  <si>
    <t xml:space="preserve">CAP 3000 GV.FOGO NPT DN 1/2 A105 </t>
  </si>
  <si>
    <t xml:space="preserve">CAP 3000 GV.FOGO NPT DN 1.1/2 A105 </t>
  </si>
  <si>
    <t xml:space="preserve">CAP 3000 NPT DN 1 A105 </t>
  </si>
  <si>
    <t xml:space="preserve">CAP 3000 NPT DN 2 A105 </t>
  </si>
  <si>
    <t xml:space="preserve">CAP 3000 NPT DN 1/2 A105 </t>
  </si>
  <si>
    <t xml:space="preserve">CAP 3000 NPT DN 1.1/2 A105 </t>
  </si>
  <si>
    <t xml:space="preserve">CAP 3000 NPT DN 3/4 A105 </t>
  </si>
  <si>
    <t xml:space="preserve">CAP 3000 SW DN 1 A105 </t>
  </si>
  <si>
    <t xml:space="preserve">CAP 3000 SW DN 1.1/2 A105 </t>
  </si>
  <si>
    <t xml:space="preserve">CAP 6000 NPT DN 1 A105 </t>
  </si>
  <si>
    <t xml:space="preserve">CAP 6000 NPT DN 1/2 A105 </t>
  </si>
  <si>
    <t xml:space="preserve">CAP 6000 NPT DN 3/4 A105 </t>
  </si>
  <si>
    <t xml:space="preserve">CAP 6000 SW DN 3/4 A105 </t>
  </si>
  <si>
    <t xml:space="preserve">COTOVELO 45G 3000 SW DN 1 A105 </t>
  </si>
  <si>
    <t xml:space="preserve">COTOVELO 45G 6000 SW DN 1 A105 </t>
  </si>
  <si>
    <t xml:space="preserve">COTOVELO 45G 6000 SW DN 3/4 A105 </t>
  </si>
  <si>
    <t xml:space="preserve">COTOVELO 90G 3000 NPT DN 1/2 A105 </t>
  </si>
  <si>
    <t xml:space="preserve">COTOVELO 90G 3000 NPT DN 1.1/2 A105 </t>
  </si>
  <si>
    <t xml:space="preserve">COTOVELO 90 3000 NPT 3/4 A105 </t>
  </si>
  <si>
    <t xml:space="preserve">COTOVELO 90 3000 SW 1 A105 </t>
  </si>
  <si>
    <t xml:space="preserve">COTOVELO 90 3000 SW 2 A105 </t>
  </si>
  <si>
    <t xml:space="preserve">COTOVELO 90 3000 SW 1/2 A105 </t>
  </si>
  <si>
    <t xml:space="preserve">COTOVELO 90 3000 SW 1.1/2 A105 </t>
  </si>
  <si>
    <t xml:space="preserve">COTOVELO 90 3000 SW 2.1/2 A105 </t>
  </si>
  <si>
    <t xml:space="preserve">COTOVELO 90 3000 SW 3/4 A105 </t>
  </si>
  <si>
    <t xml:space="preserve">COTOVELO 90 6000 NPT 1 A105 </t>
  </si>
  <si>
    <t xml:space="preserve">COTOVELO 90 6000 NPT 1/2 A105 </t>
  </si>
  <si>
    <t xml:space="preserve">COTOVELO 90 6000 NPT 1.1/2 A105 </t>
  </si>
  <si>
    <t xml:space="preserve">COTOVELO 90 6000 NPT 3/4 A105 </t>
  </si>
  <si>
    <t xml:space="preserve">COTOVELO 90 6000 SW 1 A105 </t>
  </si>
  <si>
    <t xml:space="preserve">COTOVELO 90 6000 SW 1.1/2 A105 </t>
  </si>
  <si>
    <t xml:space="preserve">COTOVELO 90 6000 SW 3/4 A105 </t>
  </si>
  <si>
    <t xml:space="preserve">LUVA 3000 GV.FOGO NPT 2 A105 </t>
  </si>
  <si>
    <t xml:space="preserve">LUVA 3000 GV.FOGO NPT 1/2 A105 </t>
  </si>
  <si>
    <t xml:space="preserve">LUVA 3000 GV.FOGO NPT 1.1/2 A105 </t>
  </si>
  <si>
    <t xml:space="preserve">LUVA 3000 GV.FOGO NPT 3/4 A105 </t>
  </si>
  <si>
    <t xml:space="preserve">LUVA 3000 NPT 1 A105 </t>
  </si>
  <si>
    <t xml:space="preserve">LUVA 3000 NPT 2 A105 </t>
  </si>
  <si>
    <t xml:space="preserve">LUVA 3000 NPT 3 A105 </t>
  </si>
  <si>
    <t xml:space="preserve">LUVA 3000 NPT 1/2 A105 </t>
  </si>
  <si>
    <t xml:space="preserve">LUVA 3000 NPT 1/4 A105 </t>
  </si>
  <si>
    <t xml:space="preserve">LUVA 3000 NPT 1.1/2 A105 </t>
  </si>
  <si>
    <t xml:space="preserve">LUVA 3000 NPT 3/4 A105 </t>
  </si>
  <si>
    <t xml:space="preserve">LUVA 3000 SW 1 A105 </t>
  </si>
  <si>
    <t xml:space="preserve">LUVA 3000 SW 2 A105 </t>
  </si>
  <si>
    <t xml:space="preserve">LUVA 3000 SW 1/2 A105 </t>
  </si>
  <si>
    <t xml:space="preserve">LUVA 3000 SW 1.1/2 A105 </t>
  </si>
  <si>
    <t xml:space="preserve">LUVA 3000 SW 3/4 A105 </t>
  </si>
  <si>
    <t xml:space="preserve">LUVA 6000 GV.FOGO NPT 1/2 A105 </t>
  </si>
  <si>
    <t xml:space="preserve">LUVA 6000 GV.FOGO NPT 1.1/2 A105 </t>
  </si>
  <si>
    <t xml:space="preserve">LUVA 6000 GV.FOGO NPT 3/4 A105 </t>
  </si>
  <si>
    <t xml:space="preserve">LUVA 6000 NPT 1 A105 </t>
  </si>
  <si>
    <t xml:space="preserve">LUVA 6000 NPT 1/2 A105 </t>
  </si>
  <si>
    <t xml:space="preserve">LUVA 6000 NPT 1.1/2 A105 </t>
  </si>
  <si>
    <t xml:space="preserve">LUVA 6000 NPT 3/4 A105 </t>
  </si>
  <si>
    <t xml:space="preserve">LUVA 6000 SWNPT 3/4 A105 </t>
  </si>
  <si>
    <t xml:space="preserve">LUVA 6000 SW 1 A105 </t>
  </si>
  <si>
    <t xml:space="preserve">LUVA 6000 SW 1/2 A105 </t>
  </si>
  <si>
    <t xml:space="preserve">LUVA 6000 SW 1.1/2 A105 </t>
  </si>
  <si>
    <t xml:space="preserve">LUVA 6000 SW 3/4 A105 </t>
  </si>
  <si>
    <t xml:space="preserve">LUVA 9000 SW 1/2 A105 </t>
  </si>
  <si>
    <t xml:space="preserve">LUVA 9000 SW 1.1/2 A105 </t>
  </si>
  <si>
    <t xml:space="preserve">LUVA 9000 SW 3/4 A105 </t>
  </si>
  <si>
    <t xml:space="preserve">MEIA LUVA 3000 NPT 1 A105 </t>
  </si>
  <si>
    <t xml:space="preserve">MEIA LUVA 3000 NPT 2 A105 </t>
  </si>
  <si>
    <t xml:space="preserve">MEIA LUVA 3000 NPT 1/2 A105 </t>
  </si>
  <si>
    <t xml:space="preserve">MEIA LUVA 3000 NPT 1/4 A105 </t>
  </si>
  <si>
    <t xml:space="preserve">MEIA LUVA 3000 NPT 1.1/2 A105 </t>
  </si>
  <si>
    <t xml:space="preserve">MEIA LUVA 3000 NPT 2.1/2 A105 </t>
  </si>
  <si>
    <t xml:space="preserve">MEIA LUVA 3000 NPT 3/4 A105 </t>
  </si>
  <si>
    <t xml:space="preserve">MEIA LUVA 3000 SW 1 A105 </t>
  </si>
  <si>
    <t xml:space="preserve">MEIA LUVA 3000 SW 2 A105 </t>
  </si>
  <si>
    <t xml:space="preserve">MEIA LUVA 3000 SW 1/2 A105 </t>
  </si>
  <si>
    <t xml:space="preserve">MEIA LUVA 3000 SW 1.1/2 A105 </t>
  </si>
  <si>
    <t xml:space="preserve">MEIA LUVA 3000 SW 3/4 A105 </t>
  </si>
  <si>
    <t xml:space="preserve">MEIA LUVA 6000 NPT 1 A105 </t>
  </si>
  <si>
    <t xml:space="preserve">MEIA LUVA 6000 NPT 1/2 A105 </t>
  </si>
  <si>
    <t xml:space="preserve">MEIA LUVA 6000 NPT 3/4 A105 </t>
  </si>
  <si>
    <t xml:space="preserve">MEIA LUVA 6000 SW 1 A105 </t>
  </si>
  <si>
    <t xml:space="preserve">MEIA LUVA 6000 SW 1/2 A105 </t>
  </si>
  <si>
    <t xml:space="preserve">MEIA LUVA 6000 SW 1.1/2 A105 </t>
  </si>
  <si>
    <t xml:space="preserve">MEIA LUVA 6000 SW 3/4 A105 </t>
  </si>
  <si>
    <t xml:space="preserve">MEIA LUVA 9000 SW 1 A105 </t>
  </si>
  <si>
    <t xml:space="preserve">MEIA LUVA 9000 SW 1/2 A105 </t>
  </si>
  <si>
    <t xml:space="preserve">MEIA LUVA 9000 SW 1.1/2 A105 </t>
  </si>
  <si>
    <t xml:space="preserve">LUVA RED. 3000 NPT 1X3/4 A105 </t>
  </si>
  <si>
    <t xml:space="preserve">LUVA RED. 3000 NPT 2X1 A105 </t>
  </si>
  <si>
    <t xml:space="preserve">LUVA RED. 3000 NPT 2X1/2 A105 </t>
  </si>
  <si>
    <t xml:space="preserve">LUVA RED. 3000 NPT 2X1.1/2 A105 </t>
  </si>
  <si>
    <t xml:space="preserve">LUVA RED. 3000 NPT 2X3/4 A105 </t>
  </si>
  <si>
    <t xml:space="preserve">LUVA RED. 3000 NPT 1.1/2X1/2 A105 </t>
  </si>
  <si>
    <t xml:space="preserve">LUVA RED. 3000 NPT 1.1/2X3/4 A105 </t>
  </si>
  <si>
    <t xml:space="preserve">LUVA RED. 3000 NPT 3/4X1/2 A105 </t>
  </si>
  <si>
    <t xml:space="preserve">LUVA RED. 3000 SW/NPT 3/4X1/2 A105 </t>
  </si>
  <si>
    <t xml:space="preserve">LUVA RED. 3000 SW 1X1/2 A105 </t>
  </si>
  <si>
    <t xml:space="preserve">LUVA RED. 3000 SW 1X3/4 A105 </t>
  </si>
  <si>
    <t xml:space="preserve">LUVA RED. 3000 SW 2X1 A105 </t>
  </si>
  <si>
    <t xml:space="preserve">LUVA RED. 3000 SW 2X1.1/2 A105 </t>
  </si>
  <si>
    <t xml:space="preserve">LUVA RED. 3000 SW 1.1/2X1/2 A105 </t>
  </si>
  <si>
    <t xml:space="preserve">LUVA RED. 3000 SW 2.1/2X2 A105 </t>
  </si>
  <si>
    <t xml:space="preserve">LUVA RED. 3000 SW 3/4X1/2 A105 </t>
  </si>
  <si>
    <t xml:space="preserve">LUVA RED. 3000 GALV. FOGO NPT 1X3/4 A105 </t>
  </si>
  <si>
    <t xml:space="preserve">LUVA RED. 3000 GALV. FOGO NPT 3/4X1/2 A105 </t>
  </si>
  <si>
    <t xml:space="preserve">LUVA RED. 6000 NPT 1X3/4 A105 </t>
  </si>
  <si>
    <t xml:space="preserve">LUVA RED. 6000 SW/NPT 1X1/2 A105 </t>
  </si>
  <si>
    <t xml:space="preserve">LUVA RED. 6000 SW/NPT 3/4X1/2 A105 </t>
  </si>
  <si>
    <t xml:space="preserve">LUVA RED. 6000 SW 1X1/2 A105 </t>
  </si>
  <si>
    <t xml:space="preserve">LUVA RED. 6000 SW 1X3/4 A105 </t>
  </si>
  <si>
    <t xml:space="preserve">LUVA RED. 6000 SW 1.1/2X1 A105 </t>
  </si>
  <si>
    <t xml:space="preserve">LUVA RED. 6000 SW 1.1/2X3/4 A105 </t>
  </si>
  <si>
    <t xml:space="preserve">LUVA RED. 6000 SW 3/4X1/2 A105 </t>
  </si>
  <si>
    <t xml:space="preserve">TE 3000 GV.FOGO NPT 1 A105 </t>
  </si>
  <si>
    <t xml:space="preserve">TE 3000 GV.FOGO NPT 2X3/4 A105 </t>
  </si>
  <si>
    <t xml:space="preserve">TE 3000 GV.FOGO NPT 2X1 A105 </t>
  </si>
  <si>
    <t xml:space="preserve">TE 3000 GV.FOGO NPT 1/2 A105 </t>
  </si>
  <si>
    <t xml:space="preserve">TE 3000 GV.FOGO NPT 3/4 A105 </t>
  </si>
  <si>
    <t xml:space="preserve">TE 3000 NPT 2 A105 </t>
  </si>
  <si>
    <t xml:space="preserve">TE 3000 NPT 1X3/4 A105 </t>
  </si>
  <si>
    <t xml:space="preserve">TE 3000 NPT 3X2 A105 </t>
  </si>
  <si>
    <t xml:space="preserve">TE 3000 NPT 1/2 A105 </t>
  </si>
  <si>
    <t xml:space="preserve">TE 3000 NPT 1.1/2 A105 </t>
  </si>
  <si>
    <t xml:space="preserve">TE 3000 NPT 3/4 A105 </t>
  </si>
  <si>
    <t xml:space="preserve">TE 3000 NPT 1.1/2X3/4 A105 </t>
  </si>
  <si>
    <t xml:space="preserve">TE 3000 NPT 1.1/2X1 A105 </t>
  </si>
  <si>
    <t xml:space="preserve">TE 3000 NPT 3/4X1/2 A105 </t>
  </si>
  <si>
    <t xml:space="preserve">TE 3000 SW 1 A105 </t>
  </si>
  <si>
    <t xml:space="preserve">TE 3000 SW 1X1/2 A105 </t>
  </si>
  <si>
    <t xml:space="preserve">TE 3000 SW 2X3/4 A105 </t>
  </si>
  <si>
    <t xml:space="preserve">TE 3000 SW 2X1 A105 </t>
  </si>
  <si>
    <t xml:space="preserve">TE 3000 SW 1/2 A105 </t>
  </si>
  <si>
    <t xml:space="preserve">TE 3000 SW 1.1/2 A105 </t>
  </si>
  <si>
    <t xml:space="preserve">TE 3000 SW 2.1/2 A105 </t>
  </si>
  <si>
    <t xml:space="preserve">TE 3000 SW 3/4 A105 </t>
  </si>
  <si>
    <t xml:space="preserve">TE 3000 SW 1.1/2X1/2 A105 </t>
  </si>
  <si>
    <t xml:space="preserve">TE 3000 SW 1.1/2X3/4 A105 </t>
  </si>
  <si>
    <t xml:space="preserve">TE 3000 SW 1.1/2X1 A105 </t>
  </si>
  <si>
    <t xml:space="preserve">TE 3000 SW 3/4X1/2 A105 </t>
  </si>
  <si>
    <t xml:space="preserve">TE 6000 NPT 1 A105 </t>
  </si>
  <si>
    <t xml:space="preserve">TE 6000 NPT 1/2 A105 </t>
  </si>
  <si>
    <t xml:space="preserve">TE 6000 SW 1 A105 </t>
  </si>
  <si>
    <t xml:space="preserve">TE 6000 SW 1X1/2 A105 </t>
  </si>
  <si>
    <t xml:space="preserve">TE 6000 SW 1X3/4 A105 </t>
  </si>
  <si>
    <t xml:space="preserve">TE 6000 SW 1.1/2 A105 </t>
  </si>
  <si>
    <t xml:space="preserve">TE 6000 SW 3/4 A105 </t>
  </si>
  <si>
    <t xml:space="preserve">TE 6000 SW 1.1/2X1 A105 </t>
  </si>
  <si>
    <t xml:space="preserve">TE 6000 SW 3/4X1/2 A105 </t>
  </si>
  <si>
    <t xml:space="preserve">UNIAO ASS BRONZE 3000 SW DN 1.1/2 A105 </t>
  </si>
  <si>
    <t xml:space="preserve">UNIAO ASS INTEGRAL 3000 GV.FOGO NPT DN 1/2 A105 </t>
  </si>
  <si>
    <t xml:space="preserve">UNIAO ASS INTEGRAL 3000 GV.FOGO NPT DN 1.1/2 A105 </t>
  </si>
  <si>
    <t xml:space="preserve">UNIAO ASS INTEGRAL 3000 NPT DN 1/2 A105 </t>
  </si>
  <si>
    <t xml:space="preserve">UNIAO ASS INTEGRAL 3000 SW DN 1 A105 </t>
  </si>
  <si>
    <t xml:space="preserve">LUVA RED. 6000 NPT 3/4X1/2 A105 </t>
  </si>
  <si>
    <t xml:space="preserve">Maquina - 5L64-A2-38.4X10-5-IPEX                            </t>
  </si>
  <si>
    <t xml:space="preserve">Maquina - 5L16-A10-9.6X10-5-IPEX                            </t>
  </si>
  <si>
    <t xml:space="preserve">Maquina - BAND SAWING MACHINE GH4270 </t>
  </si>
  <si>
    <t xml:space="preserve">Maquina - 2M ELECTRIC FEEDER BED </t>
  </si>
  <si>
    <t xml:space="preserve">Maquina - TOP PRESS FOR BUDLE CUTTING </t>
  </si>
  <si>
    <t xml:space="preserve">Maquina - WHEEL COVER OPENING PROTECTION </t>
  </si>
  <si>
    <t xml:space="preserve">Maquina - SAW BLADE BROKER PROTECTION </t>
  </si>
  <si>
    <t xml:space="preserve">Maquina - FAST DOWN PROTECTION DEVISE </t>
  </si>
  <si>
    <t xml:space="preserve">Maquina - SAW BLADE COVER PROTECTION </t>
  </si>
  <si>
    <t xml:space="preserve">Maquina - OPEN ELECTRIC BOX POWER OFF </t>
  </si>
  <si>
    <t xml:space="preserve">Maquina - SAW BLADE HYDRAULIC TENSION </t>
  </si>
  <si>
    <t xml:space="preserve">Maquina - ELECTRIC CHIP CONVEYOR </t>
  </si>
  <si>
    <t xml:space="preserve">Maquina - SAW BLADE VARIABLE SPEED </t>
  </si>
  <si>
    <t xml:space="preserve">Maquina - SCHNEIDER ELECTRIC COMPONENTS </t>
  </si>
  <si>
    <t xml:space="preserve">Maquina - M42 SAW BLADE FOR CARBON STEEL </t>
  </si>
  <si>
    <t xml:space="preserve">Maquina - SAW BLADE FOR STAINLESS STEEL </t>
  </si>
  <si>
    <t>PESO (kg)</t>
  </si>
  <si>
    <t>Chegada no porto 07/04; PO embarcada</t>
  </si>
  <si>
    <t>UPS; Maquinas solicitadas pelo Glauber</t>
  </si>
  <si>
    <t>Material pronto</t>
  </si>
  <si>
    <t>ITEM EM HOLD; Ag. Cancelamento em comum acordo com a PB</t>
  </si>
  <si>
    <t xml:space="preserve">RED. EXC. 40S/40S 4X3 WPS316/L </t>
  </si>
  <si>
    <t xml:space="preserve">COLAR SOCKOLET 3000 SW 2X3/4 F316/L </t>
  </si>
  <si>
    <t xml:space="preserve">LR30SW0033/4021          </t>
  </si>
  <si>
    <t xml:space="preserve">LUVA RED. 3000 SW 3X3/4 F321                      </t>
  </si>
  <si>
    <t>Embarcado; Ag. Embarque ;Fornecedor entrega material 30/03</t>
  </si>
  <si>
    <t>ORIGEM ENERGIA</t>
  </si>
  <si>
    <t>Embarcado; Booking; Entrega em 26/03</t>
  </si>
  <si>
    <t xml:space="preserve">Ag. Confirmação do pedido </t>
  </si>
  <si>
    <t>OS vinculada</t>
  </si>
  <si>
    <t>CONC RED. 120/120 10X6 WPHY52</t>
  </si>
  <si>
    <t>CONC RED. STD(40) / STD(40) 8X4 MSS SP 75 WPHY52</t>
  </si>
  <si>
    <t>CONC RED. 10S/10S 5X2 WPS316/L</t>
  </si>
  <si>
    <t xml:space="preserve">CONC RED.. 40S/40S 10X6 WPS316/L                  </t>
  </si>
  <si>
    <t>CONC RED.. 40S/40S 12X8 WPS316/L</t>
  </si>
  <si>
    <t xml:space="preserve">CONC RED.. 120(1,219) / XXS(120) 16X12 WP22 </t>
  </si>
  <si>
    <t xml:space="preserve">CONC RED.. 40S/40S 4X2 WPS316/L                   </t>
  </si>
  <si>
    <t>CONC RED.. XS/STD 16X10 WP11</t>
  </si>
  <si>
    <t xml:space="preserve">CONC RED.. STD(40) / STD(40) 2X1.1/4 WPB </t>
  </si>
  <si>
    <t xml:space="preserve">CONC RED.. STD(40) / STD(40) 3X2 WPB </t>
  </si>
  <si>
    <t xml:space="preserve">CONC RED.. STD(40) / STD(40) 3X2.1/2 WPB </t>
  </si>
  <si>
    <t xml:space="preserve">CONC RED.. STD(40) / STD(40) 4X2 WPB </t>
  </si>
  <si>
    <t xml:space="preserve">CONC RED.. STD(40) / STD(40) 4X3 WPB </t>
  </si>
  <si>
    <t xml:space="preserve">CONC RED.. STD(40) / STD(40) 4X2.1/2 WPB </t>
  </si>
  <si>
    <t xml:space="preserve">CONC RED.. STD(40) / STD(40) 6X3 WPB </t>
  </si>
  <si>
    <t xml:space="preserve">CONC RED.. STD(40) / STD(40) 6X4 WPB </t>
  </si>
  <si>
    <t xml:space="preserve">CONC RED.. STD(40) / STD(40) 8X6 WPB </t>
  </si>
  <si>
    <t xml:space="preserve">CONC RED.. STD(40) / STD(40) 10X4 WPB </t>
  </si>
  <si>
    <t xml:space="preserve">CONC RED.. STD(40) / STD(40) 10X6 WPB </t>
  </si>
  <si>
    <t xml:space="preserve">CONC RED.. STD(40) / STD(40) 10X8 WPB </t>
  </si>
  <si>
    <t xml:space="preserve">CONC RED.. STD(30) / STD(40) 14X8 WPB </t>
  </si>
  <si>
    <t xml:space="preserve">CONC RED.. STD(30) / STD(40) 14X10 WPB </t>
  </si>
  <si>
    <t xml:space="preserve">CONC RED.. STD(30) / STD(0,375) 14X12 WPB </t>
  </si>
  <si>
    <t xml:space="preserve">CONC RED.. STD(30) / STD(40) 16X8 WPB </t>
  </si>
  <si>
    <t xml:space="preserve">CONC RED.. STD(30) / STD(40) 16X10 WPB </t>
  </si>
  <si>
    <t xml:space="preserve">CONC RED.. STD(30) / STD(30) 16X14 WPB </t>
  </si>
  <si>
    <t xml:space="preserve">CONC RED.. STD(0,375) / STD(30) 18X16 WPB </t>
  </si>
  <si>
    <t xml:space="preserve">CONC RED.. STD(20) / STD(0,375) 20X12 WPB </t>
  </si>
  <si>
    <t xml:space="preserve">CONC RED.. STD(20) / STD(20) 24X20 WPB </t>
  </si>
  <si>
    <t xml:space="preserve">CONC RED.. 160(0,438) / 160(0,344) 3X2 WPB </t>
  </si>
  <si>
    <t xml:space="preserve">CONC RED.. XS(80) / XS(80) 1X3/4 WPB </t>
  </si>
  <si>
    <t xml:space="preserve">CONC RED.. XS(80) / XS(80) 2X1.1/2 WPB </t>
  </si>
  <si>
    <t xml:space="preserve">CONC RED.. XS(80) / XS(80) 3X2 WPB </t>
  </si>
  <si>
    <t xml:space="preserve">CONC RED.. XS(80) / XS(80) 4X2 WPB </t>
  </si>
  <si>
    <t xml:space="preserve">CONC RED.. XS(80) / XS(80) 4X3 WPB </t>
  </si>
  <si>
    <t xml:space="preserve">CONC RED.. XS(80) / XS(80) 6X3 WPB </t>
  </si>
  <si>
    <t xml:space="preserve">CONC RED.. XS(80) / XS(80) 6X4 WPB </t>
  </si>
  <si>
    <t xml:space="preserve">CONC RED.. XS(80) / XS(80) 8X4 WPB </t>
  </si>
  <si>
    <t xml:space="preserve">CONC RED.. XS(80) / XS(80) 8X6 WPB </t>
  </si>
  <si>
    <t xml:space="preserve">CONC RED.. XS(80) / XS(80) 1.1/2X1 WPB </t>
  </si>
  <si>
    <t xml:space="preserve">CONC RED.. XS(80) / XS(80) 2.1/2X2 WPB </t>
  </si>
  <si>
    <t xml:space="preserve">CONC RED.. XS(80) / XS(80) 3/4X1/2 WPB </t>
  </si>
  <si>
    <t xml:space="preserve">CONC RED.. 80(0,594) / XS(80) 10X8 WPB </t>
  </si>
  <si>
    <t xml:space="preserve">CONC RED.. 80(0,688) / 80(0,594) 12X10 WPB </t>
  </si>
  <si>
    <t xml:space="preserve">Ag. embarque;Inspeção liberada 08/04;  Ag. Confirmação de prontidão; Ag. Confirmação de porto para shanghai </t>
  </si>
  <si>
    <t>Entrega em 40 dias = 30/05; Prexx pagou em 15/04 ao fornecedor</t>
  </si>
  <si>
    <t>165.272</t>
  </si>
  <si>
    <t>Retirmaos da PO 001.552; Feriado chinês</t>
  </si>
  <si>
    <t>001.636</t>
  </si>
  <si>
    <t>A105JRXS0318A1N</t>
  </si>
  <si>
    <t>CONSORCIO GAVIÃO</t>
  </si>
  <si>
    <t xml:space="preserve">FLANGE WN 5M RTJ XS DN 3.1/8 A105N </t>
  </si>
  <si>
    <t>RCYY006318WPBS</t>
  </si>
  <si>
    <t>165.273</t>
  </si>
  <si>
    <t xml:space="preserve">RCYY006318WPBS           </t>
  </si>
  <si>
    <t xml:space="preserve">CONC RED. 80/80 6X3.1/8 WPB                      </t>
  </si>
  <si>
    <t>FLANGE SLIP-ON 150 RFE DN 24 A105N</t>
  </si>
  <si>
    <t>Status Embarque</t>
  </si>
  <si>
    <t>COMPLEXO DE ENERGIA</t>
  </si>
  <si>
    <t>Booking;Chegada no armazem 15/04;Entrega em 10/04; entrega em 20 a 30 dias = 26/03</t>
  </si>
  <si>
    <t>Em ProduçãoAg. Confirmação de prontidão ;</t>
  </si>
  <si>
    <t xml:space="preserve">Em Produção;Ag. Confirmação de prontidão </t>
  </si>
  <si>
    <t>Ag. Confirmação de entrega para 30/04; Previsão de entrega 30/04</t>
  </si>
  <si>
    <t>Preço revisado ok</t>
  </si>
  <si>
    <t>Ag. Confirmação de antecipação para 30/04; Entrega antes do dia 10/05; Ag. Confirmação de valores e Proforma</t>
  </si>
  <si>
    <t>Ag. Antecipação para 30/04; Pedimos entrega até 10/05 e solicitamos antecipação ;Entrega em Maio;Cronograma de entrega p/ Abril cheia</t>
  </si>
  <si>
    <t>Pedimos entrega até 30/04;Fornecedor ag. Pagamento;Pedimos entrega começo de Maio; Entrega em Maio;Cronograma de entrega p/ Abril cheia</t>
  </si>
  <si>
    <t xml:space="preserve">Ag. Confirmação de entrega para 30/04. </t>
  </si>
  <si>
    <t xml:space="preserve">Em produção </t>
  </si>
  <si>
    <t xml:space="preserve">Embarque com a 001.622 se ficarem prontas juntas </t>
  </si>
  <si>
    <t>Cobramos confirmação de entrega para 29/04;Pagamento feito 18/04;Entrega e inspeção para 29/04</t>
  </si>
  <si>
    <t>Inspeção liberada; Ag. Confirmação de entrega para 20/04; Cobramos entrega para 20/04;Ag. Confirmação de entrega para 20/04; Entrega para antes do dia 20/04; Confirmação de entrega para 14/04</t>
  </si>
  <si>
    <t>CODE</t>
  </si>
  <si>
    <t>Solicitamos frete aereo por parte do fornecedor; Feriado chinês</t>
  </si>
  <si>
    <t xml:space="preserve">Solicitamos frete aereo por parte do fornecedor; Pedimos antecipação para atender prazo cliente; Verificando aereo; Ag. Confirmação de entrega; Entrega após o feriado </t>
  </si>
  <si>
    <t>CE15MJR212A1N</t>
  </si>
  <si>
    <t>Item adicionado em 20/04; BC informou um aumento de 5% nos itens, negociamos valores</t>
  </si>
  <si>
    <t>001.637</t>
  </si>
  <si>
    <t>REQW014008WPBS</t>
  </si>
  <si>
    <t>RCWW012008WPBS</t>
  </si>
  <si>
    <t xml:space="preserve">COLAR WELDOLET XS 8X2 A105                        </t>
  </si>
  <si>
    <t>COLAR SOCKOLET 3000 SW 2X1 A105</t>
  </si>
  <si>
    <t xml:space="preserve">RED. EXC. 10(0,250) / 20(0,250) 14X8 WPB          </t>
  </si>
  <si>
    <t>CONC RED.  20(0,250) / 20(0,250) 12X8 WPB</t>
  </si>
  <si>
    <t>Dados para coleta UPS 22/04; Retiramos da PO 001.552 para vir aereo;Prioridade na produção; Entrega final de abril - Pedimos entrega para 25/03</t>
  </si>
  <si>
    <t>TE 6000 SW 1/2 A105</t>
  </si>
  <si>
    <t>COUPLING RED. 3000 SW 3X3/4 F321</t>
  </si>
  <si>
    <t>ELBOW 90 9000 SW 1 A105</t>
  </si>
  <si>
    <t>UNION INTEGRAL 3000 HDG NPT DN 3/4 A105</t>
  </si>
  <si>
    <t>DESCRIPTION</t>
  </si>
  <si>
    <t>Pedimos para o fornecedor arcar com aereo;Pedimos antecipação;Entrega no Meio de Maio; Fornecedor só produziu após o pgmto do antecipado 10/03</t>
  </si>
  <si>
    <t>Chegada no porto em 16/04;PO embarcada</t>
  </si>
  <si>
    <t xml:space="preserve">Booking ; Material pronto em 10/03 </t>
  </si>
  <si>
    <t>Booking ; Material entregue no porto em 19/04; Material pronto em 25/03 ; Termino da produção em 15 dias  = 25/03</t>
  </si>
  <si>
    <t>Entrega no warehouse em 25/04; Material coletado em 19/04</t>
  </si>
  <si>
    <t xml:space="preserve">Booking; material no porto  </t>
  </si>
  <si>
    <t xml:space="preserve">Booking; Material liberado sem Pagamento em 20/04 ; Material pronto 10/04 ;Entrega em 10/04; </t>
  </si>
  <si>
    <t>Booking; Material entegu no porto em 18/04; Entrega em 04/04</t>
  </si>
  <si>
    <t>Pedimos confirmação de prontidão; Cobramos entrega para 25/04; Entrega em 10/05; Pagamento feito 07/03</t>
  </si>
  <si>
    <t>Pedimos antecipação para 30/04;Entrega em 10/05;Ag. Confirmação de prontidão - Pedimos entrega para 25/03</t>
  </si>
  <si>
    <t>Pedimos antecipação para 25/04;Entrega após o dia 15/05; Pedimos entrega para 20/04; Ag. Confirmação de valores</t>
  </si>
  <si>
    <t>Desenho confirmado em 20/04Desenho enviado em 19/04;</t>
  </si>
  <si>
    <t>Pedimos antecipação para 25/04;Entrega após o dia 15/05; Desenho aprovado em 20/04; Pedimos entrega para 20/04; Ag. Confirmação de valores</t>
  </si>
  <si>
    <t>Ag. Cronograma de produção;Pedimos entrega para 20/04, max 25/04;</t>
  </si>
  <si>
    <t xml:space="preserve">Ag. Confirmação de preço Radha; Ag. Confirmação do pedido </t>
  </si>
  <si>
    <t>Ag. Cronograma de produção;Ag. Confirmação de preço Radha;Pedimos entrega para 20/04, max 25/04;</t>
  </si>
  <si>
    <t>001.639</t>
  </si>
  <si>
    <t>WN150RE01014A1N</t>
  </si>
  <si>
    <t>WN150RE01018A1N</t>
  </si>
  <si>
    <t>WN150RE01020A1N</t>
  </si>
  <si>
    <t>WN150RE02010A1N</t>
  </si>
  <si>
    <t>WN150RE02012A1N</t>
  </si>
  <si>
    <t>WN150RE08010A1N</t>
  </si>
  <si>
    <t>WN150RE16004A1N</t>
  </si>
  <si>
    <t>WN150RE16006A1N</t>
  </si>
  <si>
    <t>WN150RE16112A1N</t>
  </si>
  <si>
    <t>WN150REST012A1N</t>
  </si>
  <si>
    <t>WN150REST018A1N</t>
  </si>
  <si>
    <t>WN150REST020A1N</t>
  </si>
  <si>
    <t>WN150REST212A1N</t>
  </si>
  <si>
    <t>WN150REXS003A1N</t>
  </si>
  <si>
    <t>WN150REXS014A1N</t>
  </si>
  <si>
    <t>WN150REXS020A1N</t>
  </si>
  <si>
    <t>WN150REXS024A1N</t>
  </si>
  <si>
    <t>WN150REXS112A1N</t>
  </si>
  <si>
    <t>WN150REXS212A1N</t>
  </si>
  <si>
    <t>WN15MJR16002A1N</t>
  </si>
  <si>
    <t>WN15MJRXS002A1N</t>
  </si>
  <si>
    <t>WN15MRXXX001A1N</t>
  </si>
  <si>
    <t>WN15MRXXX002A1N</t>
  </si>
  <si>
    <t>WN15MRXXX003A1N</t>
  </si>
  <si>
    <t>WN15MRXXX004A1N</t>
  </si>
  <si>
    <t>WN15MRXXX006A1N</t>
  </si>
  <si>
    <t>WN15MRXXX3/4A1N</t>
  </si>
  <si>
    <t>WN300RE08014A1N</t>
  </si>
  <si>
    <t>WN300RE16002A1N</t>
  </si>
  <si>
    <t>WN300RE16003A1N</t>
  </si>
  <si>
    <t>WN300REST002A1N</t>
  </si>
  <si>
    <t>WN300REST004A1N</t>
  </si>
  <si>
    <t>WN300REST006A1N</t>
  </si>
  <si>
    <t>WN300REST008A1N</t>
  </si>
  <si>
    <t>WN300REST010A1N</t>
  </si>
  <si>
    <t>WN300REST012A1N</t>
  </si>
  <si>
    <t>WN300REST014A1N</t>
  </si>
  <si>
    <t>WN300REXS001A1N</t>
  </si>
  <si>
    <t>WN300REXS006A1N</t>
  </si>
  <si>
    <t>WN300REXS010A1N</t>
  </si>
  <si>
    <t>WN300REXS016A1N</t>
  </si>
  <si>
    <t>WN600JRXS003A1N</t>
  </si>
  <si>
    <t>WN600JRXS004A1N</t>
  </si>
  <si>
    <t>WN600RE08010A1N</t>
  </si>
  <si>
    <t>WN600REST004A1N</t>
  </si>
  <si>
    <t>WN600REXS002A1N</t>
  </si>
  <si>
    <t>WN600REXS003A1N</t>
  </si>
  <si>
    <t>WN600REXS004A1N</t>
  </si>
  <si>
    <t>WN600REXS006A1N</t>
  </si>
  <si>
    <t>WN600REXS008A1N</t>
  </si>
  <si>
    <t>WN600RX16008A1N</t>
  </si>
  <si>
    <t xml:space="preserve">WN600RX16012A1N </t>
  </si>
  <si>
    <t>WN600RXXX001A1N</t>
  </si>
  <si>
    <t>WN600RXXX002A1N</t>
  </si>
  <si>
    <t>WN600RXXX004A1N</t>
  </si>
  <si>
    <t>WN600RXXX212A1N</t>
  </si>
  <si>
    <t>WN900RXXX004A1N</t>
  </si>
  <si>
    <t>WN900RXXX012A1N</t>
  </si>
  <si>
    <t>20%; 80%</t>
  </si>
  <si>
    <t>FLANGE WN 150 RFE SCH 10 DN 14 A105N</t>
  </si>
  <si>
    <t>FLANGE WN 150 RFE SCH 10(0,250) 16 A105N</t>
  </si>
  <si>
    <t>FLANGE WN 150 RFE SCH10(0,250) DN 18 A105N</t>
  </si>
  <si>
    <t>FLANGE WN 150 RFE SCH 10(0,250) DN 20 A105N</t>
  </si>
  <si>
    <t>FLANGE WN 150 RFE SCH 20 DN 10 A105N</t>
  </si>
  <si>
    <t>FLANGE WN 150 RFE SCH 20(0,250) DN 12 A105N</t>
  </si>
  <si>
    <t>FLANGE WN 150 RFE 80 10 A105N</t>
  </si>
  <si>
    <t>FLANGE WN 150 RFE 160 4 A105N</t>
  </si>
  <si>
    <t>FLANGE WN 150 RFE 160 6 A105N</t>
  </si>
  <si>
    <t>FLANGE WN 150 RFE 160 DN 1.1/2 A105N</t>
  </si>
  <si>
    <t>FLANGE WN 150 RFE STD 8 A105N</t>
  </si>
  <si>
    <t>FLANGE WN 150 RFE STD 10 A105N</t>
  </si>
  <si>
    <t>FLANGE WN 150 RFE STD 12 A105N</t>
  </si>
  <si>
    <t>FLANGE WN 150 RFE STD(0,375) DN 18 A105N</t>
  </si>
  <si>
    <t>FLANGE WN 150 RFE STD/20(0,375) DN 20 A105N</t>
  </si>
  <si>
    <t>FLANGE WN 150 RFE STD 2.1/2 A105N</t>
  </si>
  <si>
    <t>FLANGE WN 150 RFE XS 3 A105N</t>
  </si>
  <si>
    <t>FLANGE WN 150 RFE XS 14 A105N</t>
  </si>
  <si>
    <t>FLANGE WN 150 RFE XS 20 A105N</t>
  </si>
  <si>
    <t>FLANGE WN 150 RFE XS(0,500) DN 24 A105N</t>
  </si>
  <si>
    <t>FLANGE WN 150 RFE XS 1.1/2 A105N</t>
  </si>
  <si>
    <t>FLANGE WN 150 RFE XS DN 2.1/2 A105N</t>
  </si>
  <si>
    <t>FLANGE WN 300 RFE SCH 80(0,750) DN 14 A105N</t>
  </si>
  <si>
    <t>FLANGE WN 300 RFE 160 2 A105N</t>
  </si>
  <si>
    <t>FLANGE WN 300 RFE 160 3 A105N</t>
  </si>
  <si>
    <t>FLANGE WN 300 RFE STD 2 A105N</t>
  </si>
  <si>
    <t>FLANGE WN 300 RFE STD 3 A105N</t>
  </si>
  <si>
    <t>FLANGE WN 300 RFE STD 4 A105N</t>
  </si>
  <si>
    <t>FLANGE WN 300 RFE STD 6 A105N</t>
  </si>
  <si>
    <t>FLANGE WN 300 RFE STD 8 A105N</t>
  </si>
  <si>
    <t>FLANGE WN 300 RFE STD/40(0,365) DN 10 A105N</t>
  </si>
  <si>
    <t>FLANGE WN 300 RFE STD(0,375) DN 12 A105N</t>
  </si>
  <si>
    <t>FLANGE WN 300 RFE STD/30(0,375) DN 14 A105N</t>
  </si>
  <si>
    <t>FLANGE WN 300 RFE XS 1 A105N</t>
  </si>
  <si>
    <t>FLANGE WN 300 RFE XS 6 A105N</t>
  </si>
  <si>
    <t>FLANGE WN 300 RFE XS/80(0,500) DN 8 A105N</t>
  </si>
  <si>
    <t>FLANGE WN 300 RFE XS/60(0,500) DN 10 A105N</t>
  </si>
  <si>
    <t>FLANGE WN 300 RFE XS(0,500) DN 16 A105N</t>
  </si>
  <si>
    <t>FLANGE WN 600 RFE SCH 80(0,594) DN 10 A105N</t>
  </si>
  <si>
    <t>FLANGE WN 600 RFE STD DN 4 A105N</t>
  </si>
  <si>
    <t>FLANGE WN 600 RFE XS DN 2 A105N</t>
  </si>
  <si>
    <t>FLANGE WN 600 RFE XS DN 3 A105N</t>
  </si>
  <si>
    <t>FLANGE WN 600 RFE XS/80(0,377) DN 4 A105N</t>
  </si>
  <si>
    <t>FLANGE WN 600 RFE XS/80(0,432) DN 6 A105N</t>
  </si>
  <si>
    <t>FLANGE WN 600 RFE XS/80(0,500) DN 8 A105N</t>
  </si>
  <si>
    <t>NO BEVEL / NO GROOVE</t>
  </si>
  <si>
    <t xml:space="preserve">FLANGE CEGO 600 RTJ DN 12 F316/L                  </t>
  </si>
  <si>
    <t xml:space="preserve">FLANGE WN 2500 RTJ 160 3 F22                      </t>
  </si>
  <si>
    <t xml:space="preserve">FLANGE WN 600 RTJ SCH 80S DN 3 F347 </t>
  </si>
  <si>
    <t xml:space="preserve">FLANGE CEGO 600 RTJ DN 3 F316/L </t>
  </si>
  <si>
    <t xml:space="preserve">FLANGE CEGO 600 RTJ DN 6 F316/L </t>
  </si>
  <si>
    <t xml:space="preserve">FLANGE SW 600 RTJ SCH 40S DN 3/4 F321 </t>
  </si>
  <si>
    <t xml:space="preserve">FLANGE WN 1500 RTJ SCH 160 DN 6 A105N             </t>
  </si>
  <si>
    <t xml:space="preserve">FLANGE CEGO 2500 RTJ DN 8 A694 F70                </t>
  </si>
  <si>
    <t xml:space="preserve">FLANGE CEGO 1500 RTJ DN 2.1/2 F304/L              </t>
  </si>
  <si>
    <t xml:space="preserve">FLANGE CEGO 600 RTJ DN 4 F316/L </t>
  </si>
  <si>
    <t>FLANGE CEGO 900/1500 RTJ DN 2.1/2 A105 NORM.</t>
  </si>
  <si>
    <t>FLANGE WN 1500 RTJ SCH 160 DN 2 A105N</t>
  </si>
  <si>
    <t>FLANGE WN 1500 RTJ XS DN 2 A105N</t>
  </si>
  <si>
    <t>FLANGE WN 1500 RTJ SBC XXS DN 1 A105N</t>
  </si>
  <si>
    <t>FLANGE WN 1500 RTJ SBC XXS DN 2 A105N</t>
  </si>
  <si>
    <t>FLANGE WN 1500 RTJ SBC XXS DN 3 A105N</t>
  </si>
  <si>
    <t>FLANGE WN 1500 RTJ SBC XXS DN 4 A105N</t>
  </si>
  <si>
    <t>FLANGE WN 1500 RTJ SBC XXS DN 6 A105N</t>
  </si>
  <si>
    <t>FLANGE WN 1500 RTJ SBC XXS DN 3/4 A105N</t>
  </si>
  <si>
    <t>FLANGE WN 600 RTJ XS DN 3 A105N</t>
  </si>
  <si>
    <t>FLANGE WN 600 RTJ XS DN 4 A105N</t>
  </si>
  <si>
    <t>FLANGE WN 600 RTJ SBC SCH 160 DN 8 A105N</t>
  </si>
  <si>
    <t>FLANGE WN 600 RTJ SBC 160 12 A105</t>
  </si>
  <si>
    <t>FLANGE WN 600 RTJ SBC XXS DN 1 A105N</t>
  </si>
  <si>
    <t>FLANGE WN 600 RTJ SBC XXS DN 2 A105N</t>
  </si>
  <si>
    <t>FLANGE WN 600 RTJ SBC XXS DN 4 A105N</t>
  </si>
  <si>
    <t>FLANGE WN 600 RTJ SBC XXS DN 2.1/2 A105N</t>
  </si>
  <si>
    <t>FLANGE WN 900 RTJ SBC XXS DN 4 A105N</t>
  </si>
  <si>
    <t>FLANGE WN 900 RTJ SBC XXS DN 12 A105N</t>
  </si>
  <si>
    <t>SIM - 15/04</t>
  </si>
  <si>
    <t>Pedimos antecipação para final de Abril; Entrega 20/05; Pedimos prioridade na produção do item ;Entrega em 40 dias após o pagamento da PO antiga</t>
  </si>
  <si>
    <t>Pedimos antecipação para começo de Maio; Entrega 20/05 ;Entrega em 40 dias após o pagamento da PO antiga</t>
  </si>
  <si>
    <t>Pedimos antecipação para final de Abril; Entrega para 20/05</t>
  </si>
  <si>
    <t>Em produção</t>
  </si>
  <si>
    <t>Ag. Confirmação de entrega para 10/05</t>
  </si>
  <si>
    <t>Ag. Confirmação de entrega para 07/05</t>
  </si>
  <si>
    <t>Material coletado pela UPS em 22/04; UPS agendado 22/04 ;Material liberado 14/04;Fornecedor aceitou produzir sem pagamento;Ag. HCI realizar o pagamento;Fornecedor só inicia após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</si>
</sst>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#,##0.0"/>
    <numFmt numFmtId="167" formatCode="[$$-409]#,##0.00"/>
    <numFmt numFmtId="169" formatCode="0.000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rgb="FF0000FF"/>
      <name val="宋体"/>
      <charset val="134"/>
    </font>
    <font>
      <sz val="10"/>
      <color indexed="8"/>
      <name val="Arial"/>
      <family val="2"/>
    </font>
    <font>
      <b/>
      <sz val="14"/>
      <color rgb="FFCC00FF"/>
      <name val="Aptos Narrow"/>
      <family val="2"/>
      <scheme val="minor"/>
    </font>
    <font>
      <b/>
      <sz val="12"/>
      <color rgb="FFCC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宋体"/>
      <charset val="134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7B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F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2" applyNumberFormat="0" applyAlignment="0" applyProtection="0"/>
    <xf numFmtId="0" fontId="17" fillId="14" borderId="13" applyNumberFormat="0" applyAlignment="0" applyProtection="0"/>
    <xf numFmtId="0" fontId="18" fillId="14" borderId="12" applyNumberFormat="0" applyAlignment="0" applyProtection="0"/>
    <xf numFmtId="0" fontId="19" fillId="0" borderId="14" applyNumberFormat="0" applyFill="0" applyAlignment="0" applyProtection="0"/>
    <xf numFmtId="0" fontId="20" fillId="15" borderId="15" applyNumberFormat="0" applyAlignment="0" applyProtection="0"/>
    <xf numFmtId="0" fontId="21" fillId="0" borderId="0" applyNumberFormat="0" applyFill="0" applyBorder="0" applyAlignment="0" applyProtection="0"/>
    <xf numFmtId="0" fontId="2" fillId="16" borderId="16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3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3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center"/>
    </xf>
    <xf numFmtId="44" fontId="2" fillId="0" borderId="0" applyFont="0" applyFill="0" applyBorder="0" applyAlignment="0" applyProtection="0"/>
    <xf numFmtId="0" fontId="2" fillId="0" borderId="0"/>
    <xf numFmtId="0" fontId="24" fillId="0" borderId="0"/>
    <xf numFmtId="0" fontId="2" fillId="0" borderId="0"/>
    <xf numFmtId="167" fontId="2" fillId="0" borderId="0">
      <alignment vertical="center"/>
    </xf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5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5" borderId="0" xfId="0" applyNumberFormat="1" applyFill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5" borderId="0" xfId="0" applyNumberFormat="1" applyFill="1" applyAlignment="1">
      <alignment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43" fontId="1" fillId="9" borderId="1" xfId="6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0" fontId="1" fillId="3" borderId="1" xfId="0" applyFont="1" applyFill="1" applyBorder="1"/>
    <xf numFmtId="1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1" xfId="0" applyNumberFormat="1" applyBorder="1"/>
    <xf numFmtId="0" fontId="1" fillId="4" borderId="0" xfId="0" applyFont="1" applyFill="1" applyAlignment="1">
      <alignment horizontal="center"/>
    </xf>
    <xf numFmtId="0" fontId="20" fillId="41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0" fillId="0" borderId="1" xfId="0" applyNumberFormat="1" applyBorder="1"/>
    <xf numFmtId="169" fontId="0" fillId="0" borderId="0" xfId="0" applyNumberFormat="1"/>
  </cellXfs>
  <cellStyles count="55">
    <cellStyle name="20% - Ênfase1" xfId="25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26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Bom" xfId="12" builtinId="26" customBuiltin="1"/>
    <cellStyle name="Cálculo" xfId="17" builtinId="22" customBuiltin="1"/>
    <cellStyle name="Célula de Verificação" xfId="19" builtinId="23" customBuiltin="1"/>
    <cellStyle name="Célula Vinculada" xfId="18" builtinId="24" customBuiltin="1"/>
    <cellStyle name="Ênfase1" xfId="24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15" builtinId="20" customBuiltin="1"/>
    <cellStyle name="Hiperlink 2" xfId="2" xr:uid="{1C529001-D319-4DE7-83CA-32EF5C8CE906}"/>
    <cellStyle name="Moeda 2" xfId="50" xr:uid="{4CAFAB2C-02B7-479D-9DDC-844F76529A85}"/>
    <cellStyle name="Neutro" xfId="14" builtinId="28" customBuiltin="1"/>
    <cellStyle name="Normal" xfId="0" builtinId="0"/>
    <cellStyle name="Normal 2" xfId="3" xr:uid="{8BA3CC68-CC1A-4CC4-B36F-458730B03B28}"/>
    <cellStyle name="Normal 2 2" xfId="1" xr:uid="{8A391952-423C-459B-A13D-BC079DFF30A9}"/>
    <cellStyle name="Normal 2 3" xfId="52" xr:uid="{7A03F8FB-6C9A-4B1A-92DF-BFFC33F73276}"/>
    <cellStyle name="Normal 3 3" xfId="54" xr:uid="{9F07CBAB-AA70-4525-ACBF-99F963C9C444}"/>
    <cellStyle name="Normal 5" xfId="4" xr:uid="{5A18B6D0-49C4-48C3-AA6E-6C7B728C6FFD}"/>
    <cellStyle name="Normal 5 2 2 2" xfId="53" xr:uid="{E95C75AE-DFC8-493E-9408-45C320CE718C}"/>
    <cellStyle name="Normal 6 2 2" xfId="51" xr:uid="{8AF4356A-4B35-4F24-BA36-BC8A8800BDBD}"/>
    <cellStyle name="Normal 7" xfId="5" xr:uid="{142C8C4A-7883-4EFE-91AB-58E06148B1FD}"/>
    <cellStyle name="Nota" xfId="21" builtinId="10" customBuiltin="1"/>
    <cellStyle name="Ruim" xfId="13" builtinId="27" customBuiltin="1"/>
    <cellStyle name="Saída" xfId="16" builtinId="21" customBuiltin="1"/>
    <cellStyle name="Texto de Aviso" xfId="20" builtinId="11" customBuiltin="1"/>
    <cellStyle name="Texto Explicativo" xfId="22" builtinId="53" customBuiltin="1"/>
    <cellStyle name="Título" xfId="7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otal" xfId="23" builtinId="25" customBuiltin="1"/>
    <cellStyle name="Vírgula 2" xfId="6" xr:uid="{03C7F76D-49B4-4448-8075-CC8AC3169559}"/>
    <cellStyle name="Vírgula 3" xfId="48" xr:uid="{5DBEC646-0839-49D5-9608-36E82ECED2A1}"/>
    <cellStyle name="常规 51 4" xfId="49" xr:uid="{21AD12CB-AC77-4F4B-BAD1-EE8D37CFC29D}"/>
  </cellStyles>
  <dxfs count="17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rgb="FFFFDD71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A67EEE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A67EEE"/>
      <color rgb="FF8E76F2"/>
      <color rgb="FFFFDD71"/>
      <color rgb="FFFE3000"/>
      <color rgb="FFD9FFF2"/>
      <color rgb="FFCCECFF"/>
      <color rgb="FFF3F7BB"/>
      <color rgb="FFF22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portação Hci" id="{8E2DEBD8-C3C6-4899-BFF2-23A067BFBE56}" userId="S::importacao.hcicomercial@hcihidraulica.onmicrosoft.com::41d6b0d8-97ea-4f51-8d85-06715cfeb9c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2-20T11:48:47.96" personId="{8E2DEBD8-C3C6-4899-BFF2-23A067BFBE56}" id="{83DBFADE-28AD-48C8-A52B-3280B91B5572}">
    <text>Qty do pedido de venda</text>
  </threadedComment>
  <threadedComment ref="V2" dT="2026-02-20T11:49:00.39" personId="{8E2DEBD8-C3C6-4899-BFF2-23A067BFBE56}" id="{AAB92A25-1E3E-479A-9685-5AB1B5BEB24F}">
    <text>Qty comprada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CB-2ECA-44E5-89A7-4706D86D00F2}">
  <sheetPr filterMode="1"/>
  <dimension ref="A1:AQ853"/>
  <sheetViews>
    <sheetView tabSelected="1" topLeftCell="O1" zoomScale="80" zoomScaleNormal="80" workbookViewId="0">
      <pane ySplit="2" topLeftCell="A778" activePane="bottomLeft" state="frozen"/>
      <selection activeCell="M1" sqref="M1"/>
      <selection pane="bottomLeft" activeCell="W854" sqref="W854"/>
    </sheetView>
  </sheetViews>
  <sheetFormatPr defaultRowHeight="15"/>
  <cols>
    <col min="1" max="2" width="13.7109375" customWidth="1"/>
    <col min="3" max="3" width="23.5703125" customWidth="1"/>
    <col min="4" max="4" width="21.42578125" customWidth="1"/>
    <col min="5" max="5" width="61" bestFit="1" customWidth="1"/>
    <col min="6" max="6" width="10.28515625" customWidth="1"/>
    <col min="7" max="7" width="13.7109375" style="25" customWidth="1"/>
    <col min="8" max="8" width="20.140625" style="25" customWidth="1"/>
    <col min="9" max="9" width="13.7109375" customWidth="1"/>
    <col min="10" max="10" width="15.85546875" customWidth="1"/>
    <col min="11" max="12" width="13.7109375" customWidth="1"/>
    <col min="13" max="13" width="17.28515625" style="27" customWidth="1"/>
    <col min="14" max="15" width="13.7109375" customWidth="1"/>
    <col min="16" max="16" width="17" customWidth="1"/>
    <col min="17" max="19" width="13.7109375" customWidth="1"/>
    <col min="20" max="20" width="11" style="35" customWidth="1"/>
    <col min="21" max="21" width="21.42578125" customWidth="1"/>
    <col min="22" max="22" width="13.7109375" style="27" customWidth="1"/>
    <col min="23" max="28" width="13.7109375" customWidth="1"/>
    <col min="29" max="29" width="13.7109375" style="10" customWidth="1"/>
    <col min="30" max="31" width="13.7109375" customWidth="1"/>
    <col min="32" max="32" width="27.42578125" customWidth="1"/>
    <col min="33" max="33" width="13.7109375" customWidth="1"/>
    <col min="34" max="34" width="13.7109375" style="10" customWidth="1"/>
    <col min="35" max="35" width="13.7109375" customWidth="1"/>
    <col min="36" max="36" width="11.28515625" style="10" bestFit="1" customWidth="1"/>
    <col min="37" max="37" width="12.140625" style="10" customWidth="1"/>
    <col min="38" max="38" width="44" customWidth="1"/>
    <col min="39" max="39" width="15" customWidth="1"/>
    <col min="40" max="41" width="19" customWidth="1"/>
    <col min="42" max="42" width="67.85546875" bestFit="1" customWidth="1"/>
    <col min="43" max="43" width="11" customWidth="1"/>
  </cols>
  <sheetData>
    <row r="1" spans="1:43">
      <c r="A1" s="87" t="s">
        <v>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90" t="s">
        <v>5</v>
      </c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2"/>
      <c r="AI1" s="93" t="s">
        <v>52</v>
      </c>
      <c r="AJ1" s="94"/>
      <c r="AK1" s="94"/>
      <c r="AL1" s="93"/>
      <c r="AM1" s="93"/>
      <c r="AN1" s="95"/>
      <c r="AO1" s="73"/>
    </row>
    <row r="2" spans="1:43" ht="45" customHeight="1">
      <c r="A2" s="1" t="s">
        <v>0</v>
      </c>
      <c r="B2" s="1" t="s">
        <v>1</v>
      </c>
      <c r="C2" s="1" t="s">
        <v>20</v>
      </c>
      <c r="D2" s="1" t="s">
        <v>2</v>
      </c>
      <c r="E2" s="1" t="s">
        <v>109</v>
      </c>
      <c r="F2" s="2" t="s">
        <v>58</v>
      </c>
      <c r="G2" s="61" t="s">
        <v>12</v>
      </c>
      <c r="H2" s="61" t="s">
        <v>824</v>
      </c>
      <c r="I2" s="21" t="s">
        <v>7</v>
      </c>
      <c r="J2" s="2" t="s">
        <v>9</v>
      </c>
      <c r="K2" s="2" t="s">
        <v>8</v>
      </c>
      <c r="L2" s="2" t="s">
        <v>26</v>
      </c>
      <c r="M2" s="2" t="s">
        <v>10</v>
      </c>
      <c r="N2" s="2" t="s">
        <v>77</v>
      </c>
      <c r="O2" s="2" t="s">
        <v>110</v>
      </c>
      <c r="P2" s="2" t="s">
        <v>76</v>
      </c>
      <c r="Q2" s="2" t="s">
        <v>522</v>
      </c>
      <c r="R2" s="3" t="s">
        <v>3</v>
      </c>
      <c r="S2" s="3" t="s">
        <v>80</v>
      </c>
      <c r="T2" s="22" t="s">
        <v>1</v>
      </c>
      <c r="U2" s="3" t="s">
        <v>2</v>
      </c>
      <c r="V2" s="22" t="s">
        <v>58</v>
      </c>
      <c r="W2" s="8" t="s">
        <v>13</v>
      </c>
      <c r="X2" s="8" t="s">
        <v>825</v>
      </c>
      <c r="Y2" s="8" t="s">
        <v>1955</v>
      </c>
      <c r="Z2" s="4" t="s">
        <v>6</v>
      </c>
      <c r="AA2" s="4" t="s">
        <v>17</v>
      </c>
      <c r="AB2" s="4" t="s">
        <v>18</v>
      </c>
      <c r="AC2" s="40" t="s">
        <v>11</v>
      </c>
      <c r="AD2" s="8" t="s">
        <v>121</v>
      </c>
      <c r="AE2" s="4" t="s">
        <v>19</v>
      </c>
      <c r="AF2" s="8" t="s">
        <v>59</v>
      </c>
      <c r="AG2" s="8" t="s">
        <v>60</v>
      </c>
      <c r="AH2" s="40" t="s">
        <v>61</v>
      </c>
      <c r="AI2" s="13" t="s">
        <v>52</v>
      </c>
      <c r="AJ2" s="39" t="s">
        <v>21</v>
      </c>
      <c r="AK2" s="39" t="s">
        <v>22</v>
      </c>
      <c r="AL2" s="14" t="s">
        <v>14</v>
      </c>
      <c r="AM2" s="14" t="s">
        <v>16</v>
      </c>
      <c r="AN2" s="14" t="s">
        <v>15</v>
      </c>
      <c r="AO2" s="74" t="s">
        <v>2026</v>
      </c>
      <c r="AP2" s="38" t="s">
        <v>55</v>
      </c>
      <c r="AQ2" s="38" t="s">
        <v>242</v>
      </c>
    </row>
    <row r="3" spans="1:43" ht="15" hidden="1" customHeight="1">
      <c r="A3">
        <v>507842</v>
      </c>
      <c r="B3">
        <v>1</v>
      </c>
      <c r="C3" t="s">
        <v>25</v>
      </c>
      <c r="D3" t="s">
        <v>23</v>
      </c>
      <c r="E3" s="23" t="s">
        <v>1282</v>
      </c>
      <c r="F3" s="24">
        <v>1</v>
      </c>
      <c r="G3" s="25">
        <v>9648.48</v>
      </c>
      <c r="H3" s="25">
        <f>G3*F3</f>
        <v>9648.48</v>
      </c>
      <c r="I3" s="26">
        <v>46254</v>
      </c>
      <c r="J3" s="10">
        <v>46009</v>
      </c>
      <c r="K3" s="10">
        <v>46010</v>
      </c>
      <c r="L3" s="27" t="str">
        <f>IF(J3=0," ",IF(K3&lt;=J3+6,"On time","Atrasado"))</f>
        <v>On time</v>
      </c>
      <c r="M3" s="58">
        <v>46021</v>
      </c>
      <c r="N3" s="27" t="str">
        <f>IF(J3=0," ",IF(M3&lt;=J3+6,"On time","Atrasado"))</f>
        <v>Atrasado</v>
      </c>
      <c r="O3" s="27">
        <f>M3-J3</f>
        <v>12</v>
      </c>
      <c r="P3" s="28" t="str">
        <f>IF(Z3=0," ",IF(M3&gt;=Z3+6,"Atrasado","On time"))</f>
        <v>On time</v>
      </c>
      <c r="Q3" s="27">
        <f>I3-J3</f>
        <v>245</v>
      </c>
      <c r="R3" s="29" t="s">
        <v>28</v>
      </c>
      <c r="S3" s="30" t="s">
        <v>29</v>
      </c>
      <c r="T3" s="35">
        <v>1</v>
      </c>
      <c r="U3" t="s">
        <v>23</v>
      </c>
      <c r="V3" s="31">
        <v>4</v>
      </c>
      <c r="W3" s="9">
        <v>697</v>
      </c>
      <c r="X3" s="9">
        <f>W3*V3</f>
        <v>2788</v>
      </c>
      <c r="Y3">
        <v>350.17</v>
      </c>
      <c r="Z3" s="32">
        <v>46021</v>
      </c>
      <c r="AA3" s="10">
        <v>46034</v>
      </c>
      <c r="AB3" s="10">
        <v>46035</v>
      </c>
      <c r="AC3" s="10">
        <v>46121</v>
      </c>
      <c r="AD3" s="31">
        <f ca="1">TODAY()-AA3</f>
        <v>101</v>
      </c>
      <c r="AE3" s="36">
        <v>1</v>
      </c>
      <c r="AF3" s="9" t="s">
        <v>155</v>
      </c>
      <c r="AG3" s="9" t="s">
        <v>78</v>
      </c>
      <c r="AH3" s="9"/>
      <c r="AI3" s="9" t="s">
        <v>53</v>
      </c>
      <c r="AJ3" s="10">
        <v>46046</v>
      </c>
      <c r="AK3" s="10">
        <v>46111</v>
      </c>
      <c r="AL3" t="s">
        <v>828</v>
      </c>
      <c r="AM3" s="27" t="str">
        <f t="shared" ref="AM3:AM43" si="0">IF(AB3=0," ",IF(AB3&lt;=AA3+10,"On time","Atrasado"))</f>
        <v>On time</v>
      </c>
      <c r="AN3" s="27" t="str">
        <f ca="1">IF(AND(AC3&lt;&gt;"",AC3&lt;=TODAY()),"Chegou",IF(A3="","Estoque",IF(OR(AC3="",I3=""),"",IF(I3-AC3&lt;=0,"Atrasado",IF(I3-AC3&lt;=9,"Crítico",IF(I3-AC3&lt;=20,"Verificar aéreo",IF(I3-AC3&lt;=25,"Alerta","No prazo")        ))))))</f>
        <v>Chegou</v>
      </c>
      <c r="AO3" s="27" t="str">
        <f ca="1">IF(AN3="Chegou","Chegou HCI",IF(AND(AJ3&lt;&gt;"",AK3&lt;&gt;""),IF(TODAY()&gt;=AJ3,"Embarcado","Ag. embarque"),IF(AND(AJ3&lt;&gt;"",AK3=""),"Ag. booking","")))</f>
        <v>Chegou HCI</v>
      </c>
    </row>
    <row r="4" spans="1:43" ht="15" hidden="1" customHeight="1">
      <c r="A4">
        <v>507744</v>
      </c>
      <c r="B4">
        <v>1</v>
      </c>
      <c r="C4" t="s">
        <v>25</v>
      </c>
      <c r="D4" t="s">
        <v>27</v>
      </c>
      <c r="E4" s="23" t="s">
        <v>1283</v>
      </c>
      <c r="F4" s="24">
        <v>1</v>
      </c>
      <c r="G4" s="25">
        <v>4537.3900000000003</v>
      </c>
      <c r="H4" s="25">
        <f t="shared" ref="H4:H74" si="1">G4*F4</f>
        <v>4537.3900000000003</v>
      </c>
      <c r="I4" s="26">
        <v>46253</v>
      </c>
      <c r="J4" s="10">
        <v>46008</v>
      </c>
      <c r="K4" s="10">
        <v>46008</v>
      </c>
      <c r="L4" s="27" t="str">
        <f>IF(J4=0," ",IF(K4&lt;=J4+6,"On time","Atrasado"))</f>
        <v>On time</v>
      </c>
      <c r="M4" s="58">
        <v>46021</v>
      </c>
      <c r="N4" s="27" t="str">
        <f>IF(J4=0," ",IF(M4&lt;=J4+6,"On time","Atrasado"))</f>
        <v>Atrasado</v>
      </c>
      <c r="O4" s="27">
        <f t="shared" ref="O4:O49" si="2">M4-J4</f>
        <v>13</v>
      </c>
      <c r="P4" s="28" t="str">
        <f t="shared" ref="P4:P68" si="3">IF(Z4=0," ",IF(M4&gt;=Z4+6,"Atrasado","On time"))</f>
        <v>On time</v>
      </c>
      <c r="Q4" s="27">
        <f t="shared" ref="Q4:Q49" si="4">I4-J4</f>
        <v>245</v>
      </c>
      <c r="R4" s="29" t="s">
        <v>28</v>
      </c>
      <c r="S4" s="30" t="s">
        <v>29</v>
      </c>
      <c r="T4" s="35">
        <v>2</v>
      </c>
      <c r="U4" t="s">
        <v>27</v>
      </c>
      <c r="V4" s="31">
        <v>6</v>
      </c>
      <c r="W4" s="9">
        <v>347.73</v>
      </c>
      <c r="X4" s="9">
        <f t="shared" ref="X4:X74" si="5">W4*V4</f>
        <v>2086.38</v>
      </c>
      <c r="Y4">
        <v>170.84</v>
      </c>
      <c r="Z4" s="32">
        <v>46021</v>
      </c>
      <c r="AA4" s="10">
        <v>46034</v>
      </c>
      <c r="AB4" s="10">
        <v>46035</v>
      </c>
      <c r="AC4" s="10">
        <v>46121</v>
      </c>
      <c r="AD4" s="31">
        <f t="shared" ref="AD4:AD22" ca="1" si="6">TODAY()-AA4</f>
        <v>101</v>
      </c>
      <c r="AE4" s="36">
        <v>1</v>
      </c>
      <c r="AF4" s="9" t="s">
        <v>155</v>
      </c>
      <c r="AG4" s="9" t="s">
        <v>78</v>
      </c>
      <c r="AH4" s="9"/>
      <c r="AI4" s="9" t="s">
        <v>53</v>
      </c>
      <c r="AJ4" s="10">
        <v>46046</v>
      </c>
      <c r="AK4" s="10">
        <v>46111</v>
      </c>
      <c r="AL4" t="s">
        <v>828</v>
      </c>
      <c r="AM4" s="27" t="str">
        <f t="shared" si="0"/>
        <v>On time</v>
      </c>
      <c r="AN4" s="27" t="str">
        <f t="shared" ref="AN4:AN67" ca="1" si="7">IF(AND(AC4&lt;&gt;"",AC4&lt;=TODAY()),"Chegou",IF(A4="","Estoque",IF(OR(AC4="",I4=""),"",IF(I4-AC4&lt;=0,"Atrasado",IF(I4-AC4&lt;=9,"Crítico",IF(I4-AC4&lt;=20,"Verificar aéreo",IF(I4-AC4&lt;=25,"Alerta","No prazo")        ))))))</f>
        <v>Chegou</v>
      </c>
      <c r="AO4" s="27" t="str">
        <f t="shared" ref="AO4:AO67" ca="1" si="8">IF(AN4="Chegou","Chegou HCI",IF(AND(AJ4&lt;&gt;"",AK4&lt;&gt;""),IF(TODAY()&gt;=AJ4,"Embarcado","Ag. embarque"),IF(AND(AJ4&lt;&gt;"",AK4=""),"Ag. booking","")))</f>
        <v>Chegou HCI</v>
      </c>
    </row>
    <row r="5" spans="1:43" ht="15" hidden="1" customHeight="1">
      <c r="A5">
        <v>507744</v>
      </c>
      <c r="B5">
        <v>2</v>
      </c>
      <c r="C5" t="s">
        <v>25</v>
      </c>
      <c r="D5" t="s">
        <v>30</v>
      </c>
      <c r="E5" s="23" t="s">
        <v>1284</v>
      </c>
      <c r="F5" s="24">
        <v>2</v>
      </c>
      <c r="G5" s="25">
        <v>1121.31</v>
      </c>
      <c r="H5" s="25">
        <f t="shared" si="1"/>
        <v>2242.62</v>
      </c>
      <c r="I5" s="26">
        <v>46253</v>
      </c>
      <c r="J5" s="10">
        <v>46008</v>
      </c>
      <c r="K5" s="10">
        <v>46008</v>
      </c>
      <c r="L5" s="27" t="str">
        <f>IF(J5=0," ",IF(K5&lt;=J5+6,"On time","Atrasado"))</f>
        <v>On time</v>
      </c>
      <c r="M5" s="58">
        <v>46021</v>
      </c>
      <c r="N5" s="27" t="str">
        <f>IF(J5=0," ",IF(M5&lt;=J5+6,"On time","Atrasado"))</f>
        <v>Atrasado</v>
      </c>
      <c r="O5" s="27">
        <f t="shared" si="2"/>
        <v>13</v>
      </c>
      <c r="P5" s="28" t="str">
        <f t="shared" si="3"/>
        <v>On time</v>
      </c>
      <c r="Q5" s="27">
        <f t="shared" si="4"/>
        <v>245</v>
      </c>
      <c r="R5" s="29" t="s">
        <v>28</v>
      </c>
      <c r="S5" s="30" t="s">
        <v>29</v>
      </c>
      <c r="T5" s="35">
        <v>3</v>
      </c>
      <c r="U5" t="s">
        <v>30</v>
      </c>
      <c r="V5" s="31">
        <v>6</v>
      </c>
      <c r="W5" s="9">
        <v>42.31</v>
      </c>
      <c r="X5" s="9">
        <f t="shared" si="5"/>
        <v>253.86</v>
      </c>
      <c r="Y5">
        <v>350.17</v>
      </c>
      <c r="Z5" s="32">
        <v>46021</v>
      </c>
      <c r="AA5" s="10">
        <v>46034</v>
      </c>
      <c r="AB5" s="10">
        <v>46035</v>
      </c>
      <c r="AC5" s="10">
        <v>46121</v>
      </c>
      <c r="AD5" s="31">
        <f ca="1">TODAY()-AA5</f>
        <v>101</v>
      </c>
      <c r="AE5" s="36">
        <v>1</v>
      </c>
      <c r="AF5" s="9" t="s">
        <v>155</v>
      </c>
      <c r="AG5" s="9" t="s">
        <v>78</v>
      </c>
      <c r="AH5" s="9"/>
      <c r="AI5" s="9" t="s">
        <v>53</v>
      </c>
      <c r="AJ5" s="10">
        <v>46046</v>
      </c>
      <c r="AK5" s="10">
        <v>46111</v>
      </c>
      <c r="AL5" t="s">
        <v>828</v>
      </c>
      <c r="AM5" s="27" t="str">
        <f t="shared" si="0"/>
        <v>On time</v>
      </c>
      <c r="AN5" s="27" t="str">
        <f t="shared" ca="1" si="7"/>
        <v>Chegou</v>
      </c>
      <c r="AO5" s="27" t="str">
        <f t="shared" ca="1" si="8"/>
        <v>Chegou HCI</v>
      </c>
    </row>
    <row r="6" spans="1:43" ht="15" hidden="1" customHeight="1">
      <c r="A6">
        <v>507611</v>
      </c>
      <c r="B6">
        <v>1</v>
      </c>
      <c r="C6" t="s">
        <v>25</v>
      </c>
      <c r="D6" t="s">
        <v>24</v>
      </c>
      <c r="E6" s="23" t="s">
        <v>1285</v>
      </c>
      <c r="F6" s="24">
        <v>1</v>
      </c>
      <c r="G6" s="25">
        <v>19430.560000000001</v>
      </c>
      <c r="H6" s="25">
        <f t="shared" si="1"/>
        <v>19430.560000000001</v>
      </c>
      <c r="I6" s="26">
        <v>46248</v>
      </c>
      <c r="J6" s="10">
        <v>46006</v>
      </c>
      <c r="K6" s="10">
        <v>46007</v>
      </c>
      <c r="L6" s="27" t="str">
        <f>IF(J6=0," ",IF(K6&lt;=J6+6,"On time","Atrasado"))</f>
        <v>On time</v>
      </c>
      <c r="M6" s="58">
        <v>46021</v>
      </c>
      <c r="N6" s="27" t="str">
        <f>IF(J6=0," ",IF(M6&lt;=J6+6,"On time","Atrasado"))</f>
        <v>Atrasado</v>
      </c>
      <c r="O6" s="27">
        <f>M6-J6</f>
        <v>15</v>
      </c>
      <c r="P6" s="28" t="str">
        <f t="shared" si="3"/>
        <v>On time</v>
      </c>
      <c r="Q6" s="27">
        <f t="shared" si="4"/>
        <v>242</v>
      </c>
      <c r="R6" s="29" t="s">
        <v>28</v>
      </c>
      <c r="S6" s="30" t="s">
        <v>29</v>
      </c>
      <c r="T6" s="35">
        <v>4</v>
      </c>
      <c r="U6" t="s">
        <v>24</v>
      </c>
      <c r="V6" s="31">
        <v>1</v>
      </c>
      <c r="W6" s="9">
        <v>1021.21</v>
      </c>
      <c r="X6" s="9">
        <f t="shared" si="5"/>
        <v>1021.21</v>
      </c>
      <c r="Y6">
        <v>219.56</v>
      </c>
      <c r="Z6" s="32">
        <v>46021</v>
      </c>
      <c r="AA6" s="10">
        <v>46034</v>
      </c>
      <c r="AB6" s="10">
        <v>46035</v>
      </c>
      <c r="AC6" s="10">
        <v>46121</v>
      </c>
      <c r="AD6" s="31">
        <f t="shared" ca="1" si="6"/>
        <v>101</v>
      </c>
      <c r="AE6" s="36">
        <v>1</v>
      </c>
      <c r="AF6" s="9" t="s">
        <v>155</v>
      </c>
      <c r="AG6" s="9" t="s">
        <v>78</v>
      </c>
      <c r="AH6" s="9"/>
      <c r="AI6" s="9" t="s">
        <v>53</v>
      </c>
      <c r="AJ6" s="10">
        <v>46046</v>
      </c>
      <c r="AK6" s="10">
        <v>46111</v>
      </c>
      <c r="AL6" t="s">
        <v>828</v>
      </c>
      <c r="AM6" s="27" t="str">
        <f>IF(AB6=0," ",IF(AB6&lt;=AA6+10,"On time","Atrasado"))</f>
        <v>On time</v>
      </c>
      <c r="AN6" s="27" t="str">
        <f t="shared" ca="1" si="7"/>
        <v>Chegou</v>
      </c>
      <c r="AO6" s="27" t="str">
        <f t="shared" ca="1" si="8"/>
        <v>Chegou HCI</v>
      </c>
    </row>
    <row r="7" spans="1:43" ht="15" hidden="1" customHeight="1">
      <c r="A7">
        <v>507768</v>
      </c>
      <c r="B7">
        <v>1</v>
      </c>
      <c r="C7" t="s">
        <v>25</v>
      </c>
      <c r="D7" t="s">
        <v>34</v>
      </c>
      <c r="E7" s="23" t="s">
        <v>1316</v>
      </c>
      <c r="F7" s="24">
        <v>1</v>
      </c>
      <c r="G7" s="25">
        <v>14976.51</v>
      </c>
      <c r="H7" s="25">
        <f t="shared" si="1"/>
        <v>14976.51</v>
      </c>
      <c r="I7" s="26">
        <v>46254</v>
      </c>
      <c r="J7" s="10">
        <v>46008</v>
      </c>
      <c r="K7" s="10">
        <v>46009</v>
      </c>
      <c r="L7" s="27" t="str">
        <f>IF(J7=0," ",IF(K7&lt;=J7+6,"On time","Atrasado"))</f>
        <v>On time</v>
      </c>
      <c r="M7" s="58">
        <v>46013</v>
      </c>
      <c r="N7" s="27" t="str">
        <f t="shared" ref="N7:N73" si="9">IF(J7=0," ",IF(M7&lt;=J7+6,"On time","Atrasado"))</f>
        <v>On time</v>
      </c>
      <c r="O7" s="27">
        <f t="shared" si="2"/>
        <v>5</v>
      </c>
      <c r="P7" s="28" t="str">
        <f t="shared" si="3"/>
        <v>On time</v>
      </c>
      <c r="Q7" s="27">
        <f t="shared" si="4"/>
        <v>246</v>
      </c>
      <c r="R7" s="29" t="s">
        <v>31</v>
      </c>
      <c r="S7" s="30" t="s">
        <v>48</v>
      </c>
      <c r="T7" s="35">
        <v>1</v>
      </c>
      <c r="U7" t="s">
        <v>34</v>
      </c>
      <c r="V7" s="31">
        <v>26</v>
      </c>
      <c r="W7" s="9">
        <v>1205</v>
      </c>
      <c r="X7" s="9">
        <f t="shared" si="5"/>
        <v>31330</v>
      </c>
      <c r="Y7">
        <v>150.16999999999999</v>
      </c>
      <c r="Z7" s="32">
        <v>46021</v>
      </c>
      <c r="AA7" s="10">
        <v>46041</v>
      </c>
      <c r="AB7" s="10">
        <v>46056</v>
      </c>
      <c r="AC7" s="10">
        <v>46125</v>
      </c>
      <c r="AD7" s="31">
        <f t="shared" ca="1" si="6"/>
        <v>94</v>
      </c>
      <c r="AE7" s="37" t="s">
        <v>139</v>
      </c>
      <c r="AF7" s="9" t="s">
        <v>155</v>
      </c>
      <c r="AG7" s="9" t="s">
        <v>78</v>
      </c>
      <c r="AH7" s="9" t="s">
        <v>131</v>
      </c>
      <c r="AI7" s="9" t="s">
        <v>53</v>
      </c>
      <c r="AJ7" s="10">
        <v>46064</v>
      </c>
      <c r="AK7" s="10">
        <v>46115</v>
      </c>
      <c r="AL7" t="s">
        <v>533</v>
      </c>
      <c r="AM7" s="27" t="str">
        <f>IF(AB7=0," ",IF(AB7&lt;=AA7+10,"On time","Atrasado"))</f>
        <v>Atrasado</v>
      </c>
      <c r="AN7" s="27" t="str">
        <f t="shared" ca="1" si="7"/>
        <v>Chegou</v>
      </c>
      <c r="AO7" s="27" t="str">
        <f t="shared" ca="1" si="8"/>
        <v>Chegou HCI</v>
      </c>
    </row>
    <row r="8" spans="1:43" ht="15" hidden="1" customHeight="1">
      <c r="A8" s="30">
        <v>507487</v>
      </c>
      <c r="B8">
        <v>1</v>
      </c>
      <c r="C8" t="s">
        <v>46</v>
      </c>
      <c r="D8" t="s">
        <v>35</v>
      </c>
      <c r="E8" s="23" t="s">
        <v>1308</v>
      </c>
      <c r="F8" s="24">
        <v>1</v>
      </c>
      <c r="G8" s="25">
        <v>7339.54</v>
      </c>
      <c r="H8" s="25">
        <f t="shared" si="1"/>
        <v>7339.54</v>
      </c>
      <c r="I8" s="33">
        <v>46154</v>
      </c>
      <c r="J8" s="10">
        <v>46013</v>
      </c>
      <c r="K8" s="10">
        <v>46013</v>
      </c>
      <c r="L8" s="27" t="str">
        <f t="shared" ref="L8:L74" si="10">IF(J8=0," ",IF(K8&lt;=J8+6,"On time","Atrasado"))</f>
        <v>On time</v>
      </c>
      <c r="M8" s="58">
        <v>46013</v>
      </c>
      <c r="N8" s="27" t="str">
        <f t="shared" si="9"/>
        <v>On time</v>
      </c>
      <c r="O8" s="27">
        <f t="shared" si="2"/>
        <v>0</v>
      </c>
      <c r="P8" s="28" t="str">
        <f t="shared" si="3"/>
        <v>On time</v>
      </c>
      <c r="Q8" s="27">
        <f t="shared" si="4"/>
        <v>141</v>
      </c>
      <c r="R8" s="29" t="s">
        <v>31</v>
      </c>
      <c r="S8" s="30" t="s">
        <v>48</v>
      </c>
      <c r="T8" s="35">
        <v>2</v>
      </c>
      <c r="U8" t="s">
        <v>35</v>
      </c>
      <c r="V8" s="31">
        <v>1</v>
      </c>
      <c r="W8" s="9">
        <v>320</v>
      </c>
      <c r="X8" s="9">
        <f t="shared" si="5"/>
        <v>320</v>
      </c>
      <c r="Y8">
        <v>35</v>
      </c>
      <c r="Z8" s="32">
        <v>46021</v>
      </c>
      <c r="AA8" s="10">
        <v>46041</v>
      </c>
      <c r="AB8" s="10">
        <v>46056</v>
      </c>
      <c r="AC8" s="10">
        <v>46125</v>
      </c>
      <c r="AD8" s="31">
        <f t="shared" ref="AD8:AD20" ca="1" si="11">TODAY()-AA8</f>
        <v>94</v>
      </c>
      <c r="AE8" s="37" t="s">
        <v>139</v>
      </c>
      <c r="AF8" s="9" t="s">
        <v>155</v>
      </c>
      <c r="AG8" s="9" t="s">
        <v>78</v>
      </c>
      <c r="AH8" s="9" t="s">
        <v>131</v>
      </c>
      <c r="AI8" s="9" t="s">
        <v>53</v>
      </c>
      <c r="AJ8" s="10">
        <v>46064</v>
      </c>
      <c r="AK8" s="10">
        <v>46115</v>
      </c>
      <c r="AL8" t="s">
        <v>533</v>
      </c>
      <c r="AM8" s="27" t="str">
        <f t="shared" ref="AM8:AM20" si="12">IF(AB8=0," ",IF(AB8&lt;=AA8+10,"On time","Atrasado"))</f>
        <v>Atrasado</v>
      </c>
      <c r="AN8" s="27" t="str">
        <f t="shared" ca="1" si="7"/>
        <v>Chegou</v>
      </c>
      <c r="AO8" s="27" t="str">
        <f t="shared" ca="1" si="8"/>
        <v>Chegou HCI</v>
      </c>
    </row>
    <row r="9" spans="1:43" ht="15" hidden="1" customHeight="1">
      <c r="A9" s="30">
        <v>507487</v>
      </c>
      <c r="B9" s="34" t="s">
        <v>32</v>
      </c>
      <c r="C9" t="s">
        <v>46</v>
      </c>
      <c r="D9" t="s">
        <v>36</v>
      </c>
      <c r="E9" s="23" t="s">
        <v>1307</v>
      </c>
      <c r="F9" s="24">
        <v>2</v>
      </c>
      <c r="G9" s="25">
        <v>9541.41</v>
      </c>
      <c r="H9" s="25">
        <f t="shared" si="1"/>
        <v>19082.82</v>
      </c>
      <c r="I9" s="26">
        <v>46154</v>
      </c>
      <c r="J9" s="10">
        <v>46013</v>
      </c>
      <c r="K9" s="10">
        <v>46013</v>
      </c>
      <c r="L9" s="27" t="str">
        <f t="shared" si="10"/>
        <v>On time</v>
      </c>
      <c r="M9" s="58">
        <v>46013</v>
      </c>
      <c r="N9" s="27" t="str">
        <f t="shared" si="9"/>
        <v>On time</v>
      </c>
      <c r="O9" s="27">
        <f t="shared" si="2"/>
        <v>0</v>
      </c>
      <c r="P9" s="28" t="str">
        <f t="shared" si="3"/>
        <v>On time</v>
      </c>
      <c r="Q9" s="27">
        <f t="shared" si="4"/>
        <v>141</v>
      </c>
      <c r="R9" s="29" t="s">
        <v>31</v>
      </c>
      <c r="S9" s="30" t="s">
        <v>48</v>
      </c>
      <c r="T9" s="35">
        <v>3</v>
      </c>
      <c r="U9" t="s">
        <v>36</v>
      </c>
      <c r="V9" s="31">
        <v>5</v>
      </c>
      <c r="W9" s="9">
        <v>450</v>
      </c>
      <c r="X9" s="9">
        <f t="shared" si="5"/>
        <v>2250</v>
      </c>
      <c r="Y9">
        <v>68</v>
      </c>
      <c r="Z9" s="32">
        <v>46021</v>
      </c>
      <c r="AA9" s="10">
        <v>46041</v>
      </c>
      <c r="AB9" s="10">
        <v>46056</v>
      </c>
      <c r="AC9" s="10">
        <v>46125</v>
      </c>
      <c r="AD9" s="31">
        <f t="shared" ca="1" si="11"/>
        <v>94</v>
      </c>
      <c r="AE9" s="37" t="s">
        <v>139</v>
      </c>
      <c r="AF9" s="9" t="s">
        <v>155</v>
      </c>
      <c r="AG9" s="9" t="s">
        <v>78</v>
      </c>
      <c r="AH9" s="9" t="s">
        <v>131</v>
      </c>
      <c r="AI9" s="9" t="s">
        <v>53</v>
      </c>
      <c r="AJ9" s="10">
        <v>46064</v>
      </c>
      <c r="AK9" s="10">
        <v>46115</v>
      </c>
      <c r="AL9" t="s">
        <v>533</v>
      </c>
      <c r="AM9" s="27" t="str">
        <f t="shared" si="12"/>
        <v>Atrasado</v>
      </c>
      <c r="AN9" s="27" t="str">
        <f t="shared" ca="1" si="7"/>
        <v>Chegou</v>
      </c>
      <c r="AO9" s="27" t="str">
        <f t="shared" ca="1" si="8"/>
        <v>Chegou HCI</v>
      </c>
    </row>
    <row r="10" spans="1:43" ht="15" hidden="1" customHeight="1">
      <c r="A10" s="30">
        <v>507487</v>
      </c>
      <c r="B10" s="34">
        <v>4</v>
      </c>
      <c r="C10" t="s">
        <v>46</v>
      </c>
      <c r="D10" t="s">
        <v>37</v>
      </c>
      <c r="E10" s="23" t="s">
        <v>1306</v>
      </c>
      <c r="F10" s="24">
        <v>6</v>
      </c>
      <c r="G10" s="25">
        <v>3392.5</v>
      </c>
      <c r="H10" s="25">
        <f t="shared" si="1"/>
        <v>20355</v>
      </c>
      <c r="I10" s="26">
        <v>46154</v>
      </c>
      <c r="J10" s="10">
        <v>46013</v>
      </c>
      <c r="K10" s="10">
        <v>46013</v>
      </c>
      <c r="L10" s="27" t="str">
        <f t="shared" si="10"/>
        <v>On time</v>
      </c>
      <c r="M10" s="58">
        <v>46021</v>
      </c>
      <c r="N10" s="27" t="str">
        <f t="shared" si="9"/>
        <v>Atrasado</v>
      </c>
      <c r="O10" s="27">
        <f t="shared" si="2"/>
        <v>8</v>
      </c>
      <c r="P10" s="28" t="str">
        <f t="shared" si="3"/>
        <v>On time</v>
      </c>
      <c r="Q10" s="27">
        <f t="shared" si="4"/>
        <v>141</v>
      </c>
      <c r="R10" s="29" t="s">
        <v>31</v>
      </c>
      <c r="S10" s="30" t="s">
        <v>48</v>
      </c>
      <c r="T10" s="35">
        <v>4</v>
      </c>
      <c r="U10" t="s">
        <v>37</v>
      </c>
      <c r="V10" s="31">
        <v>4</v>
      </c>
      <c r="W10" s="9">
        <v>160</v>
      </c>
      <c r="X10" s="9">
        <f t="shared" si="5"/>
        <v>640</v>
      </c>
      <c r="Y10">
        <v>31</v>
      </c>
      <c r="Z10" s="32">
        <v>46021</v>
      </c>
      <c r="AA10" s="10">
        <v>46041</v>
      </c>
      <c r="AB10" s="10">
        <v>46056</v>
      </c>
      <c r="AC10" s="10">
        <v>46125</v>
      </c>
      <c r="AD10" s="31">
        <f t="shared" ca="1" si="11"/>
        <v>94</v>
      </c>
      <c r="AE10" s="37" t="s">
        <v>139</v>
      </c>
      <c r="AF10" s="9" t="s">
        <v>155</v>
      </c>
      <c r="AG10" s="9" t="s">
        <v>78</v>
      </c>
      <c r="AH10" s="9" t="s">
        <v>131</v>
      </c>
      <c r="AI10" s="9" t="s">
        <v>53</v>
      </c>
      <c r="AJ10" s="10">
        <v>46064</v>
      </c>
      <c r="AK10" s="10">
        <v>46115</v>
      </c>
      <c r="AL10" t="s">
        <v>533</v>
      </c>
      <c r="AM10" s="27" t="str">
        <f t="shared" si="12"/>
        <v>Atrasado</v>
      </c>
      <c r="AN10" s="27" t="str">
        <f t="shared" ca="1" si="7"/>
        <v>Chegou</v>
      </c>
      <c r="AO10" s="27" t="str">
        <f t="shared" ca="1" si="8"/>
        <v>Chegou HCI</v>
      </c>
    </row>
    <row r="11" spans="1:43" ht="15" hidden="1" customHeight="1">
      <c r="A11" s="30">
        <v>507487</v>
      </c>
      <c r="B11" s="34" t="s">
        <v>33</v>
      </c>
      <c r="C11" t="s">
        <v>46</v>
      </c>
      <c r="D11" t="s">
        <v>38</v>
      </c>
      <c r="E11" s="23" t="s">
        <v>1305</v>
      </c>
      <c r="F11" s="24">
        <v>4</v>
      </c>
      <c r="G11" s="25">
        <v>409.73</v>
      </c>
      <c r="H11" s="25">
        <f t="shared" si="1"/>
        <v>1638.92</v>
      </c>
      <c r="I11" s="26">
        <v>46154</v>
      </c>
      <c r="J11" s="10">
        <v>46013</v>
      </c>
      <c r="K11" s="10">
        <v>46013</v>
      </c>
      <c r="L11" s="27" t="str">
        <f t="shared" si="10"/>
        <v>On time</v>
      </c>
      <c r="M11" s="58">
        <v>46021</v>
      </c>
      <c r="N11" s="27" t="str">
        <f t="shared" si="9"/>
        <v>Atrasado</v>
      </c>
      <c r="O11" s="27">
        <f t="shared" si="2"/>
        <v>8</v>
      </c>
      <c r="P11" s="28" t="str">
        <f t="shared" si="3"/>
        <v>On time</v>
      </c>
      <c r="Q11" s="27">
        <f t="shared" si="4"/>
        <v>141</v>
      </c>
      <c r="R11" s="29" t="s">
        <v>31</v>
      </c>
      <c r="S11" s="30" t="s">
        <v>48</v>
      </c>
      <c r="T11" s="35">
        <v>5</v>
      </c>
      <c r="U11" t="s">
        <v>38</v>
      </c>
      <c r="V11" s="31">
        <v>12</v>
      </c>
      <c r="W11" s="9">
        <v>20</v>
      </c>
      <c r="X11" s="9">
        <f t="shared" si="5"/>
        <v>240</v>
      </c>
      <c r="Y11">
        <v>3</v>
      </c>
      <c r="Z11" s="32">
        <v>46021</v>
      </c>
      <c r="AA11" s="10">
        <v>46041</v>
      </c>
      <c r="AB11" s="10">
        <v>46056</v>
      </c>
      <c r="AC11" s="10">
        <v>46125</v>
      </c>
      <c r="AD11" s="31">
        <f t="shared" ca="1" si="11"/>
        <v>94</v>
      </c>
      <c r="AE11" s="37" t="s">
        <v>139</v>
      </c>
      <c r="AF11" s="9" t="s">
        <v>155</v>
      </c>
      <c r="AG11" s="9" t="s">
        <v>78</v>
      </c>
      <c r="AH11" s="9" t="s">
        <v>131</v>
      </c>
      <c r="AI11" s="9" t="s">
        <v>53</v>
      </c>
      <c r="AJ11" s="10">
        <v>46064</v>
      </c>
      <c r="AK11" s="10">
        <v>46115</v>
      </c>
      <c r="AL11" t="s">
        <v>533</v>
      </c>
      <c r="AM11" s="27" t="str">
        <f t="shared" si="12"/>
        <v>Atrasado</v>
      </c>
      <c r="AN11" s="27" t="str">
        <f t="shared" ca="1" si="7"/>
        <v>Chegou</v>
      </c>
      <c r="AO11" s="27" t="str">
        <f t="shared" ca="1" si="8"/>
        <v>Chegou HCI</v>
      </c>
    </row>
    <row r="12" spans="1:43" ht="15" hidden="1" customHeight="1">
      <c r="A12" s="30">
        <v>507692</v>
      </c>
      <c r="B12">
        <v>1</v>
      </c>
      <c r="C12" t="s">
        <v>25</v>
      </c>
      <c r="D12" t="s">
        <v>39</v>
      </c>
      <c r="E12" s="23" t="s">
        <v>1294</v>
      </c>
      <c r="F12" s="24">
        <v>5</v>
      </c>
      <c r="G12" s="25">
        <v>552.72</v>
      </c>
      <c r="H12" s="25">
        <f t="shared" si="1"/>
        <v>2763.6000000000004</v>
      </c>
      <c r="I12" s="26">
        <v>46251</v>
      </c>
      <c r="J12" s="10">
        <v>46006</v>
      </c>
      <c r="K12" s="10">
        <v>46008</v>
      </c>
      <c r="L12" s="27" t="str">
        <f t="shared" si="10"/>
        <v>On time</v>
      </c>
      <c r="M12" s="58">
        <v>46021</v>
      </c>
      <c r="N12" s="27" t="str">
        <f t="shared" si="9"/>
        <v>Atrasado</v>
      </c>
      <c r="O12" s="27">
        <f t="shared" si="2"/>
        <v>15</v>
      </c>
      <c r="P12" s="28" t="str">
        <f t="shared" si="3"/>
        <v>On time</v>
      </c>
      <c r="Q12" s="27">
        <f t="shared" si="4"/>
        <v>245</v>
      </c>
      <c r="R12" s="29" t="s">
        <v>31</v>
      </c>
      <c r="S12" s="30" t="s">
        <v>48</v>
      </c>
      <c r="T12" s="35">
        <v>6</v>
      </c>
      <c r="U12" t="s">
        <v>39</v>
      </c>
      <c r="V12" s="31">
        <v>10</v>
      </c>
      <c r="W12" s="9">
        <v>25</v>
      </c>
      <c r="X12" s="9">
        <f t="shared" si="5"/>
        <v>250</v>
      </c>
      <c r="Y12">
        <v>0.94799999999999995</v>
      </c>
      <c r="Z12" s="32">
        <v>46021</v>
      </c>
      <c r="AA12" s="10">
        <v>46041</v>
      </c>
      <c r="AB12" s="10">
        <v>46056</v>
      </c>
      <c r="AC12" s="10">
        <v>46125</v>
      </c>
      <c r="AD12" s="31">
        <f t="shared" ca="1" si="11"/>
        <v>94</v>
      </c>
      <c r="AE12" s="37" t="s">
        <v>139</v>
      </c>
      <c r="AF12" s="9" t="s">
        <v>155</v>
      </c>
      <c r="AG12" s="9" t="s">
        <v>78</v>
      </c>
      <c r="AH12" s="9" t="s">
        <v>131</v>
      </c>
      <c r="AI12" s="9" t="s">
        <v>53</v>
      </c>
      <c r="AJ12" s="10">
        <v>46064</v>
      </c>
      <c r="AK12" s="10">
        <v>46115</v>
      </c>
      <c r="AL12" t="s">
        <v>533</v>
      </c>
      <c r="AM12" s="27" t="str">
        <f t="shared" si="12"/>
        <v>Atrasado</v>
      </c>
      <c r="AN12" s="27" t="str">
        <f t="shared" ca="1" si="7"/>
        <v>Chegou</v>
      </c>
      <c r="AO12" s="27" t="str">
        <f t="shared" ca="1" si="8"/>
        <v>Chegou HCI</v>
      </c>
    </row>
    <row r="13" spans="1:43" ht="15" hidden="1" customHeight="1">
      <c r="A13" s="30">
        <v>507692</v>
      </c>
      <c r="B13">
        <v>2</v>
      </c>
      <c r="C13" t="s">
        <v>25</v>
      </c>
      <c r="D13" t="s">
        <v>40</v>
      </c>
      <c r="E13" s="23" t="s">
        <v>1291</v>
      </c>
      <c r="F13" s="24">
        <v>7</v>
      </c>
      <c r="G13" s="25">
        <v>552.72</v>
      </c>
      <c r="H13" s="25">
        <f t="shared" si="1"/>
        <v>3869.04</v>
      </c>
      <c r="I13" s="26">
        <v>46251</v>
      </c>
      <c r="J13" s="10">
        <v>46006</v>
      </c>
      <c r="K13" s="10">
        <v>46008</v>
      </c>
      <c r="L13" s="27" t="str">
        <f t="shared" si="10"/>
        <v>On time</v>
      </c>
      <c r="M13" s="58">
        <v>46021</v>
      </c>
      <c r="N13" s="27" t="str">
        <f>IF(J13=0," ",IF(M13&lt;=J13+6,"On time","Atrasado"))</f>
        <v>Atrasado</v>
      </c>
      <c r="O13" s="27">
        <f t="shared" si="2"/>
        <v>15</v>
      </c>
      <c r="P13" s="28" t="str">
        <f t="shared" si="3"/>
        <v>On time</v>
      </c>
      <c r="Q13" s="27">
        <f t="shared" si="4"/>
        <v>245</v>
      </c>
      <c r="R13" s="29" t="s">
        <v>31</v>
      </c>
      <c r="S13" s="30" t="s">
        <v>48</v>
      </c>
      <c r="T13" s="35">
        <v>7</v>
      </c>
      <c r="U13" t="s">
        <v>40</v>
      </c>
      <c r="V13" s="31">
        <v>3</v>
      </c>
      <c r="W13" s="9">
        <v>30</v>
      </c>
      <c r="X13" s="9">
        <f t="shared" si="5"/>
        <v>90</v>
      </c>
      <c r="Y13">
        <v>0.69</v>
      </c>
      <c r="Z13" s="32">
        <v>46021</v>
      </c>
      <c r="AA13" s="10">
        <v>46041</v>
      </c>
      <c r="AB13" s="10">
        <v>46056</v>
      </c>
      <c r="AC13" s="10">
        <v>46125</v>
      </c>
      <c r="AD13" s="31">
        <f t="shared" ca="1" si="11"/>
        <v>94</v>
      </c>
      <c r="AE13" s="37" t="s">
        <v>139</v>
      </c>
      <c r="AF13" s="9" t="s">
        <v>155</v>
      </c>
      <c r="AG13" s="9" t="s">
        <v>78</v>
      </c>
      <c r="AH13" s="9" t="s">
        <v>131</v>
      </c>
      <c r="AI13" s="9" t="s">
        <v>53</v>
      </c>
      <c r="AJ13" s="10">
        <v>46064</v>
      </c>
      <c r="AK13" s="10">
        <v>46115</v>
      </c>
      <c r="AL13" t="s">
        <v>533</v>
      </c>
      <c r="AM13" s="27" t="str">
        <f t="shared" si="12"/>
        <v>Atrasado</v>
      </c>
      <c r="AN13" s="27" t="str">
        <f t="shared" ca="1" si="7"/>
        <v>Chegou</v>
      </c>
      <c r="AO13" s="27" t="str">
        <f t="shared" ca="1" si="8"/>
        <v>Chegou HCI</v>
      </c>
    </row>
    <row r="14" spans="1:43" ht="15" hidden="1" customHeight="1">
      <c r="A14" s="30">
        <v>507692</v>
      </c>
      <c r="B14">
        <v>3</v>
      </c>
      <c r="C14" t="s">
        <v>25</v>
      </c>
      <c r="D14" t="s">
        <v>41</v>
      </c>
      <c r="E14" s="23" t="s">
        <v>1292</v>
      </c>
      <c r="F14" s="24">
        <v>1</v>
      </c>
      <c r="G14" s="25">
        <v>552.72</v>
      </c>
      <c r="H14" s="25">
        <f t="shared" si="1"/>
        <v>552.72</v>
      </c>
      <c r="I14" s="26">
        <v>46251</v>
      </c>
      <c r="J14" s="10">
        <v>46006</v>
      </c>
      <c r="K14" s="10">
        <v>46008</v>
      </c>
      <c r="L14" s="27" t="str">
        <f t="shared" si="10"/>
        <v>On time</v>
      </c>
      <c r="M14" s="58">
        <v>46021</v>
      </c>
      <c r="N14" s="27" t="str">
        <f t="shared" si="9"/>
        <v>Atrasado</v>
      </c>
      <c r="O14" s="27">
        <f t="shared" si="2"/>
        <v>15</v>
      </c>
      <c r="P14" s="28" t="str">
        <f t="shared" si="3"/>
        <v>On time</v>
      </c>
      <c r="Q14" s="27">
        <f t="shared" si="4"/>
        <v>245</v>
      </c>
      <c r="R14" s="29" t="s">
        <v>31</v>
      </c>
      <c r="S14" s="30" t="s">
        <v>48</v>
      </c>
      <c r="T14" s="35">
        <v>8</v>
      </c>
      <c r="U14" t="s">
        <v>41</v>
      </c>
      <c r="V14" s="31">
        <v>18</v>
      </c>
      <c r="W14" s="9">
        <v>30</v>
      </c>
      <c r="X14" s="9">
        <f t="shared" si="5"/>
        <v>540</v>
      </c>
      <c r="Y14">
        <v>0.69</v>
      </c>
      <c r="Z14" s="32">
        <v>46021</v>
      </c>
      <c r="AA14" s="10">
        <v>46041</v>
      </c>
      <c r="AB14" s="10">
        <v>46056</v>
      </c>
      <c r="AC14" s="10">
        <v>46125</v>
      </c>
      <c r="AD14" s="31">
        <f t="shared" ca="1" si="11"/>
        <v>94</v>
      </c>
      <c r="AE14" s="37" t="s">
        <v>139</v>
      </c>
      <c r="AF14" s="9" t="s">
        <v>155</v>
      </c>
      <c r="AG14" s="9" t="s">
        <v>78</v>
      </c>
      <c r="AH14" s="9" t="s">
        <v>131</v>
      </c>
      <c r="AI14" s="9" t="s">
        <v>53</v>
      </c>
      <c r="AJ14" s="10">
        <v>46064</v>
      </c>
      <c r="AK14" s="10">
        <v>46115</v>
      </c>
      <c r="AL14" t="s">
        <v>533</v>
      </c>
      <c r="AM14" s="27" t="str">
        <f t="shared" si="12"/>
        <v>Atrasado</v>
      </c>
      <c r="AN14" s="27" t="str">
        <f t="shared" ca="1" si="7"/>
        <v>Chegou</v>
      </c>
      <c r="AO14" s="27" t="str">
        <f t="shared" ca="1" si="8"/>
        <v>Chegou HCI</v>
      </c>
    </row>
    <row r="15" spans="1:43" ht="15" hidden="1" customHeight="1">
      <c r="A15">
        <v>507888</v>
      </c>
      <c r="B15">
        <v>3</v>
      </c>
      <c r="C15" t="s">
        <v>25</v>
      </c>
      <c r="D15" t="s">
        <v>47</v>
      </c>
      <c r="E15" s="23" t="s">
        <v>1310</v>
      </c>
      <c r="F15" s="24">
        <v>2</v>
      </c>
      <c r="G15" s="25">
        <v>1620.58</v>
      </c>
      <c r="H15" s="25">
        <f t="shared" si="1"/>
        <v>3241.16</v>
      </c>
      <c r="I15" s="26">
        <v>46162</v>
      </c>
      <c r="J15" s="10">
        <v>46013</v>
      </c>
      <c r="K15" s="10">
        <v>46013</v>
      </c>
      <c r="L15" s="27" t="str">
        <f t="shared" si="10"/>
        <v>On time</v>
      </c>
      <c r="M15" s="58">
        <v>46021</v>
      </c>
      <c r="N15" s="27" t="str">
        <f t="shared" si="9"/>
        <v>Atrasado</v>
      </c>
      <c r="O15" s="27">
        <f t="shared" si="2"/>
        <v>8</v>
      </c>
      <c r="P15" s="28" t="str">
        <f t="shared" si="3"/>
        <v>On time</v>
      </c>
      <c r="Q15" s="27">
        <f t="shared" si="4"/>
        <v>149</v>
      </c>
      <c r="R15" s="29" t="s">
        <v>31</v>
      </c>
      <c r="S15" s="30" t="s">
        <v>48</v>
      </c>
      <c r="T15" s="35">
        <v>9</v>
      </c>
      <c r="U15" t="s">
        <v>47</v>
      </c>
      <c r="V15" s="31">
        <v>1</v>
      </c>
      <c r="W15" s="9">
        <v>65.97</v>
      </c>
      <c r="X15" s="9">
        <f t="shared" si="5"/>
        <v>65.97</v>
      </c>
      <c r="Y15">
        <v>8.36</v>
      </c>
      <c r="Z15" s="32">
        <v>46021</v>
      </c>
      <c r="AA15" s="10">
        <v>46041</v>
      </c>
      <c r="AB15" s="10">
        <v>46056</v>
      </c>
      <c r="AC15" s="10">
        <v>46125</v>
      </c>
      <c r="AD15" s="31">
        <f t="shared" ca="1" si="11"/>
        <v>94</v>
      </c>
      <c r="AE15" s="37" t="s">
        <v>139</v>
      </c>
      <c r="AF15" s="9" t="s">
        <v>155</v>
      </c>
      <c r="AG15" s="9" t="s">
        <v>78</v>
      </c>
      <c r="AH15" s="9" t="s">
        <v>131</v>
      </c>
      <c r="AI15" s="9" t="s">
        <v>53</v>
      </c>
      <c r="AJ15" s="10">
        <v>46064</v>
      </c>
      <c r="AK15" s="10">
        <v>46115</v>
      </c>
      <c r="AL15" t="s">
        <v>533</v>
      </c>
      <c r="AM15" s="27" t="str">
        <f t="shared" si="12"/>
        <v>Atrasado</v>
      </c>
      <c r="AN15" s="27" t="str">
        <f t="shared" ca="1" si="7"/>
        <v>Chegou</v>
      </c>
      <c r="AO15" s="27" t="str">
        <f t="shared" ca="1" si="8"/>
        <v>Chegou HCI</v>
      </c>
    </row>
    <row r="16" spans="1:43" ht="15" hidden="1" customHeight="1">
      <c r="A16">
        <v>507985</v>
      </c>
      <c r="B16">
        <v>1</v>
      </c>
      <c r="C16" t="s">
        <v>25</v>
      </c>
      <c r="D16" t="s">
        <v>42</v>
      </c>
      <c r="E16" s="23" t="s">
        <v>1304</v>
      </c>
      <c r="F16" s="24">
        <v>3</v>
      </c>
      <c r="G16" s="25">
        <v>11723.88</v>
      </c>
      <c r="H16" s="25">
        <f t="shared" si="1"/>
        <v>35171.64</v>
      </c>
      <c r="I16" s="26">
        <v>46258</v>
      </c>
      <c r="J16" s="10">
        <v>46013</v>
      </c>
      <c r="K16" s="10">
        <v>46014</v>
      </c>
      <c r="L16" s="27" t="str">
        <f t="shared" si="10"/>
        <v>On time</v>
      </c>
      <c r="M16" s="58">
        <v>46021</v>
      </c>
      <c r="N16" s="27" t="str">
        <f t="shared" si="9"/>
        <v>Atrasado</v>
      </c>
      <c r="O16" s="27">
        <f t="shared" si="2"/>
        <v>8</v>
      </c>
      <c r="P16" s="28" t="str">
        <f t="shared" si="3"/>
        <v>On time</v>
      </c>
      <c r="Q16" s="27">
        <f t="shared" si="4"/>
        <v>245</v>
      </c>
      <c r="R16" s="29" t="s">
        <v>31</v>
      </c>
      <c r="S16" s="30" t="s">
        <v>48</v>
      </c>
      <c r="T16" s="35">
        <v>10</v>
      </c>
      <c r="U16" t="s">
        <v>42</v>
      </c>
      <c r="V16" s="31">
        <v>5</v>
      </c>
      <c r="W16" s="9">
        <v>1000</v>
      </c>
      <c r="X16" s="9">
        <f t="shared" si="5"/>
        <v>5000</v>
      </c>
      <c r="Y16">
        <v>140</v>
      </c>
      <c r="Z16" s="32">
        <v>46021</v>
      </c>
      <c r="AA16" s="10">
        <v>46041</v>
      </c>
      <c r="AB16" s="10">
        <v>46056</v>
      </c>
      <c r="AC16" s="10">
        <v>46125</v>
      </c>
      <c r="AD16" s="31">
        <f t="shared" ca="1" si="11"/>
        <v>94</v>
      </c>
      <c r="AE16" s="37" t="s">
        <v>139</v>
      </c>
      <c r="AF16" s="9" t="s">
        <v>155</v>
      </c>
      <c r="AG16" s="9" t="s">
        <v>78</v>
      </c>
      <c r="AH16" s="9" t="s">
        <v>131</v>
      </c>
      <c r="AI16" s="9" t="s">
        <v>53</v>
      </c>
      <c r="AJ16" s="10">
        <v>46064</v>
      </c>
      <c r="AK16" s="10">
        <v>46115</v>
      </c>
      <c r="AL16" t="s">
        <v>533</v>
      </c>
      <c r="AM16" s="27" t="str">
        <f t="shared" si="12"/>
        <v>Atrasado</v>
      </c>
      <c r="AN16" s="27" t="str">
        <f t="shared" ca="1" si="7"/>
        <v>Chegou</v>
      </c>
      <c r="AO16" s="27" t="str">
        <f t="shared" ca="1" si="8"/>
        <v>Chegou HCI</v>
      </c>
    </row>
    <row r="17" spans="1:43" ht="15" hidden="1" customHeight="1">
      <c r="A17">
        <v>507952</v>
      </c>
      <c r="B17">
        <v>1</v>
      </c>
      <c r="C17" t="s">
        <v>25</v>
      </c>
      <c r="D17" t="s">
        <v>43</v>
      </c>
      <c r="E17" s="23" t="s">
        <v>1303</v>
      </c>
      <c r="F17" s="24">
        <v>3</v>
      </c>
      <c r="G17" s="25">
        <v>9659.8799999999992</v>
      </c>
      <c r="H17" s="25">
        <f t="shared" si="1"/>
        <v>28979.64</v>
      </c>
      <c r="I17" s="26">
        <v>46189</v>
      </c>
      <c r="J17" s="10">
        <v>46010</v>
      </c>
      <c r="K17" s="10">
        <v>46013</v>
      </c>
      <c r="L17" s="27" t="str">
        <f t="shared" si="10"/>
        <v>On time</v>
      </c>
      <c r="M17" s="58">
        <v>46021</v>
      </c>
      <c r="N17" s="27" t="str">
        <f t="shared" si="9"/>
        <v>Atrasado</v>
      </c>
      <c r="O17" s="27">
        <f t="shared" si="2"/>
        <v>11</v>
      </c>
      <c r="P17" s="28" t="str">
        <f t="shared" si="3"/>
        <v>On time</v>
      </c>
      <c r="Q17" s="27">
        <f t="shared" si="4"/>
        <v>179</v>
      </c>
      <c r="R17" s="29" t="s">
        <v>31</v>
      </c>
      <c r="S17" s="30" t="s">
        <v>48</v>
      </c>
      <c r="T17" s="35">
        <v>11</v>
      </c>
      <c r="U17" t="s">
        <v>43</v>
      </c>
      <c r="V17" s="31">
        <v>4</v>
      </c>
      <c r="W17" s="9">
        <v>516.54999999999995</v>
      </c>
      <c r="X17" s="9">
        <f t="shared" si="5"/>
        <v>2066.1999999999998</v>
      </c>
      <c r="Y17">
        <v>45</v>
      </c>
      <c r="Z17" s="32">
        <v>46021</v>
      </c>
      <c r="AA17" s="10">
        <v>46041</v>
      </c>
      <c r="AB17" s="10">
        <v>46056</v>
      </c>
      <c r="AC17" s="10">
        <v>46125</v>
      </c>
      <c r="AD17" s="31">
        <f t="shared" ca="1" si="11"/>
        <v>94</v>
      </c>
      <c r="AE17" s="37" t="s">
        <v>139</v>
      </c>
      <c r="AF17" s="9" t="s">
        <v>155</v>
      </c>
      <c r="AG17" s="9" t="s">
        <v>78</v>
      </c>
      <c r="AH17" s="9" t="s">
        <v>131</v>
      </c>
      <c r="AI17" s="9" t="s">
        <v>53</v>
      </c>
      <c r="AJ17" s="10">
        <v>46064</v>
      </c>
      <c r="AK17" s="10">
        <v>46115</v>
      </c>
      <c r="AL17" t="s">
        <v>533</v>
      </c>
      <c r="AM17" s="27" t="str">
        <f t="shared" si="12"/>
        <v>Atrasado</v>
      </c>
      <c r="AN17" s="27" t="str">
        <f t="shared" ca="1" si="7"/>
        <v>Chegou</v>
      </c>
      <c r="AO17" s="27" t="str">
        <f t="shared" ca="1" si="8"/>
        <v>Chegou HCI</v>
      </c>
    </row>
    <row r="18" spans="1:43" ht="15" hidden="1" customHeight="1">
      <c r="A18">
        <v>507981</v>
      </c>
      <c r="B18">
        <v>1</v>
      </c>
      <c r="C18" t="s">
        <v>25</v>
      </c>
      <c r="D18" t="s">
        <v>44</v>
      </c>
      <c r="E18" s="23" t="s">
        <v>1302</v>
      </c>
      <c r="F18" s="24">
        <v>1</v>
      </c>
      <c r="G18" s="25">
        <v>46258</v>
      </c>
      <c r="H18" s="25">
        <f t="shared" si="1"/>
        <v>46258</v>
      </c>
      <c r="I18" s="26">
        <v>46258</v>
      </c>
      <c r="J18" s="10">
        <v>46014</v>
      </c>
      <c r="K18" s="10">
        <v>46014</v>
      </c>
      <c r="L18" s="27" t="str">
        <f t="shared" si="10"/>
        <v>On time</v>
      </c>
      <c r="M18" s="58">
        <v>46021</v>
      </c>
      <c r="N18" s="27" t="str">
        <f t="shared" si="9"/>
        <v>Atrasado</v>
      </c>
      <c r="O18" s="27">
        <f t="shared" si="2"/>
        <v>7</v>
      </c>
      <c r="P18" s="28" t="str">
        <f t="shared" si="3"/>
        <v>On time</v>
      </c>
      <c r="Q18" s="27">
        <f t="shared" si="4"/>
        <v>244</v>
      </c>
      <c r="R18" s="29" t="s">
        <v>31</v>
      </c>
      <c r="S18" s="30" t="s">
        <v>48</v>
      </c>
      <c r="T18" s="35">
        <v>12</v>
      </c>
      <c r="U18" t="s">
        <v>44</v>
      </c>
      <c r="V18" s="31">
        <v>5</v>
      </c>
      <c r="W18" s="9">
        <v>111.11</v>
      </c>
      <c r="X18" s="9">
        <f t="shared" si="5"/>
        <v>555.54999999999995</v>
      </c>
      <c r="Y18">
        <v>9</v>
      </c>
      <c r="Z18" s="32">
        <v>46021</v>
      </c>
      <c r="AA18" s="10">
        <v>46041</v>
      </c>
      <c r="AB18" s="10">
        <v>46056</v>
      </c>
      <c r="AC18" s="10">
        <v>46125</v>
      </c>
      <c r="AD18" s="31">
        <f t="shared" ca="1" si="11"/>
        <v>94</v>
      </c>
      <c r="AE18" s="37" t="s">
        <v>139</v>
      </c>
      <c r="AF18" s="9" t="s">
        <v>155</v>
      </c>
      <c r="AG18" s="9" t="s">
        <v>78</v>
      </c>
      <c r="AH18" s="9" t="s">
        <v>131</v>
      </c>
      <c r="AI18" s="9" t="s">
        <v>53</v>
      </c>
      <c r="AJ18" s="10">
        <v>46064</v>
      </c>
      <c r="AK18" s="10">
        <v>46115</v>
      </c>
      <c r="AL18" t="s">
        <v>533</v>
      </c>
      <c r="AM18" s="27" t="str">
        <f t="shared" si="12"/>
        <v>Atrasado</v>
      </c>
      <c r="AN18" s="27" t="str">
        <f t="shared" ca="1" si="7"/>
        <v>Chegou</v>
      </c>
      <c r="AO18" s="27" t="str">
        <f t="shared" ca="1" si="8"/>
        <v>Chegou HCI</v>
      </c>
    </row>
    <row r="19" spans="1:43" ht="15" hidden="1" customHeight="1">
      <c r="A19">
        <v>507540</v>
      </c>
      <c r="B19">
        <v>1</v>
      </c>
      <c r="C19" t="s">
        <v>25</v>
      </c>
      <c r="D19" t="s">
        <v>45</v>
      </c>
      <c r="E19" s="23" t="s">
        <v>1311</v>
      </c>
      <c r="F19" s="24">
        <v>1</v>
      </c>
      <c r="G19" s="25">
        <v>463.55</v>
      </c>
      <c r="H19" s="25">
        <f t="shared" si="1"/>
        <v>463.55</v>
      </c>
      <c r="I19" s="26">
        <v>46160</v>
      </c>
      <c r="J19" s="10">
        <v>46006</v>
      </c>
      <c r="K19" s="10">
        <v>46007</v>
      </c>
      <c r="L19" s="27" t="str">
        <f t="shared" si="10"/>
        <v>On time</v>
      </c>
      <c r="M19" s="58">
        <v>46021</v>
      </c>
      <c r="N19" s="27" t="str">
        <f t="shared" si="9"/>
        <v>Atrasado</v>
      </c>
      <c r="O19" s="27">
        <f t="shared" si="2"/>
        <v>15</v>
      </c>
      <c r="P19" s="28" t="str">
        <f t="shared" si="3"/>
        <v>On time</v>
      </c>
      <c r="Q19" s="27">
        <f t="shared" si="4"/>
        <v>154</v>
      </c>
      <c r="R19" s="29" t="s">
        <v>31</v>
      </c>
      <c r="S19" s="30" t="s">
        <v>48</v>
      </c>
      <c r="T19" s="35">
        <v>13</v>
      </c>
      <c r="U19" t="s">
        <v>45</v>
      </c>
      <c r="V19" s="31">
        <v>1</v>
      </c>
      <c r="W19" s="9">
        <v>22.22</v>
      </c>
      <c r="X19" s="9">
        <f t="shared" si="5"/>
        <v>22.22</v>
      </c>
      <c r="Y19">
        <v>1.3</v>
      </c>
      <c r="Z19" s="32">
        <v>46021</v>
      </c>
      <c r="AA19" s="10">
        <v>46041</v>
      </c>
      <c r="AB19" s="10">
        <v>46056</v>
      </c>
      <c r="AC19" s="10">
        <v>46125</v>
      </c>
      <c r="AD19" s="31">
        <f t="shared" ca="1" si="11"/>
        <v>94</v>
      </c>
      <c r="AE19" s="37" t="s">
        <v>139</v>
      </c>
      <c r="AF19" s="9" t="s">
        <v>155</v>
      </c>
      <c r="AG19" s="9" t="s">
        <v>78</v>
      </c>
      <c r="AH19" s="9" t="s">
        <v>131</v>
      </c>
      <c r="AI19" s="9" t="s">
        <v>53</v>
      </c>
      <c r="AJ19" s="10">
        <v>46064</v>
      </c>
      <c r="AK19" s="10">
        <v>46115</v>
      </c>
      <c r="AL19" t="s">
        <v>533</v>
      </c>
      <c r="AM19" s="27" t="str">
        <f t="shared" si="12"/>
        <v>Atrasado</v>
      </c>
      <c r="AN19" s="27" t="str">
        <f t="shared" ca="1" si="7"/>
        <v>Chegou</v>
      </c>
      <c r="AO19" s="27" t="str">
        <f t="shared" ca="1" si="8"/>
        <v>Chegou HCI</v>
      </c>
    </row>
    <row r="20" spans="1:43" ht="15" hidden="1" customHeight="1">
      <c r="A20">
        <v>508413</v>
      </c>
      <c r="B20">
        <v>1</v>
      </c>
      <c r="C20" t="s">
        <v>25</v>
      </c>
      <c r="D20" t="s">
        <v>126</v>
      </c>
      <c r="E20" s="23" t="s">
        <v>2181</v>
      </c>
      <c r="F20" s="24">
        <v>2</v>
      </c>
      <c r="G20" s="25">
        <v>7491.91</v>
      </c>
      <c r="H20" s="25">
        <f t="shared" si="1"/>
        <v>14983.82</v>
      </c>
      <c r="I20" s="26">
        <v>46203</v>
      </c>
      <c r="J20" s="10">
        <v>46020</v>
      </c>
      <c r="K20" s="10">
        <v>46029</v>
      </c>
      <c r="L20" s="27" t="str">
        <f t="shared" si="10"/>
        <v>Atrasado</v>
      </c>
      <c r="M20" s="58">
        <v>46034</v>
      </c>
      <c r="N20" s="27" t="str">
        <f t="shared" si="9"/>
        <v>Atrasado</v>
      </c>
      <c r="O20" s="27">
        <f t="shared" si="2"/>
        <v>14</v>
      </c>
      <c r="P20" s="28" t="str">
        <f t="shared" si="3"/>
        <v>On time</v>
      </c>
      <c r="Q20" s="27">
        <f t="shared" si="4"/>
        <v>183</v>
      </c>
      <c r="R20" s="29" t="s">
        <v>31</v>
      </c>
      <c r="S20" s="30" t="s">
        <v>48</v>
      </c>
      <c r="T20" s="35">
        <v>14</v>
      </c>
      <c r="U20" t="s">
        <v>126</v>
      </c>
      <c r="V20" s="31">
        <v>2</v>
      </c>
      <c r="W20" s="9">
        <v>680</v>
      </c>
      <c r="X20" s="9">
        <f t="shared" si="5"/>
        <v>1360</v>
      </c>
      <c r="Y20">
        <v>132</v>
      </c>
      <c r="Z20" s="10">
        <v>46038</v>
      </c>
      <c r="AA20" s="10">
        <v>46041</v>
      </c>
      <c r="AB20" s="10">
        <v>46056</v>
      </c>
      <c r="AC20" s="10">
        <v>46125</v>
      </c>
      <c r="AD20" s="31">
        <f t="shared" ca="1" si="11"/>
        <v>94</v>
      </c>
      <c r="AE20" s="37" t="s">
        <v>139</v>
      </c>
      <c r="AF20" s="9" t="s">
        <v>155</v>
      </c>
      <c r="AG20" s="9" t="s">
        <v>78</v>
      </c>
      <c r="AH20" s="9" t="s">
        <v>131</v>
      </c>
      <c r="AI20" s="9" t="s">
        <v>53</v>
      </c>
      <c r="AJ20" s="10">
        <v>46064</v>
      </c>
      <c r="AK20" s="10">
        <v>46115</v>
      </c>
      <c r="AL20" t="s">
        <v>533</v>
      </c>
      <c r="AM20" s="27" t="str">
        <f t="shared" si="12"/>
        <v>Atrasado</v>
      </c>
      <c r="AN20" s="27" t="str">
        <f t="shared" ca="1" si="7"/>
        <v>Chegou</v>
      </c>
      <c r="AO20" s="27" t="str">
        <f t="shared" ca="1" si="8"/>
        <v>Chegou HCI</v>
      </c>
    </row>
    <row r="21" spans="1:43" ht="15" hidden="1" customHeight="1">
      <c r="A21">
        <v>502972</v>
      </c>
      <c r="B21" s="34" t="s">
        <v>1100</v>
      </c>
      <c r="C21" t="s">
        <v>626</v>
      </c>
      <c r="D21" t="s">
        <v>1098</v>
      </c>
      <c r="E21" s="23" t="s">
        <v>1101</v>
      </c>
      <c r="F21" s="24">
        <v>1</v>
      </c>
      <c r="G21" s="25">
        <v>1481.45</v>
      </c>
      <c r="H21" s="25">
        <f t="shared" si="1"/>
        <v>1481.45</v>
      </c>
      <c r="I21" s="26">
        <v>45975</v>
      </c>
      <c r="J21" s="10">
        <v>45946</v>
      </c>
      <c r="K21" s="10">
        <v>45946</v>
      </c>
      <c r="L21" s="27" t="str">
        <f t="shared" si="10"/>
        <v>On time</v>
      </c>
      <c r="M21" s="58">
        <v>46027</v>
      </c>
      <c r="N21" s="27" t="str">
        <f t="shared" si="9"/>
        <v>Atrasado</v>
      </c>
      <c r="O21" s="27">
        <f t="shared" si="2"/>
        <v>81</v>
      </c>
      <c r="P21" s="28" t="str">
        <f t="shared" si="3"/>
        <v>On time</v>
      </c>
      <c r="Q21" s="27">
        <f t="shared" si="4"/>
        <v>29</v>
      </c>
      <c r="R21" s="29" t="s">
        <v>1097</v>
      </c>
      <c r="S21" s="30" t="s">
        <v>90</v>
      </c>
      <c r="T21" s="35">
        <v>7</v>
      </c>
      <c r="U21" t="s">
        <v>1098</v>
      </c>
      <c r="V21" s="31">
        <v>2</v>
      </c>
      <c r="W21" s="9">
        <v>123</v>
      </c>
      <c r="X21" s="9">
        <f t="shared" si="5"/>
        <v>246</v>
      </c>
      <c r="Y21">
        <v>90</v>
      </c>
      <c r="Z21" s="10">
        <v>46027</v>
      </c>
      <c r="AA21" s="10">
        <v>46025</v>
      </c>
      <c r="AB21" s="10">
        <v>46046</v>
      </c>
      <c r="AC21" s="10">
        <v>46139</v>
      </c>
      <c r="AD21" s="31">
        <f t="shared" ca="1" si="6"/>
        <v>110</v>
      </c>
      <c r="AE21" s="36">
        <v>1</v>
      </c>
      <c r="AF21" s="9" t="s">
        <v>155</v>
      </c>
      <c r="AG21" s="9" t="s">
        <v>79</v>
      </c>
      <c r="AH21" s="10">
        <v>46041</v>
      </c>
      <c r="AI21" s="9" t="s">
        <v>53</v>
      </c>
      <c r="AJ21" s="10">
        <v>46057</v>
      </c>
      <c r="AK21" s="10">
        <v>46125</v>
      </c>
      <c r="AL21" t="s">
        <v>2060</v>
      </c>
      <c r="AM21" s="27" t="str">
        <f t="shared" si="0"/>
        <v>Atrasado</v>
      </c>
      <c r="AN21" s="27" t="str">
        <f ca="1">IF(AND(AC21&lt;&gt;"",AC21&lt;=TODAY()),"Chegou",IF(A21="","Estoque",IF(OR(AC21="",I21=""),"",IF(I21-AC21&lt;=0,"Atrasado",IF(I21-AC21&lt;=9,"Crítico",IF(I21-AC21&lt;=20,"Verificar aéreo",IF(I21-AC21&lt;=25,"Alerta","No prazo")        ))))))</f>
        <v>Atrasado</v>
      </c>
      <c r="AO21" s="27" t="str">
        <f ca="1">IF(AN21="Chegou","Chegou HCI",IF(AND(AJ21&lt;&gt;"",AK21&lt;&gt;""),IF(TODAY()&gt;=AJ21,"Embarcado","Ag. embarque"),IF(AND(AJ21&lt;&gt;"",AK21=""),"Ag. booking","")))</f>
        <v>Embarcado</v>
      </c>
      <c r="AP21" t="s">
        <v>1099</v>
      </c>
    </row>
    <row r="22" spans="1:43" ht="15" hidden="1" customHeight="1">
      <c r="A22">
        <v>507439</v>
      </c>
      <c r="B22">
        <v>2</v>
      </c>
      <c r="C22" t="s">
        <v>25</v>
      </c>
      <c r="D22" t="s">
        <v>49</v>
      </c>
      <c r="E22" s="23" t="s">
        <v>1312</v>
      </c>
      <c r="F22" s="24">
        <v>1</v>
      </c>
      <c r="G22" s="25">
        <v>77.08</v>
      </c>
      <c r="H22" s="25">
        <f t="shared" si="1"/>
        <v>77.08</v>
      </c>
      <c r="I22" s="26">
        <v>46097</v>
      </c>
      <c r="J22" s="10">
        <v>46006</v>
      </c>
      <c r="K22" s="10">
        <v>46006</v>
      </c>
      <c r="L22" s="27" t="str">
        <f t="shared" si="10"/>
        <v>On time</v>
      </c>
      <c r="M22" s="58">
        <v>46021</v>
      </c>
      <c r="N22" s="27" t="str">
        <f>IF(J22=0," ",IF(M22&lt;=J22+6,"On time","Atrasado"))</f>
        <v>Atrasado</v>
      </c>
      <c r="O22" s="27">
        <f t="shared" si="2"/>
        <v>15</v>
      </c>
      <c r="P22" s="28" t="str">
        <f t="shared" si="3"/>
        <v>On time</v>
      </c>
      <c r="Q22" s="27">
        <f t="shared" si="4"/>
        <v>91</v>
      </c>
      <c r="R22" s="29" t="s">
        <v>50</v>
      </c>
      <c r="S22" t="s">
        <v>51</v>
      </c>
      <c r="T22" s="35">
        <v>1</v>
      </c>
      <c r="U22" t="s">
        <v>49</v>
      </c>
      <c r="V22" s="31">
        <v>1</v>
      </c>
      <c r="W22" s="9">
        <v>1.69</v>
      </c>
      <c r="X22" s="9">
        <f t="shared" si="5"/>
        <v>1.69</v>
      </c>
      <c r="Z22" s="10">
        <v>46028</v>
      </c>
      <c r="AA22" s="10">
        <v>46048</v>
      </c>
      <c r="AB22" s="10">
        <v>46043</v>
      </c>
      <c r="AC22" s="10">
        <v>46056</v>
      </c>
      <c r="AD22" s="31">
        <f t="shared" ca="1" si="6"/>
        <v>87</v>
      </c>
      <c r="AE22" s="36">
        <v>1</v>
      </c>
      <c r="AF22" s="9" t="s">
        <v>63</v>
      </c>
      <c r="AG22" s="10" t="s">
        <v>78</v>
      </c>
      <c r="AI22" s="9" t="s">
        <v>54</v>
      </c>
      <c r="AJ22" s="10">
        <v>46045</v>
      </c>
      <c r="AK22" s="10">
        <v>46056</v>
      </c>
      <c r="AL22" t="s">
        <v>686</v>
      </c>
      <c r="AM22" s="27" t="str">
        <f t="shared" si="0"/>
        <v>On time</v>
      </c>
      <c r="AN22" s="27" t="str">
        <f t="shared" ca="1" si="7"/>
        <v>Chegou</v>
      </c>
      <c r="AO22" s="27" t="str">
        <f t="shared" ca="1" si="8"/>
        <v>Chegou HCI</v>
      </c>
      <c r="AP22" t="s">
        <v>56</v>
      </c>
      <c r="AQ22" t="s">
        <v>243</v>
      </c>
    </row>
    <row r="23" spans="1:43" ht="15" hidden="1" customHeight="1">
      <c r="A23">
        <v>507806</v>
      </c>
      <c r="B23">
        <v>2</v>
      </c>
      <c r="C23" t="s">
        <v>25</v>
      </c>
      <c r="D23" t="s">
        <v>66</v>
      </c>
      <c r="E23" s="23" t="s">
        <v>111</v>
      </c>
      <c r="F23" s="24">
        <v>1</v>
      </c>
      <c r="G23" s="25">
        <v>1442.32</v>
      </c>
      <c r="H23" s="25">
        <f t="shared" si="1"/>
        <v>1442.32</v>
      </c>
      <c r="I23" s="26">
        <v>46100</v>
      </c>
      <c r="J23" s="10">
        <v>46008</v>
      </c>
      <c r="K23" s="10">
        <v>46009</v>
      </c>
      <c r="L23" s="27" t="str">
        <f t="shared" si="10"/>
        <v>On time</v>
      </c>
      <c r="M23" s="58">
        <v>46029</v>
      </c>
      <c r="N23" s="27" t="str">
        <f>IF(J23=0," ",IF(M23&lt;=J23+6,"On time","Atrasado"))</f>
        <v>Atrasado</v>
      </c>
      <c r="O23" s="27">
        <f t="shared" si="2"/>
        <v>21</v>
      </c>
      <c r="P23" s="28" t="str">
        <f t="shared" si="3"/>
        <v>On time</v>
      </c>
      <c r="Q23" s="27">
        <f t="shared" si="4"/>
        <v>92</v>
      </c>
      <c r="R23" s="29" t="s">
        <v>64</v>
      </c>
      <c r="S23" t="s">
        <v>65</v>
      </c>
      <c r="T23" s="35">
        <v>7</v>
      </c>
      <c r="U23" t="s">
        <v>66</v>
      </c>
      <c r="V23" s="31">
        <v>1</v>
      </c>
      <c r="W23" s="9">
        <v>44.74</v>
      </c>
      <c r="X23" s="9">
        <f t="shared" si="5"/>
        <v>44.74</v>
      </c>
      <c r="Z23" s="10">
        <v>46029</v>
      </c>
      <c r="AA23" s="10">
        <v>46044</v>
      </c>
      <c r="AB23" s="10">
        <v>46047</v>
      </c>
      <c r="AC23" s="10">
        <v>46077</v>
      </c>
      <c r="AD23" s="31">
        <f ca="1">TODAY()-AA23</f>
        <v>91</v>
      </c>
      <c r="AE23" s="36">
        <v>1</v>
      </c>
      <c r="AF23" s="9" t="s">
        <v>155</v>
      </c>
      <c r="AG23" s="9" t="s">
        <v>79</v>
      </c>
      <c r="AH23" s="10">
        <v>46047</v>
      </c>
      <c r="AI23" s="9" t="s">
        <v>57</v>
      </c>
      <c r="AJ23" s="10">
        <v>46068</v>
      </c>
      <c r="AK23" s="10">
        <v>46070</v>
      </c>
      <c r="AL23" t="s">
        <v>685</v>
      </c>
      <c r="AM23" s="27" t="str">
        <f t="shared" si="0"/>
        <v>On time</v>
      </c>
      <c r="AN23" s="27" t="str">
        <f t="shared" ca="1" si="7"/>
        <v>Chegou</v>
      </c>
      <c r="AO23" s="27" t="str">
        <f t="shared" ca="1" si="8"/>
        <v>Chegou HCI</v>
      </c>
      <c r="AQ23" t="s">
        <v>535</v>
      </c>
    </row>
    <row r="24" spans="1:43" ht="15" hidden="1" customHeight="1">
      <c r="A24">
        <v>507555</v>
      </c>
      <c r="B24">
        <v>5</v>
      </c>
      <c r="C24" t="s">
        <v>25</v>
      </c>
      <c r="D24" t="s">
        <v>67</v>
      </c>
      <c r="E24" s="23" t="s">
        <v>112</v>
      </c>
      <c r="F24" s="24">
        <v>2</v>
      </c>
      <c r="G24" s="25">
        <v>382.69</v>
      </c>
      <c r="H24" s="25">
        <f t="shared" si="1"/>
        <v>765.38</v>
      </c>
      <c r="I24" s="26">
        <v>46097</v>
      </c>
      <c r="J24" s="10">
        <v>46003</v>
      </c>
      <c r="K24" s="10">
        <v>46007</v>
      </c>
      <c r="L24" s="27" t="str">
        <f t="shared" si="10"/>
        <v>On time</v>
      </c>
      <c r="M24" s="58">
        <v>46029</v>
      </c>
      <c r="N24" s="27" t="str">
        <f t="shared" si="9"/>
        <v>Atrasado</v>
      </c>
      <c r="O24" s="27">
        <f t="shared" si="2"/>
        <v>26</v>
      </c>
      <c r="P24" s="28" t="str">
        <f t="shared" si="3"/>
        <v>On time</v>
      </c>
      <c r="Q24" s="27">
        <f t="shared" si="4"/>
        <v>94</v>
      </c>
      <c r="R24" s="29" t="s">
        <v>64</v>
      </c>
      <c r="S24" t="s">
        <v>65</v>
      </c>
      <c r="T24" s="35">
        <v>5</v>
      </c>
      <c r="U24" t="s">
        <v>67</v>
      </c>
      <c r="V24" s="31">
        <v>2</v>
      </c>
      <c r="W24" s="9">
        <v>14.73</v>
      </c>
      <c r="X24" s="9">
        <f t="shared" si="5"/>
        <v>29.46</v>
      </c>
      <c r="Z24" s="10">
        <v>46029</v>
      </c>
      <c r="AA24" s="10">
        <v>46044</v>
      </c>
      <c r="AB24" s="10">
        <v>46047</v>
      </c>
      <c r="AC24" s="10">
        <v>46077</v>
      </c>
      <c r="AD24" s="31">
        <f ca="1">TODAY()-AA24</f>
        <v>91</v>
      </c>
      <c r="AE24" s="36">
        <v>1</v>
      </c>
      <c r="AF24" s="9" t="s">
        <v>155</v>
      </c>
      <c r="AG24" s="9" t="s">
        <v>79</v>
      </c>
      <c r="AH24" s="10">
        <v>46047</v>
      </c>
      <c r="AI24" s="9" t="s">
        <v>57</v>
      </c>
      <c r="AJ24" s="10">
        <v>46068</v>
      </c>
      <c r="AK24" s="10">
        <v>46070</v>
      </c>
      <c r="AL24" t="s">
        <v>685</v>
      </c>
      <c r="AM24" s="27" t="str">
        <f t="shared" si="0"/>
        <v>On time</v>
      </c>
      <c r="AN24" s="27" t="str">
        <f t="shared" ca="1" si="7"/>
        <v>Chegou</v>
      </c>
      <c r="AO24" s="27" t="str">
        <f t="shared" ca="1" si="8"/>
        <v>Chegou HCI</v>
      </c>
      <c r="AQ24" t="s">
        <v>535</v>
      </c>
    </row>
    <row r="25" spans="1:43" ht="15" hidden="1" customHeight="1">
      <c r="A25">
        <v>507971</v>
      </c>
      <c r="B25">
        <v>2</v>
      </c>
      <c r="C25" t="s">
        <v>25</v>
      </c>
      <c r="D25" t="s">
        <v>68</v>
      </c>
      <c r="E25" s="23" t="s">
        <v>113</v>
      </c>
      <c r="F25" s="24">
        <v>3</v>
      </c>
      <c r="G25" s="25">
        <v>191.47</v>
      </c>
      <c r="H25" s="25">
        <f t="shared" si="1"/>
        <v>574.41</v>
      </c>
      <c r="I25" s="26">
        <v>46104</v>
      </c>
      <c r="J25" s="10">
        <v>46014</v>
      </c>
      <c r="K25" s="10">
        <v>46014</v>
      </c>
      <c r="L25" s="27" t="str">
        <f t="shared" si="10"/>
        <v>On time</v>
      </c>
      <c r="M25" s="58">
        <v>46029</v>
      </c>
      <c r="N25" s="27" t="str">
        <f t="shared" si="9"/>
        <v>Atrasado</v>
      </c>
      <c r="O25" s="27">
        <f t="shared" si="2"/>
        <v>15</v>
      </c>
      <c r="P25" s="28" t="str">
        <f t="shared" si="3"/>
        <v>On time</v>
      </c>
      <c r="Q25" s="27">
        <f t="shared" si="4"/>
        <v>90</v>
      </c>
      <c r="R25" s="29" t="s">
        <v>64</v>
      </c>
      <c r="S25" t="s">
        <v>65</v>
      </c>
      <c r="T25" s="35">
        <v>2</v>
      </c>
      <c r="U25" t="s">
        <v>68</v>
      </c>
      <c r="V25" s="31">
        <v>10</v>
      </c>
      <c r="W25" s="9">
        <v>7.97</v>
      </c>
      <c r="X25" s="9">
        <f t="shared" si="5"/>
        <v>79.7</v>
      </c>
      <c r="Z25" s="10">
        <v>46029</v>
      </c>
      <c r="AA25" s="10">
        <v>46044</v>
      </c>
      <c r="AB25" s="10">
        <v>46047</v>
      </c>
      <c r="AC25" s="10">
        <v>46077</v>
      </c>
      <c r="AD25" s="31">
        <f t="shared" ref="AD25:AD41" ca="1" si="13">TODAY()-AA25</f>
        <v>91</v>
      </c>
      <c r="AE25" s="36">
        <v>1</v>
      </c>
      <c r="AF25" s="9" t="s">
        <v>155</v>
      </c>
      <c r="AG25" s="9" t="s">
        <v>79</v>
      </c>
      <c r="AH25" s="10">
        <v>46047</v>
      </c>
      <c r="AI25" s="9" t="s">
        <v>57</v>
      </c>
      <c r="AJ25" s="10">
        <v>46068</v>
      </c>
      <c r="AK25" s="10">
        <v>46070</v>
      </c>
      <c r="AL25" t="s">
        <v>685</v>
      </c>
      <c r="AM25" s="27" t="str">
        <f>IF(AB25=0," ",IF(AB25&lt;=AA25+10,"On time","Atrasado"))</f>
        <v>On time</v>
      </c>
      <c r="AN25" s="27" t="str">
        <f t="shared" ca="1" si="7"/>
        <v>Chegou</v>
      </c>
      <c r="AO25" s="27" t="str">
        <f t="shared" ca="1" si="8"/>
        <v>Chegou HCI</v>
      </c>
      <c r="AQ25" t="s">
        <v>535</v>
      </c>
    </row>
    <row r="26" spans="1:43" ht="15" hidden="1" customHeight="1">
      <c r="A26">
        <v>507957</v>
      </c>
      <c r="B26">
        <v>1</v>
      </c>
      <c r="C26" t="s">
        <v>25</v>
      </c>
      <c r="D26" t="s">
        <v>69</v>
      </c>
      <c r="E26" s="23" t="s">
        <v>114</v>
      </c>
      <c r="F26" s="24">
        <v>10</v>
      </c>
      <c r="G26" s="25">
        <v>49.73</v>
      </c>
      <c r="H26" s="25">
        <f t="shared" si="1"/>
        <v>497.29999999999995</v>
      </c>
      <c r="I26" s="26">
        <v>46104</v>
      </c>
      <c r="J26" s="10">
        <v>46013</v>
      </c>
      <c r="K26" s="10">
        <v>46013</v>
      </c>
      <c r="L26" s="27" t="str">
        <f t="shared" si="10"/>
        <v>On time</v>
      </c>
      <c r="M26" s="58">
        <v>46029</v>
      </c>
      <c r="N26" s="27" t="str">
        <f t="shared" si="9"/>
        <v>Atrasado</v>
      </c>
      <c r="O26" s="27">
        <f t="shared" si="2"/>
        <v>16</v>
      </c>
      <c r="P26" s="28" t="str">
        <f t="shared" si="3"/>
        <v>On time</v>
      </c>
      <c r="Q26" s="27">
        <f t="shared" si="4"/>
        <v>91</v>
      </c>
      <c r="R26" s="29" t="s">
        <v>64</v>
      </c>
      <c r="S26" t="s">
        <v>65</v>
      </c>
      <c r="T26" s="35">
        <v>8</v>
      </c>
      <c r="U26" t="s">
        <v>69</v>
      </c>
      <c r="V26" s="31">
        <v>10</v>
      </c>
      <c r="W26" s="9">
        <v>2.25</v>
      </c>
      <c r="X26" s="9">
        <f t="shared" si="5"/>
        <v>22.5</v>
      </c>
      <c r="Z26" s="10">
        <v>46029</v>
      </c>
      <c r="AA26" s="10">
        <v>46044</v>
      </c>
      <c r="AB26" s="10">
        <v>46047</v>
      </c>
      <c r="AC26" s="10">
        <v>46077</v>
      </c>
      <c r="AD26" s="31">
        <f t="shared" ca="1" si="13"/>
        <v>91</v>
      </c>
      <c r="AE26" s="36">
        <v>1</v>
      </c>
      <c r="AF26" s="9" t="s">
        <v>155</v>
      </c>
      <c r="AG26" s="9" t="s">
        <v>79</v>
      </c>
      <c r="AH26" s="10">
        <v>46047</v>
      </c>
      <c r="AI26" s="9" t="s">
        <v>57</v>
      </c>
      <c r="AJ26" s="10">
        <v>46068</v>
      </c>
      <c r="AK26" s="10">
        <v>46070</v>
      </c>
      <c r="AL26" t="s">
        <v>685</v>
      </c>
      <c r="AM26" s="27" t="str">
        <f t="shared" si="0"/>
        <v>On time</v>
      </c>
      <c r="AN26" s="27" t="str">
        <f t="shared" ca="1" si="7"/>
        <v>Chegou</v>
      </c>
      <c r="AO26" s="27" t="str">
        <f t="shared" ca="1" si="8"/>
        <v>Chegou HCI</v>
      </c>
      <c r="AQ26" t="s">
        <v>535</v>
      </c>
    </row>
    <row r="27" spans="1:43" ht="15" hidden="1" customHeight="1">
      <c r="A27">
        <v>507982</v>
      </c>
      <c r="B27">
        <v>3</v>
      </c>
      <c r="C27" t="s">
        <v>25</v>
      </c>
      <c r="D27" t="s">
        <v>70</v>
      </c>
      <c r="E27" s="23" t="s">
        <v>115</v>
      </c>
      <c r="F27" s="24">
        <v>6</v>
      </c>
      <c r="G27" s="25">
        <v>598.19000000000005</v>
      </c>
      <c r="H27" s="25">
        <f t="shared" si="1"/>
        <v>3589.1400000000003</v>
      </c>
      <c r="I27" s="26">
        <v>46104</v>
      </c>
      <c r="J27" s="10">
        <v>46013</v>
      </c>
      <c r="K27" s="10">
        <v>46014</v>
      </c>
      <c r="L27" s="27" t="str">
        <f t="shared" si="10"/>
        <v>On time</v>
      </c>
      <c r="M27" s="58">
        <v>46029</v>
      </c>
      <c r="N27" s="27" t="str">
        <f t="shared" si="9"/>
        <v>Atrasado</v>
      </c>
      <c r="O27" s="27">
        <f t="shared" si="2"/>
        <v>16</v>
      </c>
      <c r="P27" s="28" t="str">
        <f t="shared" si="3"/>
        <v>On time</v>
      </c>
      <c r="Q27" s="27">
        <f t="shared" si="4"/>
        <v>91</v>
      </c>
      <c r="R27" s="29" t="s">
        <v>64</v>
      </c>
      <c r="S27" t="s">
        <v>65</v>
      </c>
      <c r="T27" s="35">
        <v>9</v>
      </c>
      <c r="U27" t="s">
        <v>70</v>
      </c>
      <c r="V27" s="31">
        <v>6</v>
      </c>
      <c r="W27" s="9">
        <v>35.909999999999997</v>
      </c>
      <c r="X27" s="9">
        <f t="shared" si="5"/>
        <v>215.45999999999998</v>
      </c>
      <c r="Z27" s="10">
        <v>46029</v>
      </c>
      <c r="AA27" s="10">
        <v>46044</v>
      </c>
      <c r="AB27" s="10">
        <v>46047</v>
      </c>
      <c r="AC27" s="10">
        <v>46077</v>
      </c>
      <c r="AD27" s="31">
        <f t="shared" ca="1" si="13"/>
        <v>91</v>
      </c>
      <c r="AE27" s="36">
        <v>1</v>
      </c>
      <c r="AF27" s="9" t="s">
        <v>155</v>
      </c>
      <c r="AG27" s="9" t="s">
        <v>79</v>
      </c>
      <c r="AH27" s="10">
        <v>46047</v>
      </c>
      <c r="AI27" s="9" t="s">
        <v>57</v>
      </c>
      <c r="AJ27" s="10">
        <v>46068</v>
      </c>
      <c r="AK27" s="10">
        <v>46070</v>
      </c>
      <c r="AL27" t="s">
        <v>685</v>
      </c>
      <c r="AM27" s="27" t="str">
        <f>IF(AB27=0," ",IF(AB27&lt;=AA27+10,"On time","Atrasado"))</f>
        <v>On time</v>
      </c>
      <c r="AN27" s="27" t="str">
        <f t="shared" ca="1" si="7"/>
        <v>Chegou</v>
      </c>
      <c r="AO27" s="27" t="str">
        <f ca="1">IF(AN27="Chegou","Chegou HCI",IF(AND(AJ27&lt;&gt;"",AK27&lt;&gt;""),IF(TODAY()&gt;=AJ27,"Embarcado","Ag. embarque"),IF(AND(AJ27&lt;&gt;"",AK27=""),"Ag. booking","")))</f>
        <v>Chegou HCI</v>
      </c>
      <c r="AQ27" t="s">
        <v>535</v>
      </c>
    </row>
    <row r="28" spans="1:43" ht="15" hidden="1" customHeight="1">
      <c r="A28">
        <v>507543</v>
      </c>
      <c r="B28">
        <v>6</v>
      </c>
      <c r="C28" t="s">
        <v>25</v>
      </c>
      <c r="D28" t="s">
        <v>71</v>
      </c>
      <c r="E28" s="23" t="s">
        <v>116</v>
      </c>
      <c r="F28" s="24">
        <v>4</v>
      </c>
      <c r="G28" s="25">
        <v>164.5</v>
      </c>
      <c r="H28" s="25">
        <f t="shared" si="1"/>
        <v>658</v>
      </c>
      <c r="I28" s="26">
        <v>46097</v>
      </c>
      <c r="J28" s="10">
        <v>46003</v>
      </c>
      <c r="K28" s="10">
        <v>46007</v>
      </c>
      <c r="L28" s="27" t="str">
        <f t="shared" si="10"/>
        <v>On time</v>
      </c>
      <c r="M28" s="58">
        <v>46029</v>
      </c>
      <c r="N28" s="27" t="str">
        <f t="shared" si="9"/>
        <v>Atrasado</v>
      </c>
      <c r="O28" s="27">
        <f t="shared" si="2"/>
        <v>26</v>
      </c>
      <c r="P28" s="28" t="str">
        <f t="shared" si="3"/>
        <v>On time</v>
      </c>
      <c r="Q28" s="27">
        <f t="shared" si="4"/>
        <v>94</v>
      </c>
      <c r="R28" s="29" t="s">
        <v>64</v>
      </c>
      <c r="S28" t="s">
        <v>65</v>
      </c>
      <c r="T28" s="35">
        <v>4</v>
      </c>
      <c r="U28" t="s">
        <v>71</v>
      </c>
      <c r="V28" s="31">
        <v>4</v>
      </c>
      <c r="W28" s="9">
        <v>7.5</v>
      </c>
      <c r="X28" s="9">
        <f t="shared" si="5"/>
        <v>30</v>
      </c>
      <c r="Z28" s="10">
        <v>46029</v>
      </c>
      <c r="AA28" s="10">
        <v>46044</v>
      </c>
      <c r="AB28" s="10">
        <v>46047</v>
      </c>
      <c r="AC28" s="10">
        <v>46077</v>
      </c>
      <c r="AD28" s="31">
        <f t="shared" ca="1" si="13"/>
        <v>91</v>
      </c>
      <c r="AE28" s="36">
        <v>1</v>
      </c>
      <c r="AF28" s="9" t="s">
        <v>155</v>
      </c>
      <c r="AG28" s="9" t="s">
        <v>79</v>
      </c>
      <c r="AH28" s="10">
        <v>46047</v>
      </c>
      <c r="AI28" s="9" t="s">
        <v>57</v>
      </c>
      <c r="AJ28" s="10">
        <v>46068</v>
      </c>
      <c r="AK28" s="10">
        <v>46070</v>
      </c>
      <c r="AL28" t="s">
        <v>685</v>
      </c>
      <c r="AM28" s="27" t="str">
        <f t="shared" si="0"/>
        <v>On time</v>
      </c>
      <c r="AN28" s="27" t="str">
        <f t="shared" ca="1" si="7"/>
        <v>Chegou</v>
      </c>
      <c r="AO28" s="27" t="str">
        <f t="shared" ca="1" si="8"/>
        <v>Chegou HCI</v>
      </c>
      <c r="AQ28" t="s">
        <v>535</v>
      </c>
    </row>
    <row r="29" spans="1:43" ht="15" hidden="1" customHeight="1">
      <c r="A29">
        <v>507971</v>
      </c>
      <c r="B29">
        <v>1</v>
      </c>
      <c r="C29" t="s">
        <v>25</v>
      </c>
      <c r="D29" t="s">
        <v>72</v>
      </c>
      <c r="E29" s="23" t="s">
        <v>117</v>
      </c>
      <c r="F29" s="24">
        <v>2</v>
      </c>
      <c r="G29" s="25">
        <v>181.62</v>
      </c>
      <c r="H29" s="25">
        <f t="shared" si="1"/>
        <v>363.24</v>
      </c>
      <c r="I29" s="26">
        <v>46104</v>
      </c>
      <c r="J29" s="10">
        <v>46014</v>
      </c>
      <c r="K29" s="10">
        <v>46014</v>
      </c>
      <c r="L29" s="27" t="str">
        <f t="shared" si="10"/>
        <v>On time</v>
      </c>
      <c r="M29" s="58">
        <v>46029</v>
      </c>
      <c r="N29" s="27" t="str">
        <f t="shared" si="9"/>
        <v>Atrasado</v>
      </c>
      <c r="O29" s="27">
        <f t="shared" si="2"/>
        <v>15</v>
      </c>
      <c r="P29" s="28" t="str">
        <f t="shared" si="3"/>
        <v>On time</v>
      </c>
      <c r="Q29" s="27">
        <f t="shared" si="4"/>
        <v>90</v>
      </c>
      <c r="R29" s="29" t="s">
        <v>64</v>
      </c>
      <c r="S29" t="s">
        <v>65</v>
      </c>
      <c r="T29" s="35">
        <v>1</v>
      </c>
      <c r="U29" t="s">
        <v>72</v>
      </c>
      <c r="V29" s="31">
        <v>2</v>
      </c>
      <c r="W29" s="9">
        <v>8.2799999999999994</v>
      </c>
      <c r="X29" s="9">
        <f t="shared" si="5"/>
        <v>16.559999999999999</v>
      </c>
      <c r="Z29" s="10">
        <v>46029</v>
      </c>
      <c r="AA29" s="10">
        <v>46044</v>
      </c>
      <c r="AB29" s="10">
        <v>46047</v>
      </c>
      <c r="AC29" s="10">
        <v>46077</v>
      </c>
      <c r="AD29" s="31">
        <f ca="1">TODAY()-AA29</f>
        <v>91</v>
      </c>
      <c r="AE29" s="36">
        <v>1</v>
      </c>
      <c r="AF29" s="9" t="s">
        <v>155</v>
      </c>
      <c r="AG29" s="9" t="s">
        <v>79</v>
      </c>
      <c r="AH29" s="10">
        <v>46047</v>
      </c>
      <c r="AI29" s="9" t="s">
        <v>57</v>
      </c>
      <c r="AJ29" s="10">
        <v>46068</v>
      </c>
      <c r="AK29" s="10">
        <v>46070</v>
      </c>
      <c r="AL29" t="s">
        <v>685</v>
      </c>
      <c r="AM29" s="27" t="str">
        <f t="shared" si="0"/>
        <v>On time</v>
      </c>
      <c r="AN29" s="27" t="str">
        <f t="shared" ca="1" si="7"/>
        <v>Chegou</v>
      </c>
      <c r="AO29" s="27" t="str">
        <f t="shared" ca="1" si="8"/>
        <v>Chegou HCI</v>
      </c>
      <c r="AQ29" t="s">
        <v>535</v>
      </c>
    </row>
    <row r="30" spans="1:43" ht="15" hidden="1" customHeight="1">
      <c r="A30">
        <v>508233</v>
      </c>
      <c r="B30">
        <v>5</v>
      </c>
      <c r="C30" t="s">
        <v>25</v>
      </c>
      <c r="D30" t="s">
        <v>73</v>
      </c>
      <c r="E30" s="23" t="s">
        <v>118</v>
      </c>
      <c r="F30" s="24">
        <v>2</v>
      </c>
      <c r="G30" s="25">
        <v>57.69</v>
      </c>
      <c r="H30" s="25">
        <f t="shared" si="1"/>
        <v>115.38</v>
      </c>
      <c r="I30" s="26">
        <v>46114</v>
      </c>
      <c r="J30" s="10">
        <v>46021</v>
      </c>
      <c r="K30" s="10">
        <v>46027</v>
      </c>
      <c r="L30" s="27" t="str">
        <f t="shared" si="10"/>
        <v>On time</v>
      </c>
      <c r="M30" s="58">
        <v>46029</v>
      </c>
      <c r="N30" s="27" t="str">
        <f t="shared" si="9"/>
        <v>Atrasado</v>
      </c>
      <c r="O30" s="27">
        <f t="shared" si="2"/>
        <v>8</v>
      </c>
      <c r="P30" s="28" t="str">
        <f t="shared" si="3"/>
        <v>On time</v>
      </c>
      <c r="Q30" s="27">
        <f t="shared" si="4"/>
        <v>93</v>
      </c>
      <c r="R30" s="29" t="s">
        <v>64</v>
      </c>
      <c r="S30" t="s">
        <v>65</v>
      </c>
      <c r="T30" s="35">
        <v>10</v>
      </c>
      <c r="U30" t="s">
        <v>73</v>
      </c>
      <c r="V30" s="31">
        <v>2</v>
      </c>
      <c r="W30" s="9">
        <v>3.46</v>
      </c>
      <c r="X30" s="9">
        <f t="shared" si="5"/>
        <v>6.92</v>
      </c>
      <c r="Z30" s="10">
        <v>46029</v>
      </c>
      <c r="AA30" s="10">
        <v>46044</v>
      </c>
      <c r="AB30" s="10">
        <v>46047</v>
      </c>
      <c r="AC30" s="10">
        <v>46077</v>
      </c>
      <c r="AD30" s="31">
        <f t="shared" ca="1" si="13"/>
        <v>91</v>
      </c>
      <c r="AE30" s="36">
        <v>1</v>
      </c>
      <c r="AF30" s="9" t="s">
        <v>155</v>
      </c>
      <c r="AG30" s="9" t="s">
        <v>79</v>
      </c>
      <c r="AH30" s="10">
        <v>46047</v>
      </c>
      <c r="AI30" s="9" t="s">
        <v>57</v>
      </c>
      <c r="AJ30" s="10">
        <v>46068</v>
      </c>
      <c r="AK30" s="10">
        <v>46070</v>
      </c>
      <c r="AL30" t="s">
        <v>685</v>
      </c>
      <c r="AM30" s="27" t="str">
        <f t="shared" si="0"/>
        <v>On time</v>
      </c>
      <c r="AN30" s="27" t="str">
        <f t="shared" ca="1" si="7"/>
        <v>Chegou</v>
      </c>
      <c r="AO30" s="27" t="str">
        <f t="shared" ca="1" si="8"/>
        <v>Chegou HCI</v>
      </c>
      <c r="AQ30" t="s">
        <v>535</v>
      </c>
    </row>
    <row r="31" spans="1:43" ht="15" hidden="1" customHeight="1">
      <c r="A31">
        <v>507543</v>
      </c>
      <c r="B31">
        <v>1</v>
      </c>
      <c r="C31" t="s">
        <v>25</v>
      </c>
      <c r="D31" t="s">
        <v>74</v>
      </c>
      <c r="E31" s="23" t="s">
        <v>119</v>
      </c>
      <c r="F31" s="24">
        <v>15</v>
      </c>
      <c r="G31" s="25">
        <v>241.48</v>
      </c>
      <c r="H31" s="25">
        <f t="shared" si="1"/>
        <v>3622.2</v>
      </c>
      <c r="I31" s="26">
        <v>46097</v>
      </c>
      <c r="J31" s="10">
        <v>46003</v>
      </c>
      <c r="K31" s="10">
        <v>46007</v>
      </c>
      <c r="L31" s="27" t="str">
        <f t="shared" si="10"/>
        <v>On time</v>
      </c>
      <c r="M31" s="58">
        <v>46029</v>
      </c>
      <c r="N31" s="27" t="str">
        <f t="shared" si="9"/>
        <v>Atrasado</v>
      </c>
      <c r="O31" s="27">
        <f t="shared" si="2"/>
        <v>26</v>
      </c>
      <c r="P31" s="28" t="str">
        <f t="shared" si="3"/>
        <v>On time</v>
      </c>
      <c r="Q31" s="27">
        <f t="shared" si="4"/>
        <v>94</v>
      </c>
      <c r="R31" s="29" t="s">
        <v>64</v>
      </c>
      <c r="S31" t="s">
        <v>65</v>
      </c>
      <c r="T31" s="35">
        <v>3</v>
      </c>
      <c r="U31" t="s">
        <v>74</v>
      </c>
      <c r="V31" s="31">
        <v>15</v>
      </c>
      <c r="W31" s="9">
        <v>9.26</v>
      </c>
      <c r="X31" s="9">
        <f t="shared" si="5"/>
        <v>138.9</v>
      </c>
      <c r="Z31" s="10">
        <v>46029</v>
      </c>
      <c r="AA31" s="10">
        <v>46044</v>
      </c>
      <c r="AB31" s="10">
        <v>46047</v>
      </c>
      <c r="AC31" s="10">
        <v>46077</v>
      </c>
      <c r="AD31" s="31">
        <f t="shared" ca="1" si="13"/>
        <v>91</v>
      </c>
      <c r="AE31" s="36">
        <v>1</v>
      </c>
      <c r="AF31" s="9" t="s">
        <v>155</v>
      </c>
      <c r="AG31" s="9" t="s">
        <v>79</v>
      </c>
      <c r="AH31" s="10">
        <v>46047</v>
      </c>
      <c r="AI31" s="9" t="s">
        <v>57</v>
      </c>
      <c r="AJ31" s="10">
        <v>46068</v>
      </c>
      <c r="AK31" s="10">
        <v>46070</v>
      </c>
      <c r="AL31" t="s">
        <v>685</v>
      </c>
      <c r="AM31" s="27" t="str">
        <f t="shared" si="0"/>
        <v>On time</v>
      </c>
      <c r="AN31" s="27" t="str">
        <f t="shared" ca="1" si="7"/>
        <v>Chegou</v>
      </c>
      <c r="AO31" s="27" t="str">
        <f t="shared" ca="1" si="8"/>
        <v>Chegou HCI</v>
      </c>
      <c r="AQ31" t="s">
        <v>535</v>
      </c>
    </row>
    <row r="32" spans="1:43" ht="15" hidden="1" customHeight="1">
      <c r="A32">
        <v>507438</v>
      </c>
      <c r="B32">
        <v>1</v>
      </c>
      <c r="C32" t="s">
        <v>25</v>
      </c>
      <c r="D32" t="s">
        <v>75</v>
      </c>
      <c r="E32" s="23" t="s">
        <v>120</v>
      </c>
      <c r="F32" s="24">
        <v>3</v>
      </c>
      <c r="G32" s="25">
        <v>162.72</v>
      </c>
      <c r="H32" s="25">
        <f t="shared" si="1"/>
        <v>488.15999999999997</v>
      </c>
      <c r="I32" s="26">
        <v>46097</v>
      </c>
      <c r="J32" s="10">
        <v>46006</v>
      </c>
      <c r="K32" s="10">
        <v>46006</v>
      </c>
      <c r="L32" s="27" t="str">
        <f t="shared" si="10"/>
        <v>On time</v>
      </c>
      <c r="M32" s="58">
        <v>46029</v>
      </c>
      <c r="N32" s="27" t="str">
        <f t="shared" si="9"/>
        <v>Atrasado</v>
      </c>
      <c r="O32" s="27">
        <f t="shared" si="2"/>
        <v>23</v>
      </c>
      <c r="P32" s="28" t="str">
        <f t="shared" si="3"/>
        <v>On time</v>
      </c>
      <c r="Q32" s="27">
        <f t="shared" si="4"/>
        <v>91</v>
      </c>
      <c r="R32" s="29" t="s">
        <v>64</v>
      </c>
      <c r="S32" t="s">
        <v>65</v>
      </c>
      <c r="T32" s="35">
        <v>6</v>
      </c>
      <c r="U32" t="s">
        <v>75</v>
      </c>
      <c r="V32" s="31">
        <v>3</v>
      </c>
      <c r="W32" s="9">
        <v>6.24</v>
      </c>
      <c r="X32" s="9">
        <f t="shared" si="5"/>
        <v>18.72</v>
      </c>
      <c r="Z32" s="10">
        <v>46029</v>
      </c>
      <c r="AA32" s="10">
        <v>46044</v>
      </c>
      <c r="AB32" s="10">
        <v>46047</v>
      </c>
      <c r="AC32" s="10">
        <v>46077</v>
      </c>
      <c r="AD32" s="31">
        <f t="shared" ca="1" si="13"/>
        <v>91</v>
      </c>
      <c r="AE32" s="36">
        <v>1</v>
      </c>
      <c r="AF32" s="9" t="s">
        <v>155</v>
      </c>
      <c r="AG32" s="9" t="s">
        <v>79</v>
      </c>
      <c r="AH32" s="10">
        <v>46047</v>
      </c>
      <c r="AI32" s="9" t="s">
        <v>57</v>
      </c>
      <c r="AJ32" s="10">
        <v>46068</v>
      </c>
      <c r="AK32" s="10">
        <v>46070</v>
      </c>
      <c r="AL32" t="s">
        <v>685</v>
      </c>
      <c r="AM32" s="27" t="str">
        <f t="shared" si="0"/>
        <v>On time</v>
      </c>
      <c r="AN32" s="27" t="str">
        <f t="shared" ca="1" si="7"/>
        <v>Chegou</v>
      </c>
      <c r="AO32" s="27" t="str">
        <f t="shared" ca="1" si="8"/>
        <v>Chegou HCI</v>
      </c>
      <c r="AQ32" t="s">
        <v>535</v>
      </c>
    </row>
    <row r="33" spans="1:43" ht="15" hidden="1" customHeight="1">
      <c r="A33">
        <v>507411</v>
      </c>
      <c r="B33">
        <v>3</v>
      </c>
      <c r="C33" t="s">
        <v>84</v>
      </c>
      <c r="D33" t="s">
        <v>83</v>
      </c>
      <c r="E33" s="23" t="s">
        <v>1301</v>
      </c>
      <c r="F33" s="24">
        <v>2</v>
      </c>
      <c r="G33" s="25">
        <v>18604.29</v>
      </c>
      <c r="H33" s="25">
        <f t="shared" si="1"/>
        <v>37208.58</v>
      </c>
      <c r="I33" s="26">
        <v>46087</v>
      </c>
      <c r="J33" s="10">
        <v>46029</v>
      </c>
      <c r="K33" s="10">
        <v>46029</v>
      </c>
      <c r="L33" s="27" t="str">
        <f t="shared" si="10"/>
        <v>On time</v>
      </c>
      <c r="M33" s="58">
        <v>46031</v>
      </c>
      <c r="N33" s="27" t="str">
        <f t="shared" si="9"/>
        <v>On time</v>
      </c>
      <c r="O33" s="27">
        <f t="shared" si="2"/>
        <v>2</v>
      </c>
      <c r="P33" s="28" t="str">
        <f t="shared" si="3"/>
        <v>On time</v>
      </c>
      <c r="Q33" s="27">
        <f>I33-J33</f>
        <v>58</v>
      </c>
      <c r="R33" s="29" t="s">
        <v>138</v>
      </c>
      <c r="S33" t="s">
        <v>90</v>
      </c>
      <c r="T33" s="35">
        <v>1</v>
      </c>
      <c r="U33" t="s">
        <v>83</v>
      </c>
      <c r="V33" s="27">
        <v>2</v>
      </c>
      <c r="W33" s="9">
        <v>880</v>
      </c>
      <c r="X33" s="9">
        <f t="shared" si="5"/>
        <v>1760</v>
      </c>
      <c r="Y33">
        <v>940</v>
      </c>
      <c r="Z33" s="10">
        <v>46031</v>
      </c>
      <c r="AA33" s="10">
        <v>46052</v>
      </c>
      <c r="AB33" s="10">
        <v>46062</v>
      </c>
      <c r="AC33" s="10">
        <v>46085</v>
      </c>
      <c r="AD33" s="31">
        <f t="shared" ca="1" si="13"/>
        <v>83</v>
      </c>
      <c r="AE33" s="36">
        <v>1</v>
      </c>
      <c r="AF33" s="9" t="s">
        <v>63</v>
      </c>
      <c r="AG33" s="9" t="s">
        <v>79</v>
      </c>
      <c r="AH33" s="10">
        <v>46060</v>
      </c>
      <c r="AI33" s="9" t="s">
        <v>57</v>
      </c>
      <c r="AJ33" s="10">
        <v>46077</v>
      </c>
      <c r="AK33" s="10">
        <v>46080</v>
      </c>
      <c r="AL33" t="s">
        <v>682</v>
      </c>
      <c r="AM33" s="27" t="str">
        <f t="shared" si="0"/>
        <v>On time</v>
      </c>
      <c r="AN33" s="27" t="str">
        <f t="shared" ca="1" si="7"/>
        <v>Chegou</v>
      </c>
      <c r="AO33" s="27" t="str">
        <f t="shared" ca="1" si="8"/>
        <v>Chegou HCI</v>
      </c>
      <c r="AP33" t="s">
        <v>240</v>
      </c>
      <c r="AQ33" t="s">
        <v>536</v>
      </c>
    </row>
    <row r="34" spans="1:43" hidden="1">
      <c r="A34">
        <v>507411</v>
      </c>
      <c r="B34">
        <v>4</v>
      </c>
      <c r="C34" t="s">
        <v>84</v>
      </c>
      <c r="D34" t="s">
        <v>85</v>
      </c>
      <c r="E34" s="23" t="s">
        <v>1317</v>
      </c>
      <c r="F34" s="24">
        <v>4</v>
      </c>
      <c r="G34" s="25">
        <v>9214.51</v>
      </c>
      <c r="H34" s="25">
        <f t="shared" si="1"/>
        <v>36858.04</v>
      </c>
      <c r="I34" s="26">
        <v>46087</v>
      </c>
      <c r="J34" s="10">
        <v>46029</v>
      </c>
      <c r="K34" s="10">
        <v>46029</v>
      </c>
      <c r="L34" s="27" t="str">
        <f t="shared" si="10"/>
        <v>On time</v>
      </c>
      <c r="M34" s="58">
        <v>46031</v>
      </c>
      <c r="N34" s="27" t="str">
        <f t="shared" si="9"/>
        <v>On time</v>
      </c>
      <c r="O34" s="27">
        <f t="shared" si="2"/>
        <v>2</v>
      </c>
      <c r="P34" s="28" t="str">
        <f t="shared" si="3"/>
        <v>On time</v>
      </c>
      <c r="Q34" s="27">
        <f>I34-J34</f>
        <v>58</v>
      </c>
      <c r="R34" s="29" t="s">
        <v>138</v>
      </c>
      <c r="S34" t="s">
        <v>90</v>
      </c>
      <c r="T34" s="35">
        <v>2</v>
      </c>
      <c r="U34" t="s">
        <v>85</v>
      </c>
      <c r="V34" s="27">
        <v>4</v>
      </c>
      <c r="W34" s="9">
        <v>435</v>
      </c>
      <c r="X34" s="9">
        <f t="shared" si="5"/>
        <v>1740</v>
      </c>
      <c r="Y34">
        <v>1280</v>
      </c>
      <c r="Z34" s="10">
        <v>46031</v>
      </c>
      <c r="AA34" s="10">
        <v>46052</v>
      </c>
      <c r="AB34" s="10">
        <v>46062</v>
      </c>
      <c r="AC34" s="10">
        <v>46085</v>
      </c>
      <c r="AD34" s="31">
        <f t="shared" ca="1" si="13"/>
        <v>83</v>
      </c>
      <c r="AE34" s="36">
        <v>1</v>
      </c>
      <c r="AF34" s="9" t="s">
        <v>63</v>
      </c>
      <c r="AG34" s="9" t="s">
        <v>79</v>
      </c>
      <c r="AH34" s="10">
        <v>46060</v>
      </c>
      <c r="AI34" s="9" t="s">
        <v>57</v>
      </c>
      <c r="AJ34" s="10">
        <v>46077</v>
      </c>
      <c r="AK34" s="10">
        <v>46080</v>
      </c>
      <c r="AL34" t="s">
        <v>682</v>
      </c>
      <c r="AM34" s="27" t="str">
        <f t="shared" si="0"/>
        <v>On time</v>
      </c>
      <c r="AN34" s="27" t="str">
        <f t="shared" ca="1" si="7"/>
        <v>Chegou</v>
      </c>
      <c r="AO34" s="27" t="str">
        <f t="shared" ca="1" si="8"/>
        <v>Chegou HCI</v>
      </c>
      <c r="AP34" t="s">
        <v>240</v>
      </c>
      <c r="AQ34" t="s">
        <v>536</v>
      </c>
    </row>
    <row r="35" spans="1:43" ht="15" hidden="1" customHeight="1">
      <c r="A35">
        <v>507411</v>
      </c>
      <c r="B35">
        <v>1</v>
      </c>
      <c r="C35" t="s">
        <v>84</v>
      </c>
      <c r="D35" t="s">
        <v>82</v>
      </c>
      <c r="E35" s="23" t="s">
        <v>1969</v>
      </c>
      <c r="F35" s="24">
        <v>1</v>
      </c>
      <c r="G35" s="25">
        <v>1800</v>
      </c>
      <c r="H35" s="25">
        <f t="shared" si="1"/>
        <v>1800</v>
      </c>
      <c r="I35" s="26">
        <v>46164</v>
      </c>
      <c r="J35" s="10">
        <v>46029</v>
      </c>
      <c r="K35" s="10">
        <v>46029</v>
      </c>
      <c r="L35" s="27" t="str">
        <f t="shared" si="10"/>
        <v>On time</v>
      </c>
      <c r="M35" s="58">
        <v>46031</v>
      </c>
      <c r="N35" s="27" t="str">
        <f t="shared" si="9"/>
        <v>On time</v>
      </c>
      <c r="O35" s="27">
        <f t="shared" si="2"/>
        <v>2</v>
      </c>
      <c r="P35" s="28" t="str">
        <f t="shared" si="3"/>
        <v>On time</v>
      </c>
      <c r="Q35" s="27">
        <f t="shared" si="4"/>
        <v>135</v>
      </c>
      <c r="R35" s="29" t="s">
        <v>138</v>
      </c>
      <c r="S35" t="s">
        <v>90</v>
      </c>
      <c r="T35" s="35">
        <v>3</v>
      </c>
      <c r="U35" t="s">
        <v>82</v>
      </c>
      <c r="V35" s="27">
        <v>1</v>
      </c>
      <c r="W35" s="9">
        <v>72.5</v>
      </c>
      <c r="X35" s="9">
        <f t="shared" si="5"/>
        <v>72.5</v>
      </c>
      <c r="Y35">
        <v>24</v>
      </c>
      <c r="Z35" s="10">
        <v>46031</v>
      </c>
      <c r="AA35" s="10">
        <v>46052</v>
      </c>
      <c r="AB35" s="10">
        <v>46062</v>
      </c>
      <c r="AC35" s="10">
        <v>46085</v>
      </c>
      <c r="AD35" s="31">
        <f t="shared" ca="1" si="13"/>
        <v>83</v>
      </c>
      <c r="AE35" s="36">
        <v>1</v>
      </c>
      <c r="AF35" s="9" t="s">
        <v>63</v>
      </c>
      <c r="AG35" s="9" t="s">
        <v>79</v>
      </c>
      <c r="AH35" s="10">
        <v>46060</v>
      </c>
      <c r="AI35" s="9" t="s">
        <v>57</v>
      </c>
      <c r="AJ35" s="10">
        <v>46077</v>
      </c>
      <c r="AK35" s="10">
        <v>46080</v>
      </c>
      <c r="AL35" t="s">
        <v>682</v>
      </c>
      <c r="AM35" s="27" t="str">
        <f>IF(AB35=0," ",IF(AB35&lt;=AA35+10,"On time","Atrasado"))</f>
        <v>On time</v>
      </c>
      <c r="AN35" s="27" t="str">
        <f t="shared" ca="1" si="7"/>
        <v>Chegou</v>
      </c>
      <c r="AO35" s="27" t="str">
        <f t="shared" ca="1" si="8"/>
        <v>Chegou HCI</v>
      </c>
      <c r="AP35" t="s">
        <v>240</v>
      </c>
      <c r="AQ35" t="s">
        <v>536</v>
      </c>
    </row>
    <row r="36" spans="1:43" ht="15" hidden="1" customHeight="1">
      <c r="A36">
        <v>506868</v>
      </c>
      <c r="B36">
        <v>4</v>
      </c>
      <c r="C36" t="s">
        <v>88</v>
      </c>
      <c r="D36" t="s">
        <v>86</v>
      </c>
      <c r="E36" s="23" t="s">
        <v>1970</v>
      </c>
      <c r="F36" s="24">
        <v>3</v>
      </c>
      <c r="G36" s="25">
        <v>835</v>
      </c>
      <c r="H36" s="25">
        <f t="shared" si="1"/>
        <v>2505</v>
      </c>
      <c r="I36" s="26">
        <v>46168</v>
      </c>
      <c r="J36" s="10">
        <v>46029</v>
      </c>
      <c r="K36" s="10">
        <v>46029</v>
      </c>
      <c r="L36" s="27" t="str">
        <f t="shared" si="10"/>
        <v>On time</v>
      </c>
      <c r="M36" s="58">
        <v>46031</v>
      </c>
      <c r="N36" s="27" t="str">
        <f t="shared" si="9"/>
        <v>On time</v>
      </c>
      <c r="O36" s="27">
        <f t="shared" si="2"/>
        <v>2</v>
      </c>
      <c r="P36" s="28" t="str">
        <f t="shared" si="3"/>
        <v>On time</v>
      </c>
      <c r="Q36" s="27">
        <f t="shared" si="4"/>
        <v>139</v>
      </c>
      <c r="R36" s="29" t="s">
        <v>89</v>
      </c>
      <c r="S36" t="s">
        <v>90</v>
      </c>
      <c r="T36" s="35">
        <v>4</v>
      </c>
      <c r="U36" t="s">
        <v>86</v>
      </c>
      <c r="V36" s="27">
        <v>3</v>
      </c>
      <c r="W36" s="9">
        <v>19.68</v>
      </c>
      <c r="X36" s="9">
        <f t="shared" si="5"/>
        <v>59.04</v>
      </c>
      <c r="Y36">
        <v>5</v>
      </c>
      <c r="Z36" s="10">
        <v>46031</v>
      </c>
      <c r="AA36" s="10">
        <v>46046</v>
      </c>
      <c r="AB36" s="10">
        <v>46043</v>
      </c>
      <c r="AC36" s="10">
        <v>46139</v>
      </c>
      <c r="AD36" s="31">
        <f t="shared" ca="1" si="13"/>
        <v>89</v>
      </c>
      <c r="AE36" s="36">
        <v>1</v>
      </c>
      <c r="AF36" s="9" t="s">
        <v>155</v>
      </c>
      <c r="AG36" s="9" t="s">
        <v>79</v>
      </c>
      <c r="AH36" s="10">
        <v>46042</v>
      </c>
      <c r="AI36" s="9" t="s">
        <v>53</v>
      </c>
      <c r="AJ36" s="10">
        <v>46057</v>
      </c>
      <c r="AK36" s="10">
        <v>46125</v>
      </c>
      <c r="AL36" t="s">
        <v>2060</v>
      </c>
      <c r="AM36" s="27" t="str">
        <f t="shared" si="0"/>
        <v>On time</v>
      </c>
      <c r="AN36" s="27" t="str">
        <f t="shared" ca="1" si="7"/>
        <v>No prazo</v>
      </c>
      <c r="AO36" s="27" t="str">
        <f t="shared" ca="1" si="8"/>
        <v>Embarcado</v>
      </c>
    </row>
    <row r="37" spans="1:43" ht="15" hidden="1" customHeight="1">
      <c r="A37">
        <v>506868</v>
      </c>
      <c r="B37">
        <v>5</v>
      </c>
      <c r="C37" t="s">
        <v>88</v>
      </c>
      <c r="D37" t="s">
        <v>87</v>
      </c>
      <c r="E37" s="23" t="s">
        <v>1300</v>
      </c>
      <c r="F37" s="24">
        <v>6</v>
      </c>
      <c r="G37" s="25">
        <v>1360</v>
      </c>
      <c r="H37" s="25">
        <f t="shared" si="1"/>
        <v>8160</v>
      </c>
      <c r="I37" s="26">
        <v>46168</v>
      </c>
      <c r="J37" s="10">
        <v>46029</v>
      </c>
      <c r="K37" s="10">
        <v>46029</v>
      </c>
      <c r="L37" s="27" t="str">
        <f t="shared" si="10"/>
        <v>On time</v>
      </c>
      <c r="M37" s="58">
        <v>46031</v>
      </c>
      <c r="N37" s="27" t="str">
        <f t="shared" si="9"/>
        <v>On time</v>
      </c>
      <c r="O37" s="27">
        <f t="shared" si="2"/>
        <v>2</v>
      </c>
      <c r="P37" s="28" t="str">
        <f t="shared" si="3"/>
        <v>On time</v>
      </c>
      <c r="Q37" s="27">
        <f t="shared" si="4"/>
        <v>139</v>
      </c>
      <c r="R37" s="29" t="s">
        <v>89</v>
      </c>
      <c r="S37" t="s">
        <v>90</v>
      </c>
      <c r="T37" s="35">
        <v>5</v>
      </c>
      <c r="U37" t="s">
        <v>87</v>
      </c>
      <c r="V37" s="27">
        <v>6</v>
      </c>
      <c r="W37" s="9">
        <v>41.43</v>
      </c>
      <c r="X37" s="9">
        <f t="shared" si="5"/>
        <v>248.57999999999998</v>
      </c>
      <c r="Y37">
        <v>20</v>
      </c>
      <c r="Z37" s="10">
        <v>46031</v>
      </c>
      <c r="AA37" s="10">
        <v>46046</v>
      </c>
      <c r="AB37" s="10">
        <v>46043</v>
      </c>
      <c r="AC37" s="10">
        <v>46139</v>
      </c>
      <c r="AD37" s="31">
        <f ca="1">TODAY()-AA37</f>
        <v>89</v>
      </c>
      <c r="AE37" s="36">
        <v>1</v>
      </c>
      <c r="AF37" s="9" t="s">
        <v>155</v>
      </c>
      <c r="AG37" s="9" t="s">
        <v>79</v>
      </c>
      <c r="AH37" s="10">
        <v>46042</v>
      </c>
      <c r="AI37" s="9" t="s">
        <v>53</v>
      </c>
      <c r="AJ37" s="10">
        <v>46057</v>
      </c>
      <c r="AK37" s="10">
        <v>46125</v>
      </c>
      <c r="AL37" t="s">
        <v>2060</v>
      </c>
      <c r="AM37" s="27" t="str">
        <f t="shared" si="0"/>
        <v>On time</v>
      </c>
      <c r="AN37" s="27" t="str">
        <f t="shared" ca="1" si="7"/>
        <v>No prazo</v>
      </c>
      <c r="AO37" s="27" t="str">
        <f t="shared" ca="1" si="8"/>
        <v>Embarcado</v>
      </c>
    </row>
    <row r="38" spans="1:43" ht="15" hidden="1" customHeight="1">
      <c r="A38">
        <v>508128</v>
      </c>
      <c r="B38">
        <v>4</v>
      </c>
      <c r="C38" t="s">
        <v>25</v>
      </c>
      <c r="D38" t="s">
        <v>122</v>
      </c>
      <c r="E38" s="23" t="s">
        <v>123</v>
      </c>
      <c r="F38" s="24">
        <v>10</v>
      </c>
      <c r="G38" s="25">
        <v>793.81</v>
      </c>
      <c r="H38" s="25">
        <f t="shared" si="1"/>
        <v>7938.0999999999995</v>
      </c>
      <c r="I38" s="26">
        <v>46107</v>
      </c>
      <c r="J38" s="10">
        <v>46017</v>
      </c>
      <c r="K38" s="10">
        <v>46020</v>
      </c>
      <c r="L38" s="27" t="str">
        <f t="shared" si="10"/>
        <v>On time</v>
      </c>
      <c r="M38" s="58">
        <v>46034</v>
      </c>
      <c r="N38" s="27" t="str">
        <f t="shared" si="9"/>
        <v>Atrasado</v>
      </c>
      <c r="O38" s="27">
        <f t="shared" si="2"/>
        <v>17</v>
      </c>
      <c r="P38" s="28" t="str">
        <f t="shared" si="3"/>
        <v>On time</v>
      </c>
      <c r="Q38" s="27">
        <f t="shared" si="4"/>
        <v>90</v>
      </c>
      <c r="R38" s="29" t="s">
        <v>124</v>
      </c>
      <c r="S38" s="12" t="s">
        <v>65</v>
      </c>
      <c r="T38" s="35">
        <v>1</v>
      </c>
      <c r="U38" t="s">
        <v>122</v>
      </c>
      <c r="V38" s="27">
        <v>10</v>
      </c>
      <c r="W38" s="9">
        <v>55</v>
      </c>
      <c r="X38" s="9">
        <f t="shared" si="5"/>
        <v>550</v>
      </c>
      <c r="Z38" s="10">
        <v>46038</v>
      </c>
      <c r="AA38" s="10">
        <v>46053</v>
      </c>
      <c r="AB38" s="10">
        <v>46047</v>
      </c>
      <c r="AC38" s="10">
        <v>46077</v>
      </c>
      <c r="AD38" s="31">
        <f t="shared" ca="1" si="13"/>
        <v>82</v>
      </c>
      <c r="AE38" s="36">
        <v>1</v>
      </c>
      <c r="AF38" s="9" t="s">
        <v>155</v>
      </c>
      <c r="AG38" s="9" t="s">
        <v>78</v>
      </c>
      <c r="AH38" s="9" t="s">
        <v>78</v>
      </c>
      <c r="AI38" s="9" t="s">
        <v>57</v>
      </c>
      <c r="AJ38" s="10">
        <v>46068</v>
      </c>
      <c r="AK38" s="10">
        <v>46070</v>
      </c>
      <c r="AL38" t="s">
        <v>685</v>
      </c>
      <c r="AM38" s="27" t="str">
        <f t="shared" si="0"/>
        <v>On time</v>
      </c>
      <c r="AN38" s="27" t="str">
        <f t="shared" ca="1" si="7"/>
        <v>Chegou</v>
      </c>
      <c r="AO38" s="27" t="str">
        <f t="shared" ca="1" si="8"/>
        <v>Chegou HCI</v>
      </c>
    </row>
    <row r="39" spans="1:43" ht="15" hidden="1" customHeight="1">
      <c r="A39">
        <v>502964</v>
      </c>
      <c r="B39" s="34" t="s">
        <v>106</v>
      </c>
      <c r="C39" t="s">
        <v>97</v>
      </c>
      <c r="D39" t="s">
        <v>94</v>
      </c>
      <c r="E39" s="23" t="s">
        <v>1286</v>
      </c>
      <c r="F39" s="24">
        <v>1</v>
      </c>
      <c r="G39" s="25">
        <v>2452.38</v>
      </c>
      <c r="H39" s="25">
        <f t="shared" si="1"/>
        <v>2452.38</v>
      </c>
      <c r="I39" s="26">
        <v>46080</v>
      </c>
      <c r="J39" s="10">
        <v>45943</v>
      </c>
      <c r="K39" s="10">
        <v>45943</v>
      </c>
      <c r="L39" s="27" t="str">
        <f t="shared" si="10"/>
        <v>On time</v>
      </c>
      <c r="M39" s="58">
        <v>46030</v>
      </c>
      <c r="N39" s="27" t="str">
        <f t="shared" si="9"/>
        <v>Atrasado</v>
      </c>
      <c r="O39" s="27">
        <f t="shared" si="2"/>
        <v>87</v>
      </c>
      <c r="P39" s="28" t="str">
        <f t="shared" si="3"/>
        <v>On time</v>
      </c>
      <c r="Q39" s="27">
        <f t="shared" si="4"/>
        <v>137</v>
      </c>
      <c r="R39" s="29" t="s">
        <v>99</v>
      </c>
      <c r="S39" s="12" t="s">
        <v>100</v>
      </c>
      <c r="T39" s="57">
        <v>1</v>
      </c>
      <c r="U39" s="29" t="s">
        <v>101</v>
      </c>
      <c r="V39" s="79">
        <v>10</v>
      </c>
      <c r="W39" s="70">
        <v>200</v>
      </c>
      <c r="X39" s="80">
        <f t="shared" si="5"/>
        <v>2000</v>
      </c>
      <c r="Z39" s="10">
        <v>46031</v>
      </c>
      <c r="AA39" s="10">
        <v>46046</v>
      </c>
      <c r="AB39" s="10">
        <v>46077</v>
      </c>
      <c r="AC39" s="10">
        <v>46149</v>
      </c>
      <c r="AD39" s="31">
        <f t="shared" ca="1" si="13"/>
        <v>89</v>
      </c>
      <c r="AE39" s="36">
        <v>1</v>
      </c>
      <c r="AF39" s="9" t="s">
        <v>155</v>
      </c>
      <c r="AG39" s="9" t="s">
        <v>78</v>
      </c>
      <c r="AH39" s="9" t="s">
        <v>131</v>
      </c>
      <c r="AI39" s="9" t="s">
        <v>53</v>
      </c>
      <c r="AJ39" s="10">
        <v>46088</v>
      </c>
      <c r="AK39" s="10">
        <v>46134</v>
      </c>
      <c r="AL39" t="s">
        <v>241</v>
      </c>
      <c r="AM39" s="27" t="str">
        <f t="shared" si="0"/>
        <v>Atrasado</v>
      </c>
      <c r="AN39" s="27" t="str">
        <f t="shared" ca="1" si="7"/>
        <v>Atrasado</v>
      </c>
      <c r="AO39" s="27" t="str">
        <f t="shared" ca="1" si="8"/>
        <v>Embarcado</v>
      </c>
      <c r="AP39" t="s">
        <v>1968</v>
      </c>
    </row>
    <row r="40" spans="1:43" ht="15" hidden="1" customHeight="1">
      <c r="A40">
        <v>502964</v>
      </c>
      <c r="B40" s="34" t="s">
        <v>107</v>
      </c>
      <c r="C40" t="s">
        <v>97</v>
      </c>
      <c r="D40" t="s">
        <v>95</v>
      </c>
      <c r="E40" s="23" t="s">
        <v>1287</v>
      </c>
      <c r="F40" s="24">
        <v>2</v>
      </c>
      <c r="G40" s="25">
        <v>2436.16</v>
      </c>
      <c r="H40" s="25">
        <f t="shared" si="1"/>
        <v>4872.32</v>
      </c>
      <c r="I40" s="26">
        <v>46080</v>
      </c>
      <c r="J40" s="10">
        <v>45943</v>
      </c>
      <c r="K40" s="10">
        <v>45943</v>
      </c>
      <c r="L40" s="27" t="str">
        <f t="shared" si="10"/>
        <v>On time</v>
      </c>
      <c r="M40" s="58">
        <v>46030</v>
      </c>
      <c r="N40" s="27" t="str">
        <f t="shared" si="9"/>
        <v>Atrasado</v>
      </c>
      <c r="O40" s="27">
        <f t="shared" si="2"/>
        <v>87</v>
      </c>
      <c r="P40" s="28" t="str">
        <f t="shared" si="3"/>
        <v>On time</v>
      </c>
      <c r="Q40" s="27">
        <f t="shared" si="4"/>
        <v>137</v>
      </c>
      <c r="R40" s="29" t="s">
        <v>99</v>
      </c>
      <c r="S40" s="12" t="s">
        <v>100</v>
      </c>
      <c r="T40" s="57">
        <v>1</v>
      </c>
      <c r="U40" s="29" t="s">
        <v>101</v>
      </c>
      <c r="V40" s="79"/>
      <c r="W40" s="70">
        <v>200</v>
      </c>
      <c r="X40" s="80"/>
      <c r="Z40" s="10">
        <v>46031</v>
      </c>
      <c r="AA40" s="10">
        <v>46046</v>
      </c>
      <c r="AB40" s="10">
        <v>46077</v>
      </c>
      <c r="AC40" s="10">
        <v>46149</v>
      </c>
      <c r="AD40" s="31">
        <f t="shared" ca="1" si="13"/>
        <v>89</v>
      </c>
      <c r="AE40" s="36">
        <v>1</v>
      </c>
      <c r="AF40" s="9" t="s">
        <v>155</v>
      </c>
      <c r="AG40" s="9" t="s">
        <v>78</v>
      </c>
      <c r="AH40" s="9" t="s">
        <v>131</v>
      </c>
      <c r="AI40" s="9" t="s">
        <v>53</v>
      </c>
      <c r="AJ40" s="10">
        <v>46088</v>
      </c>
      <c r="AK40" s="10">
        <v>46134</v>
      </c>
      <c r="AL40" t="s">
        <v>241</v>
      </c>
      <c r="AM40" s="27" t="str">
        <f t="shared" si="0"/>
        <v>Atrasado</v>
      </c>
      <c r="AN40" s="27" t="str">
        <f t="shared" ca="1" si="7"/>
        <v>Atrasado</v>
      </c>
      <c r="AO40" s="27" t="str">
        <f t="shared" ca="1" si="8"/>
        <v>Embarcado</v>
      </c>
      <c r="AP40" t="s">
        <v>1968</v>
      </c>
    </row>
    <row r="41" spans="1:43" ht="15" hidden="1" customHeight="1">
      <c r="A41">
        <v>507625</v>
      </c>
      <c r="B41">
        <v>1</v>
      </c>
      <c r="C41" t="s">
        <v>98</v>
      </c>
      <c r="D41" t="s">
        <v>96</v>
      </c>
      <c r="E41" s="23" t="s">
        <v>2182</v>
      </c>
      <c r="F41" s="24">
        <v>2</v>
      </c>
      <c r="G41" s="25">
        <v>3300.21</v>
      </c>
      <c r="H41" s="25">
        <f t="shared" si="1"/>
        <v>6600.42</v>
      </c>
      <c r="I41" s="26">
        <v>46150</v>
      </c>
      <c r="J41" s="10">
        <v>46027</v>
      </c>
      <c r="K41" s="10">
        <v>46027</v>
      </c>
      <c r="L41" s="27" t="str">
        <f t="shared" si="10"/>
        <v>On time</v>
      </c>
      <c r="M41" s="58">
        <v>46031</v>
      </c>
      <c r="N41" s="27" t="str">
        <f t="shared" si="9"/>
        <v>On time</v>
      </c>
      <c r="O41" s="27">
        <f t="shared" si="2"/>
        <v>4</v>
      </c>
      <c r="P41" s="28" t="str">
        <f t="shared" si="3"/>
        <v>On time</v>
      </c>
      <c r="Q41" s="27">
        <f t="shared" si="4"/>
        <v>123</v>
      </c>
      <c r="R41" s="29" t="s">
        <v>99</v>
      </c>
      <c r="S41" s="12" t="s">
        <v>100</v>
      </c>
      <c r="T41" s="35">
        <v>2</v>
      </c>
      <c r="U41" s="12" t="s">
        <v>102</v>
      </c>
      <c r="V41" s="27">
        <v>10</v>
      </c>
      <c r="W41" s="9">
        <v>144.97</v>
      </c>
      <c r="X41" s="9">
        <f t="shared" si="5"/>
        <v>1449.7</v>
      </c>
      <c r="Z41" s="10">
        <v>46031</v>
      </c>
      <c r="AA41" s="10">
        <v>46046</v>
      </c>
      <c r="AB41" s="10">
        <v>46077</v>
      </c>
      <c r="AC41" s="10">
        <v>46149</v>
      </c>
      <c r="AD41" s="31">
        <f t="shared" ca="1" si="13"/>
        <v>89</v>
      </c>
      <c r="AE41" s="36">
        <v>1</v>
      </c>
      <c r="AF41" s="9" t="s">
        <v>155</v>
      </c>
      <c r="AG41" s="9" t="s">
        <v>78</v>
      </c>
      <c r="AH41" s="10" t="s">
        <v>131</v>
      </c>
      <c r="AI41" s="9" t="s">
        <v>53</v>
      </c>
      <c r="AJ41" s="10">
        <v>46088</v>
      </c>
      <c r="AK41" s="10">
        <v>46134</v>
      </c>
      <c r="AL41" t="s">
        <v>241</v>
      </c>
      <c r="AM41" s="27" t="str">
        <f t="shared" si="0"/>
        <v>Atrasado</v>
      </c>
      <c r="AN41" s="27" t="str">
        <f t="shared" ca="1" si="7"/>
        <v>Crítico</v>
      </c>
      <c r="AO41" s="27" t="str">
        <f t="shared" ca="1" si="8"/>
        <v>Embarcado</v>
      </c>
      <c r="AP41" t="s">
        <v>1968</v>
      </c>
    </row>
    <row r="42" spans="1:43" ht="15" hidden="1" customHeight="1">
      <c r="A42">
        <v>497298</v>
      </c>
      <c r="B42" s="34" t="s">
        <v>132</v>
      </c>
      <c r="C42" t="s">
        <v>130</v>
      </c>
      <c r="D42" t="s">
        <v>133</v>
      </c>
      <c r="E42" s="23" t="s">
        <v>134</v>
      </c>
      <c r="F42" s="24">
        <v>3</v>
      </c>
      <c r="G42" s="25">
        <v>1248</v>
      </c>
      <c r="H42" s="25">
        <f t="shared" si="1"/>
        <v>3744</v>
      </c>
      <c r="I42" s="26">
        <v>46111</v>
      </c>
      <c r="J42" s="10">
        <v>45980</v>
      </c>
      <c r="K42" s="10">
        <v>45980</v>
      </c>
      <c r="L42" s="27" t="str">
        <f t="shared" si="10"/>
        <v>On time</v>
      </c>
      <c r="M42" s="58">
        <v>46031</v>
      </c>
      <c r="N42" s="27" t="str">
        <f t="shared" si="9"/>
        <v>Atrasado</v>
      </c>
      <c r="O42" s="27">
        <f t="shared" si="2"/>
        <v>51</v>
      </c>
      <c r="P42" s="28" t="str">
        <f t="shared" si="3"/>
        <v>On time</v>
      </c>
      <c r="Q42" s="27">
        <f t="shared" si="4"/>
        <v>131</v>
      </c>
      <c r="R42" s="29" t="s">
        <v>99</v>
      </c>
      <c r="S42" s="12" t="s">
        <v>100</v>
      </c>
      <c r="T42" s="35">
        <v>3</v>
      </c>
      <c r="U42" s="12" t="s">
        <v>135</v>
      </c>
      <c r="V42" s="31">
        <v>15</v>
      </c>
      <c r="W42" s="9">
        <v>132</v>
      </c>
      <c r="X42" s="9">
        <f t="shared" si="5"/>
        <v>1980</v>
      </c>
      <c r="Z42" s="10">
        <v>46038</v>
      </c>
      <c r="AA42" s="10">
        <v>46046</v>
      </c>
      <c r="AB42" s="10">
        <v>46077</v>
      </c>
      <c r="AC42" s="10">
        <v>46149</v>
      </c>
      <c r="AD42" s="31">
        <f ca="1">TODAY()-AA42</f>
        <v>89</v>
      </c>
      <c r="AE42" s="36">
        <v>1</v>
      </c>
      <c r="AF42" s="9" t="s">
        <v>155</v>
      </c>
      <c r="AG42" s="9" t="s">
        <v>78</v>
      </c>
      <c r="AH42" s="9" t="s">
        <v>131</v>
      </c>
      <c r="AI42" s="9" t="s">
        <v>53</v>
      </c>
      <c r="AJ42" s="10">
        <v>46088</v>
      </c>
      <c r="AK42" s="10">
        <v>46134</v>
      </c>
      <c r="AL42" t="s">
        <v>241</v>
      </c>
      <c r="AM42" s="27" t="str">
        <f t="shared" si="0"/>
        <v>Atrasado</v>
      </c>
      <c r="AN42" s="27" t="str">
        <f t="shared" ca="1" si="7"/>
        <v>Atrasado</v>
      </c>
      <c r="AO42" s="27" t="str">
        <f t="shared" ca="1" si="8"/>
        <v>Embarcado</v>
      </c>
      <c r="AP42" t="s">
        <v>1968</v>
      </c>
    </row>
    <row r="43" spans="1:43" ht="15" hidden="1" customHeight="1">
      <c r="A43">
        <v>508479</v>
      </c>
      <c r="B43">
        <v>1</v>
      </c>
      <c r="C43" t="s">
        <v>25</v>
      </c>
      <c r="D43" t="s">
        <v>136</v>
      </c>
      <c r="E43" s="23" t="s">
        <v>779</v>
      </c>
      <c r="F43" s="24">
        <v>6</v>
      </c>
      <c r="G43" s="25">
        <v>1877.54</v>
      </c>
      <c r="H43" s="25">
        <f t="shared" si="1"/>
        <v>11265.24</v>
      </c>
      <c r="I43" s="26">
        <v>46274</v>
      </c>
      <c r="J43" s="10">
        <v>46029</v>
      </c>
      <c r="K43" s="10">
        <v>46030</v>
      </c>
      <c r="L43" s="27" t="str">
        <f t="shared" si="10"/>
        <v>On time</v>
      </c>
      <c r="M43" s="58">
        <v>46034</v>
      </c>
      <c r="N43" s="27" t="str">
        <f t="shared" si="9"/>
        <v>On time</v>
      </c>
      <c r="O43" s="27">
        <f t="shared" si="2"/>
        <v>5</v>
      </c>
      <c r="P43" s="28" t="str">
        <f t="shared" si="3"/>
        <v>On time</v>
      </c>
      <c r="Q43" s="27">
        <f t="shared" si="4"/>
        <v>245</v>
      </c>
      <c r="R43" s="29" t="s">
        <v>128</v>
      </c>
      <c r="S43" s="12" t="s">
        <v>29</v>
      </c>
      <c r="T43" s="35">
        <v>1</v>
      </c>
      <c r="U43" s="12" t="s">
        <v>137</v>
      </c>
      <c r="V43" s="31">
        <v>6</v>
      </c>
      <c r="W43" s="9">
        <v>75.36</v>
      </c>
      <c r="X43" s="9">
        <f t="shared" si="5"/>
        <v>452.15999999999997</v>
      </c>
      <c r="Z43" s="10">
        <v>46038</v>
      </c>
      <c r="AA43" s="10">
        <v>46053</v>
      </c>
      <c r="AB43" s="10">
        <v>46053</v>
      </c>
      <c r="AC43" s="10">
        <v>46129</v>
      </c>
      <c r="AD43" s="31">
        <f ca="1">TODAY()-AA43</f>
        <v>82</v>
      </c>
      <c r="AE43" s="36">
        <v>1</v>
      </c>
      <c r="AF43" s="9" t="s">
        <v>224</v>
      </c>
      <c r="AG43" s="9" t="s">
        <v>78</v>
      </c>
      <c r="AH43" s="9"/>
      <c r="AI43" s="9" t="s">
        <v>53</v>
      </c>
      <c r="AJ43" s="10">
        <v>46067</v>
      </c>
      <c r="AK43" s="10">
        <v>46114</v>
      </c>
      <c r="AL43" s="9" t="s">
        <v>823</v>
      </c>
      <c r="AM43" s="27" t="str">
        <f t="shared" si="0"/>
        <v>On time</v>
      </c>
      <c r="AN43" s="27" t="str">
        <f t="shared" ca="1" si="7"/>
        <v>Chegou</v>
      </c>
      <c r="AO43" s="27" t="str">
        <f t="shared" ca="1" si="8"/>
        <v>Chegou HCI</v>
      </c>
    </row>
    <row r="44" spans="1:43" ht="15" hidden="1" customHeight="1">
      <c r="A44">
        <v>507011</v>
      </c>
      <c r="B44">
        <v>7</v>
      </c>
      <c r="C44" t="s">
        <v>140</v>
      </c>
      <c r="D44" t="s">
        <v>141</v>
      </c>
      <c r="E44" s="23" t="s">
        <v>1971</v>
      </c>
      <c r="F44" s="24">
        <v>1</v>
      </c>
      <c r="G44" s="25">
        <v>572.51</v>
      </c>
      <c r="H44" s="25">
        <f t="shared" si="1"/>
        <v>572.51</v>
      </c>
      <c r="I44" s="26">
        <v>46097</v>
      </c>
      <c r="J44" s="10">
        <v>46030</v>
      </c>
      <c r="K44" s="10">
        <v>46030</v>
      </c>
      <c r="L44" s="27" t="str">
        <f t="shared" si="10"/>
        <v>On time</v>
      </c>
      <c r="M44" s="58">
        <v>46042</v>
      </c>
      <c r="N44" s="27" t="str">
        <f t="shared" si="9"/>
        <v>Atrasado</v>
      </c>
      <c r="O44" s="27">
        <f t="shared" si="2"/>
        <v>12</v>
      </c>
      <c r="P44" s="28" t="str">
        <f t="shared" si="3"/>
        <v>On time</v>
      </c>
      <c r="Q44" s="27">
        <f t="shared" si="4"/>
        <v>67</v>
      </c>
      <c r="R44" s="29" t="s">
        <v>142</v>
      </c>
      <c r="S44" s="12" t="s">
        <v>48</v>
      </c>
      <c r="T44" s="35">
        <v>1</v>
      </c>
      <c r="U44" t="s">
        <v>141</v>
      </c>
      <c r="V44" s="31">
        <v>1</v>
      </c>
      <c r="W44" s="9">
        <v>14.89</v>
      </c>
      <c r="X44" s="9">
        <f t="shared" si="5"/>
        <v>14.89</v>
      </c>
      <c r="Z44" s="10">
        <v>46045</v>
      </c>
      <c r="AA44" s="10">
        <v>46060</v>
      </c>
      <c r="AB44" s="10">
        <v>46062</v>
      </c>
      <c r="AC44" s="10">
        <v>46073</v>
      </c>
      <c r="AD44" s="31">
        <f ca="1">TODAY()-AA44</f>
        <v>75</v>
      </c>
      <c r="AE44" s="36">
        <v>1</v>
      </c>
      <c r="AF44" s="9"/>
      <c r="AG44" s="9" t="s">
        <v>78</v>
      </c>
      <c r="AH44" s="9" t="s">
        <v>131</v>
      </c>
      <c r="AI44" s="9" t="s">
        <v>57</v>
      </c>
      <c r="AJ44" s="10">
        <v>46062</v>
      </c>
      <c r="AK44" s="10">
        <v>46072</v>
      </c>
      <c r="AL44" t="s">
        <v>684</v>
      </c>
      <c r="AM44" s="27" t="str">
        <f>IF(AB44=0," ",IF(AB44&lt;=AA44+10,"On time","Atrasado"))</f>
        <v>On time</v>
      </c>
      <c r="AN44" s="27" t="str">
        <f t="shared" ca="1" si="7"/>
        <v>Chegou</v>
      </c>
      <c r="AO44" s="27" t="str">
        <f t="shared" ca="1" si="8"/>
        <v>Chegou HCI</v>
      </c>
      <c r="AP44" t="s">
        <v>56</v>
      </c>
      <c r="AQ44" t="s">
        <v>538</v>
      </c>
    </row>
    <row r="45" spans="1:43" ht="15" hidden="1" customHeight="1">
      <c r="A45">
        <v>509087</v>
      </c>
      <c r="B45">
        <v>3</v>
      </c>
      <c r="C45" t="s">
        <v>25</v>
      </c>
      <c r="D45" t="s">
        <v>143</v>
      </c>
      <c r="E45" s="23" t="s">
        <v>144</v>
      </c>
      <c r="F45" s="24">
        <v>1</v>
      </c>
      <c r="G45" s="25">
        <v>4521.75</v>
      </c>
      <c r="H45" s="25">
        <f t="shared" si="1"/>
        <v>4521.75</v>
      </c>
      <c r="I45" s="26">
        <v>46281</v>
      </c>
      <c r="J45" s="10">
        <v>46036</v>
      </c>
      <c r="K45" s="10">
        <v>46038</v>
      </c>
      <c r="L45" s="27" t="str">
        <f t="shared" si="10"/>
        <v>On time</v>
      </c>
      <c r="M45" s="58">
        <v>46043</v>
      </c>
      <c r="N45" s="27" t="str">
        <f t="shared" si="9"/>
        <v>Atrasado</v>
      </c>
      <c r="O45" s="27">
        <f t="shared" si="2"/>
        <v>7</v>
      </c>
      <c r="P45" s="28" t="str">
        <f t="shared" si="3"/>
        <v>On time</v>
      </c>
      <c r="Q45" s="27">
        <f t="shared" si="4"/>
        <v>245</v>
      </c>
      <c r="R45" s="29" t="s">
        <v>150</v>
      </c>
      <c r="S45" s="12" t="s">
        <v>48</v>
      </c>
      <c r="T45" s="35">
        <v>1</v>
      </c>
      <c r="U45" t="s">
        <v>143</v>
      </c>
      <c r="V45" s="31">
        <v>1</v>
      </c>
      <c r="W45" s="9">
        <v>288.26</v>
      </c>
      <c r="X45" s="9">
        <f t="shared" si="5"/>
        <v>288.26</v>
      </c>
      <c r="Z45" s="10">
        <v>46045</v>
      </c>
      <c r="AA45" s="10">
        <v>46060</v>
      </c>
      <c r="AB45" s="10">
        <v>46107</v>
      </c>
      <c r="AC45" s="10">
        <v>46184</v>
      </c>
      <c r="AD45" s="31">
        <f ca="1">TODAY()-AA45</f>
        <v>75</v>
      </c>
      <c r="AE45" s="55">
        <v>1</v>
      </c>
      <c r="AF45" s="9" t="s">
        <v>155</v>
      </c>
      <c r="AG45" s="9" t="s">
        <v>78</v>
      </c>
      <c r="AH45" s="9" t="s">
        <v>131</v>
      </c>
      <c r="AI45" s="9" t="s">
        <v>53</v>
      </c>
      <c r="AJ45" s="10">
        <v>46124</v>
      </c>
      <c r="AK45" s="10">
        <v>46169</v>
      </c>
      <c r="AL45" s="9" t="s">
        <v>1966</v>
      </c>
      <c r="AM45" s="27" t="str">
        <f t="shared" ref="AM45:AM61" si="14">IF(AB45=0," ",IF(AB45&lt;=AA45+10,"On time","Atrasado"))</f>
        <v>Atrasado</v>
      </c>
      <c r="AN45" s="27" t="str">
        <f t="shared" ca="1" si="7"/>
        <v>No prazo</v>
      </c>
      <c r="AO45" s="27" t="str">
        <f t="shared" ca="1" si="8"/>
        <v>Embarcado</v>
      </c>
      <c r="AP45" t="s">
        <v>202</v>
      </c>
    </row>
    <row r="46" spans="1:43" ht="15" hidden="1" customHeight="1">
      <c r="A46">
        <v>509054</v>
      </c>
      <c r="B46" s="34" t="s">
        <v>145</v>
      </c>
      <c r="C46" t="s">
        <v>25</v>
      </c>
      <c r="D46" t="s">
        <v>146</v>
      </c>
      <c r="E46" s="23" t="s">
        <v>1972</v>
      </c>
      <c r="F46" s="24">
        <v>6</v>
      </c>
      <c r="G46" s="25">
        <v>1408.16</v>
      </c>
      <c r="H46" s="25">
        <f t="shared" si="1"/>
        <v>8448.9600000000009</v>
      </c>
      <c r="I46" s="26">
        <v>46281</v>
      </c>
      <c r="J46" s="10">
        <v>46036</v>
      </c>
      <c r="K46" s="10">
        <v>46038</v>
      </c>
      <c r="L46" s="27" t="str">
        <f t="shared" si="10"/>
        <v>On time</v>
      </c>
      <c r="M46" s="58">
        <v>46043</v>
      </c>
      <c r="N46" s="27" t="str">
        <f t="shared" si="9"/>
        <v>Atrasado</v>
      </c>
      <c r="O46" s="27">
        <f t="shared" si="2"/>
        <v>7</v>
      </c>
      <c r="P46" s="28" t="str">
        <f t="shared" si="3"/>
        <v>On time</v>
      </c>
      <c r="Q46" s="27">
        <f t="shared" si="4"/>
        <v>245</v>
      </c>
      <c r="R46" s="29" t="s">
        <v>150</v>
      </c>
      <c r="S46" s="12" t="s">
        <v>48</v>
      </c>
      <c r="T46" s="35">
        <v>2</v>
      </c>
      <c r="U46" t="s">
        <v>146</v>
      </c>
      <c r="V46" s="31">
        <v>6</v>
      </c>
      <c r="W46" s="9">
        <v>83.97</v>
      </c>
      <c r="X46" s="9">
        <f t="shared" si="5"/>
        <v>503.82</v>
      </c>
      <c r="Z46" s="10">
        <v>46045</v>
      </c>
      <c r="AA46" s="10">
        <v>46060</v>
      </c>
      <c r="AB46" s="10">
        <v>46107</v>
      </c>
      <c r="AC46" s="10">
        <v>46184</v>
      </c>
      <c r="AD46" s="31">
        <f t="shared" ref="AD46:AD48" ca="1" si="15">TODAY()-AA46</f>
        <v>75</v>
      </c>
      <c r="AE46" s="55">
        <v>1</v>
      </c>
      <c r="AF46" s="9" t="s">
        <v>155</v>
      </c>
      <c r="AG46" s="9" t="s">
        <v>78</v>
      </c>
      <c r="AH46" s="9" t="s">
        <v>131</v>
      </c>
      <c r="AI46" s="9" t="s">
        <v>53</v>
      </c>
      <c r="AJ46" s="10">
        <v>46124</v>
      </c>
      <c r="AK46" s="10">
        <v>46169</v>
      </c>
      <c r="AL46" s="9" t="s">
        <v>1966</v>
      </c>
      <c r="AM46" s="27" t="str">
        <f t="shared" si="14"/>
        <v>Atrasado</v>
      </c>
      <c r="AN46" s="27" t="str">
        <f t="shared" ca="1" si="7"/>
        <v>No prazo</v>
      </c>
      <c r="AO46" s="27" t="str">
        <f t="shared" ca="1" si="8"/>
        <v>Embarcado</v>
      </c>
      <c r="AP46" t="s">
        <v>202</v>
      </c>
    </row>
    <row r="47" spans="1:43" ht="15" hidden="1" customHeight="1">
      <c r="A47">
        <v>509054</v>
      </c>
      <c r="B47">
        <v>3</v>
      </c>
      <c r="C47" t="s">
        <v>25</v>
      </c>
      <c r="D47" t="s">
        <v>147</v>
      </c>
      <c r="E47" s="23" t="s">
        <v>1973</v>
      </c>
      <c r="F47" s="24">
        <v>1</v>
      </c>
      <c r="G47" s="25">
        <v>2816.31</v>
      </c>
      <c r="H47" s="25">
        <f t="shared" si="1"/>
        <v>2816.31</v>
      </c>
      <c r="I47" s="26">
        <v>46281</v>
      </c>
      <c r="J47" s="10">
        <v>46036</v>
      </c>
      <c r="K47" s="10">
        <v>46038</v>
      </c>
      <c r="L47" s="27" t="str">
        <f t="shared" si="10"/>
        <v>On time</v>
      </c>
      <c r="M47" s="58">
        <v>46043</v>
      </c>
      <c r="N47" s="27" t="str">
        <f t="shared" si="9"/>
        <v>Atrasado</v>
      </c>
      <c r="O47" s="27">
        <f t="shared" si="2"/>
        <v>7</v>
      </c>
      <c r="P47" s="28" t="str">
        <f t="shared" si="3"/>
        <v>On time</v>
      </c>
      <c r="Q47" s="27">
        <f t="shared" si="4"/>
        <v>245</v>
      </c>
      <c r="R47" s="29" t="s">
        <v>150</v>
      </c>
      <c r="S47" s="12" t="s">
        <v>48</v>
      </c>
      <c r="T47" s="35">
        <v>3</v>
      </c>
      <c r="U47" t="s">
        <v>147</v>
      </c>
      <c r="V47" s="31">
        <v>1</v>
      </c>
      <c r="W47" s="9">
        <v>134.52000000000001</v>
      </c>
      <c r="X47" s="9">
        <f t="shared" si="5"/>
        <v>134.52000000000001</v>
      </c>
      <c r="Z47" s="10">
        <v>46045</v>
      </c>
      <c r="AA47" s="10">
        <v>46060</v>
      </c>
      <c r="AB47" s="10">
        <v>46107</v>
      </c>
      <c r="AC47" s="10">
        <v>46184</v>
      </c>
      <c r="AD47" s="31">
        <f t="shared" ca="1" si="15"/>
        <v>75</v>
      </c>
      <c r="AE47" s="55">
        <v>1</v>
      </c>
      <c r="AF47" s="9" t="s">
        <v>155</v>
      </c>
      <c r="AG47" s="9" t="s">
        <v>78</v>
      </c>
      <c r="AH47" s="9" t="s">
        <v>131</v>
      </c>
      <c r="AI47" s="9" t="s">
        <v>53</v>
      </c>
      <c r="AJ47" s="10">
        <v>46124</v>
      </c>
      <c r="AK47" s="10">
        <v>46169</v>
      </c>
      <c r="AL47" s="9" t="s">
        <v>1966</v>
      </c>
      <c r="AM47" s="27" t="str">
        <f t="shared" si="14"/>
        <v>Atrasado</v>
      </c>
      <c r="AN47" s="27" t="str">
        <f t="shared" ca="1" si="7"/>
        <v>No prazo</v>
      </c>
      <c r="AO47" s="27" t="str">
        <f t="shared" ca="1" si="8"/>
        <v>Embarcado</v>
      </c>
      <c r="AP47" t="s">
        <v>202</v>
      </c>
    </row>
    <row r="48" spans="1:43" ht="15" hidden="1" customHeight="1">
      <c r="A48">
        <v>509056</v>
      </c>
      <c r="B48">
        <v>1</v>
      </c>
      <c r="C48" t="s">
        <v>25</v>
      </c>
      <c r="D48" t="s">
        <v>148</v>
      </c>
      <c r="E48" s="23" t="s">
        <v>149</v>
      </c>
      <c r="F48" s="24">
        <v>1</v>
      </c>
      <c r="G48" s="25">
        <v>5241.46</v>
      </c>
      <c r="H48" s="25">
        <f t="shared" si="1"/>
        <v>5241.46</v>
      </c>
      <c r="I48" s="26">
        <v>46281</v>
      </c>
      <c r="J48" s="10">
        <v>46036</v>
      </c>
      <c r="K48" s="10">
        <v>46038</v>
      </c>
      <c r="L48" s="27" t="str">
        <f t="shared" si="10"/>
        <v>On time</v>
      </c>
      <c r="M48" s="58">
        <v>46043</v>
      </c>
      <c r="N48" s="27" t="str">
        <f t="shared" si="9"/>
        <v>Atrasado</v>
      </c>
      <c r="O48" s="27">
        <f t="shared" si="2"/>
        <v>7</v>
      </c>
      <c r="P48" s="28" t="str">
        <f t="shared" si="3"/>
        <v>On time</v>
      </c>
      <c r="Q48" s="27">
        <f t="shared" si="4"/>
        <v>245</v>
      </c>
      <c r="R48" s="29" t="s">
        <v>150</v>
      </c>
      <c r="S48" s="12" t="s">
        <v>48</v>
      </c>
      <c r="T48" s="35">
        <v>4</v>
      </c>
      <c r="U48" t="s">
        <v>148</v>
      </c>
      <c r="V48" s="31">
        <v>1</v>
      </c>
      <c r="W48" s="9">
        <v>334.09</v>
      </c>
      <c r="X48" s="9">
        <f t="shared" si="5"/>
        <v>334.09</v>
      </c>
      <c r="Z48" s="10">
        <v>46045</v>
      </c>
      <c r="AA48" s="10">
        <v>46060</v>
      </c>
      <c r="AB48" s="10">
        <v>46107</v>
      </c>
      <c r="AC48" s="10">
        <v>46184</v>
      </c>
      <c r="AD48" s="31">
        <f t="shared" ca="1" si="15"/>
        <v>75</v>
      </c>
      <c r="AE48" s="55">
        <v>1</v>
      </c>
      <c r="AF48" s="9" t="s">
        <v>155</v>
      </c>
      <c r="AG48" s="9" t="s">
        <v>78</v>
      </c>
      <c r="AH48" s="9" t="s">
        <v>131</v>
      </c>
      <c r="AI48" s="9" t="s">
        <v>53</v>
      </c>
      <c r="AJ48" s="10">
        <v>46124</v>
      </c>
      <c r="AK48" s="10">
        <v>46169</v>
      </c>
      <c r="AL48" s="9" t="s">
        <v>1966</v>
      </c>
      <c r="AM48" s="27" t="str">
        <f>IF(AB48=0," ",IF(AB48&lt;=AA48+10,"On time","Atrasado"))</f>
        <v>Atrasado</v>
      </c>
      <c r="AN48" s="27" t="str">
        <f t="shared" ca="1" si="7"/>
        <v>No prazo</v>
      </c>
      <c r="AO48" s="27" t="str">
        <f t="shared" ca="1" si="8"/>
        <v>Embarcado</v>
      </c>
      <c r="AP48" t="s">
        <v>202</v>
      </c>
    </row>
    <row r="49" spans="1:43" ht="15" hidden="1" customHeight="1">
      <c r="A49">
        <v>509059</v>
      </c>
      <c r="B49">
        <v>1</v>
      </c>
      <c r="C49" t="s">
        <v>25</v>
      </c>
      <c r="D49" t="s">
        <v>151</v>
      </c>
      <c r="E49" s="23" t="s">
        <v>1288</v>
      </c>
      <c r="F49" s="24">
        <v>1</v>
      </c>
      <c r="G49" s="25">
        <v>7123.99</v>
      </c>
      <c r="H49" s="25">
        <f t="shared" si="1"/>
        <v>7123.99</v>
      </c>
      <c r="I49" s="26">
        <v>46281</v>
      </c>
      <c r="J49" s="10">
        <v>46036</v>
      </c>
      <c r="K49" s="10">
        <v>46038</v>
      </c>
      <c r="L49" s="27" t="str">
        <f t="shared" si="10"/>
        <v>On time</v>
      </c>
      <c r="M49" s="58">
        <v>46043</v>
      </c>
      <c r="N49" s="27" t="str">
        <f t="shared" si="9"/>
        <v>Atrasado</v>
      </c>
      <c r="O49" s="27">
        <f t="shared" si="2"/>
        <v>7</v>
      </c>
      <c r="P49" s="28" t="str">
        <f t="shared" si="3"/>
        <v>On time</v>
      </c>
      <c r="Q49" s="27">
        <f t="shared" si="4"/>
        <v>245</v>
      </c>
      <c r="R49" s="29" t="s">
        <v>152</v>
      </c>
      <c r="S49" s="12" t="s">
        <v>100</v>
      </c>
      <c r="T49" s="35">
        <v>1</v>
      </c>
      <c r="U49" t="s">
        <v>151</v>
      </c>
      <c r="V49" s="31">
        <v>1</v>
      </c>
      <c r="W49" s="9">
        <v>429.69</v>
      </c>
      <c r="X49" s="9">
        <f t="shared" si="5"/>
        <v>429.69</v>
      </c>
      <c r="Z49" s="10">
        <v>46045</v>
      </c>
      <c r="AA49" s="10">
        <v>46060</v>
      </c>
      <c r="AB49" s="10">
        <v>46111</v>
      </c>
      <c r="AC49" s="10">
        <v>46177</v>
      </c>
      <c r="AD49" s="31">
        <f t="shared" ref="AD49:AD74" ca="1" si="16">TODAY()-AA49</f>
        <v>75</v>
      </c>
      <c r="AE49" s="55" t="s">
        <v>247</v>
      </c>
      <c r="AF49" s="9" t="s">
        <v>155</v>
      </c>
      <c r="AG49" s="9" t="s">
        <v>78</v>
      </c>
      <c r="AH49" s="9" t="s">
        <v>131</v>
      </c>
      <c r="AI49" s="9" t="s">
        <v>53</v>
      </c>
      <c r="AJ49" s="10">
        <v>46119</v>
      </c>
      <c r="AK49" s="10">
        <v>46172</v>
      </c>
      <c r="AL49" s="9" t="s">
        <v>1964</v>
      </c>
      <c r="AM49" s="27" t="str">
        <f t="shared" si="14"/>
        <v>Atrasado</v>
      </c>
      <c r="AN49" s="27" t="str">
        <f t="shared" ca="1" si="7"/>
        <v>No prazo</v>
      </c>
      <c r="AO49" s="27" t="str">
        <f t="shared" ca="1" si="8"/>
        <v>Embarcado</v>
      </c>
    </row>
    <row r="50" spans="1:43" ht="15" hidden="1" customHeight="1">
      <c r="D50" t="s">
        <v>907</v>
      </c>
      <c r="E50" s="23" t="s">
        <v>1382</v>
      </c>
      <c r="F50" s="24"/>
      <c r="I50" s="26"/>
      <c r="J50" s="10"/>
      <c r="K50" s="10"/>
      <c r="L50" s="27" t="str">
        <f t="shared" si="10"/>
        <v xml:space="preserve"> </v>
      </c>
      <c r="M50" s="58"/>
      <c r="N50" s="27" t="str">
        <f t="shared" si="9"/>
        <v xml:space="preserve"> </v>
      </c>
      <c r="O50" s="27">
        <f t="shared" ref="O50:O114" si="17">M50-J50</f>
        <v>0</v>
      </c>
      <c r="P50" s="28" t="str">
        <f t="shared" si="3"/>
        <v>On time</v>
      </c>
      <c r="Q50" s="27">
        <f t="shared" ref="Q50:Q114" si="18">I50-J50</f>
        <v>0</v>
      </c>
      <c r="R50" s="29" t="s">
        <v>152</v>
      </c>
      <c r="S50" s="12" t="s">
        <v>100</v>
      </c>
      <c r="T50" s="35">
        <v>2</v>
      </c>
      <c r="U50" t="s">
        <v>907</v>
      </c>
      <c r="V50" s="31">
        <v>25</v>
      </c>
      <c r="W50" s="9">
        <v>32.18</v>
      </c>
      <c r="X50" s="9">
        <f t="shared" si="5"/>
        <v>804.5</v>
      </c>
      <c r="Z50" s="10">
        <v>46045</v>
      </c>
      <c r="AA50" s="10">
        <v>46060</v>
      </c>
      <c r="AB50" s="10">
        <v>46111</v>
      </c>
      <c r="AC50" s="10">
        <v>46177</v>
      </c>
      <c r="AD50" s="31">
        <f t="shared" ref="AD50:AD58" ca="1" si="19">TODAY()-AA50</f>
        <v>75</v>
      </c>
      <c r="AE50" s="55" t="s">
        <v>247</v>
      </c>
      <c r="AF50" s="9" t="s">
        <v>155</v>
      </c>
      <c r="AG50" s="9" t="s">
        <v>78</v>
      </c>
      <c r="AH50" s="9" t="s">
        <v>131</v>
      </c>
      <c r="AI50" s="9" t="s">
        <v>53</v>
      </c>
      <c r="AJ50" s="10">
        <v>46119</v>
      </c>
      <c r="AK50" s="10">
        <v>46172</v>
      </c>
      <c r="AL50" s="9" t="s">
        <v>1964</v>
      </c>
      <c r="AM50" s="27" t="str">
        <f t="shared" ref="AM50:AM58" si="20">IF(AB50=0," ",IF(AB50&lt;=AA50+10,"On time","Atrasado"))</f>
        <v>Atrasado</v>
      </c>
      <c r="AN50" s="27" t="str">
        <f t="shared" ca="1" si="7"/>
        <v>Estoque</v>
      </c>
      <c r="AO50" s="27" t="str">
        <f t="shared" ca="1" si="8"/>
        <v>Embarcado</v>
      </c>
    </row>
    <row r="51" spans="1:43" ht="15" hidden="1" customHeight="1">
      <c r="A51">
        <v>510080</v>
      </c>
      <c r="B51">
        <v>1</v>
      </c>
      <c r="C51" t="s">
        <v>25</v>
      </c>
      <c r="D51" t="s">
        <v>244</v>
      </c>
      <c r="E51" s="23" t="s">
        <v>246</v>
      </c>
      <c r="F51" s="24">
        <v>12</v>
      </c>
      <c r="G51" s="25">
        <v>6868.93</v>
      </c>
      <c r="H51" s="25">
        <f t="shared" si="1"/>
        <v>82427.16</v>
      </c>
      <c r="I51" s="26">
        <v>46307</v>
      </c>
      <c r="J51" s="10">
        <v>46052</v>
      </c>
      <c r="K51" s="10">
        <v>46052</v>
      </c>
      <c r="L51" s="27" t="str">
        <f t="shared" si="10"/>
        <v>On time</v>
      </c>
      <c r="M51" s="58">
        <v>46064</v>
      </c>
      <c r="N51" s="27" t="str">
        <f t="shared" si="9"/>
        <v>Atrasado</v>
      </c>
      <c r="O51" s="27">
        <f t="shared" si="17"/>
        <v>12</v>
      </c>
      <c r="P51" s="28" t="str">
        <f t="shared" si="3"/>
        <v>Atrasado</v>
      </c>
      <c r="Q51" s="27">
        <f t="shared" si="18"/>
        <v>255</v>
      </c>
      <c r="R51" s="29" t="s">
        <v>152</v>
      </c>
      <c r="S51" s="12" t="s">
        <v>100</v>
      </c>
      <c r="T51" s="35">
        <v>3</v>
      </c>
      <c r="U51" t="s">
        <v>244</v>
      </c>
      <c r="V51" s="31">
        <v>12</v>
      </c>
      <c r="W51" s="9">
        <v>505.32</v>
      </c>
      <c r="X51" s="9">
        <f t="shared" si="5"/>
        <v>6063.84</v>
      </c>
      <c r="Z51" s="10">
        <v>46045</v>
      </c>
      <c r="AA51" s="10">
        <v>46060</v>
      </c>
      <c r="AB51" s="10">
        <v>46111</v>
      </c>
      <c r="AC51" s="10">
        <v>46177</v>
      </c>
      <c r="AD51" s="31">
        <f t="shared" ca="1" si="19"/>
        <v>75</v>
      </c>
      <c r="AE51" s="55" t="s">
        <v>247</v>
      </c>
      <c r="AF51" s="9" t="s">
        <v>155</v>
      </c>
      <c r="AG51" s="9" t="s">
        <v>78</v>
      </c>
      <c r="AH51" s="9" t="s">
        <v>131</v>
      </c>
      <c r="AI51" s="9" t="s">
        <v>53</v>
      </c>
      <c r="AJ51" s="10">
        <v>46119</v>
      </c>
      <c r="AK51" s="10">
        <v>46172</v>
      </c>
      <c r="AL51" s="9" t="s">
        <v>1964</v>
      </c>
      <c r="AM51" s="27" t="str">
        <f t="shared" si="20"/>
        <v>Atrasado</v>
      </c>
      <c r="AN51" s="27" t="str">
        <f t="shared" ca="1" si="7"/>
        <v>No prazo</v>
      </c>
      <c r="AO51" s="27" t="str">
        <f t="shared" ca="1" si="8"/>
        <v>Embarcado</v>
      </c>
    </row>
    <row r="52" spans="1:43" ht="15" hidden="1" customHeight="1">
      <c r="A52">
        <v>509909</v>
      </c>
      <c r="B52">
        <v>1</v>
      </c>
      <c r="C52" t="s">
        <v>25</v>
      </c>
      <c r="D52" t="s">
        <v>251</v>
      </c>
      <c r="E52" s="23" t="s">
        <v>1381</v>
      </c>
      <c r="F52" s="24">
        <v>2</v>
      </c>
      <c r="G52" s="25">
        <v>8824.4500000000007</v>
      </c>
      <c r="H52" s="25">
        <f>G52*F52</f>
        <v>17648.900000000001</v>
      </c>
      <c r="I52" s="26">
        <v>46295</v>
      </c>
      <c r="J52" s="10">
        <v>46050</v>
      </c>
      <c r="K52" s="10">
        <v>46051</v>
      </c>
      <c r="L52" s="27" t="str">
        <f t="shared" si="10"/>
        <v>On time</v>
      </c>
      <c r="M52" s="58">
        <v>46045</v>
      </c>
      <c r="N52" s="27" t="str">
        <f t="shared" si="9"/>
        <v>On time</v>
      </c>
      <c r="O52" s="27">
        <f t="shared" si="17"/>
        <v>-5</v>
      </c>
      <c r="P52" s="28" t="str">
        <f t="shared" si="3"/>
        <v>On time</v>
      </c>
      <c r="Q52" s="27">
        <f t="shared" si="18"/>
        <v>245</v>
      </c>
      <c r="R52" s="29" t="s">
        <v>152</v>
      </c>
      <c r="S52" s="12" t="s">
        <v>100</v>
      </c>
      <c r="T52" s="35">
        <v>4</v>
      </c>
      <c r="U52" t="s">
        <v>251</v>
      </c>
      <c r="V52" s="31">
        <v>2</v>
      </c>
      <c r="W52" s="9">
        <v>578</v>
      </c>
      <c r="X52" s="9">
        <f>W52*V52</f>
        <v>1156</v>
      </c>
      <c r="Z52" s="10">
        <v>46045</v>
      </c>
      <c r="AA52" s="10">
        <v>46060</v>
      </c>
      <c r="AB52" s="10">
        <v>46111</v>
      </c>
      <c r="AC52" s="10">
        <v>46177</v>
      </c>
      <c r="AD52" s="31">
        <f t="shared" ca="1" si="19"/>
        <v>75</v>
      </c>
      <c r="AE52" s="55" t="s">
        <v>247</v>
      </c>
      <c r="AF52" s="9" t="s">
        <v>155</v>
      </c>
      <c r="AG52" s="9" t="s">
        <v>78</v>
      </c>
      <c r="AH52" s="9" t="s">
        <v>131</v>
      </c>
      <c r="AI52" s="9" t="s">
        <v>53</v>
      </c>
      <c r="AJ52" s="10">
        <v>46119</v>
      </c>
      <c r="AK52" s="10">
        <v>46172</v>
      </c>
      <c r="AL52" s="9" t="s">
        <v>1964</v>
      </c>
      <c r="AM52" s="27" t="str">
        <f t="shared" si="20"/>
        <v>Atrasado</v>
      </c>
      <c r="AN52" s="27" t="str">
        <f t="shared" ca="1" si="7"/>
        <v>No prazo</v>
      </c>
      <c r="AO52" s="27" t="str">
        <f t="shared" ca="1" si="8"/>
        <v>Embarcado</v>
      </c>
    </row>
    <row r="53" spans="1:43" hidden="1">
      <c r="A53">
        <v>510320</v>
      </c>
      <c r="B53">
        <v>1</v>
      </c>
      <c r="C53" t="s">
        <v>25</v>
      </c>
      <c r="D53" t="s">
        <v>679</v>
      </c>
      <c r="E53" s="23" t="s">
        <v>680</v>
      </c>
      <c r="F53" s="24">
        <v>2</v>
      </c>
      <c r="G53" s="25">
        <v>2186.33</v>
      </c>
      <c r="H53" s="25">
        <f t="shared" si="1"/>
        <v>4372.66</v>
      </c>
      <c r="I53" s="26">
        <v>46209</v>
      </c>
      <c r="J53" s="10">
        <v>46053</v>
      </c>
      <c r="K53" s="10">
        <v>46057</v>
      </c>
      <c r="L53" s="27" t="str">
        <f t="shared" si="10"/>
        <v>On time</v>
      </c>
      <c r="M53" s="58">
        <v>46064</v>
      </c>
      <c r="N53" s="27" t="str">
        <f t="shared" si="9"/>
        <v>Atrasado</v>
      </c>
      <c r="O53" s="27">
        <f t="shared" si="17"/>
        <v>11</v>
      </c>
      <c r="P53" s="28" t="str">
        <f t="shared" si="3"/>
        <v>Atrasado</v>
      </c>
      <c r="Q53" s="27">
        <f t="shared" si="18"/>
        <v>156</v>
      </c>
      <c r="R53" s="29" t="s">
        <v>152</v>
      </c>
      <c r="S53" s="12" t="s">
        <v>100</v>
      </c>
      <c r="T53" s="35">
        <v>5</v>
      </c>
      <c r="U53" t="s">
        <v>245</v>
      </c>
      <c r="V53" s="81">
        <v>50</v>
      </c>
      <c r="W53" s="70">
        <v>121</v>
      </c>
      <c r="X53" s="80">
        <f t="shared" si="5"/>
        <v>6050</v>
      </c>
      <c r="Z53" s="10">
        <v>46045</v>
      </c>
      <c r="AA53" s="10">
        <v>46060</v>
      </c>
      <c r="AB53" s="10">
        <v>46111</v>
      </c>
      <c r="AC53" s="10">
        <v>46177</v>
      </c>
      <c r="AD53" s="31">
        <f t="shared" ca="1" si="19"/>
        <v>75</v>
      </c>
      <c r="AE53" s="55" t="s">
        <v>247</v>
      </c>
      <c r="AF53" s="9" t="s">
        <v>155</v>
      </c>
      <c r="AG53" s="9" t="s">
        <v>78</v>
      </c>
      <c r="AH53" s="9" t="s">
        <v>131</v>
      </c>
      <c r="AI53" s="9" t="s">
        <v>53</v>
      </c>
      <c r="AJ53" s="10">
        <v>46119</v>
      </c>
      <c r="AK53" s="10">
        <v>46172</v>
      </c>
      <c r="AL53" s="9" t="s">
        <v>1964</v>
      </c>
      <c r="AM53" s="27" t="str">
        <f t="shared" si="20"/>
        <v>Atrasado</v>
      </c>
      <c r="AN53" s="27" t="str">
        <f t="shared" ca="1" si="7"/>
        <v>No prazo</v>
      </c>
      <c r="AO53" s="27" t="str">
        <f t="shared" ca="1" si="8"/>
        <v>Embarcado</v>
      </c>
      <c r="AP53" t="s">
        <v>1968</v>
      </c>
    </row>
    <row r="54" spans="1:43" hidden="1">
      <c r="A54">
        <v>514612</v>
      </c>
      <c r="B54">
        <v>1</v>
      </c>
      <c r="C54" t="s">
        <v>46</v>
      </c>
      <c r="D54" t="s">
        <v>245</v>
      </c>
      <c r="E54" s="23" t="s">
        <v>2025</v>
      </c>
      <c r="F54" s="24">
        <v>3</v>
      </c>
      <c r="G54" s="25">
        <v>2153.64</v>
      </c>
      <c r="H54" s="25">
        <f t="shared" si="1"/>
        <v>6460.92</v>
      </c>
      <c r="I54" s="26">
        <v>46195</v>
      </c>
      <c r="J54" s="10">
        <v>46119</v>
      </c>
      <c r="K54" s="10">
        <v>46119</v>
      </c>
      <c r="L54" s="27" t="str">
        <f t="shared" si="10"/>
        <v>On time</v>
      </c>
      <c r="M54" s="58">
        <v>46045</v>
      </c>
      <c r="N54" s="27" t="str">
        <f t="shared" si="9"/>
        <v>On time</v>
      </c>
      <c r="O54" s="27">
        <f t="shared" si="17"/>
        <v>-74</v>
      </c>
      <c r="P54" s="28" t="str">
        <f t="shared" si="3"/>
        <v>On time</v>
      </c>
      <c r="Q54" s="27">
        <f t="shared" si="18"/>
        <v>76</v>
      </c>
      <c r="R54" s="29" t="s">
        <v>152</v>
      </c>
      <c r="S54" s="12" t="s">
        <v>100</v>
      </c>
      <c r="T54" s="35">
        <v>5</v>
      </c>
      <c r="U54" t="s">
        <v>245</v>
      </c>
      <c r="V54" s="81"/>
      <c r="W54" s="70">
        <v>121</v>
      </c>
      <c r="X54" s="80"/>
      <c r="Z54" s="10">
        <v>46045</v>
      </c>
      <c r="AA54" s="10">
        <v>46060</v>
      </c>
      <c r="AB54" s="10">
        <v>46111</v>
      </c>
      <c r="AC54" s="10">
        <v>46177</v>
      </c>
      <c r="AD54" s="31">
        <f t="shared" ref="AD54" ca="1" si="21">TODAY()-AA54</f>
        <v>75</v>
      </c>
      <c r="AE54" s="55" t="s">
        <v>247</v>
      </c>
      <c r="AF54" s="9" t="s">
        <v>155</v>
      </c>
      <c r="AG54" s="9" t="s">
        <v>78</v>
      </c>
      <c r="AH54" s="9" t="s">
        <v>131</v>
      </c>
      <c r="AI54" s="9" t="s">
        <v>53</v>
      </c>
      <c r="AJ54" s="10">
        <v>46119</v>
      </c>
      <c r="AK54" s="10">
        <v>46172</v>
      </c>
      <c r="AL54" s="9" t="s">
        <v>1964</v>
      </c>
      <c r="AM54" s="27" t="str">
        <f t="shared" ref="AM54" si="22">IF(AB54=0," ",IF(AB54&lt;=AA54+10,"On time","Atrasado"))</f>
        <v>Atrasado</v>
      </c>
      <c r="AN54" s="27" t="str">
        <f t="shared" ref="AN54" ca="1" si="23">IF(AND(AC54&lt;&gt;"",AC54&lt;=TODAY()),"Chegou",IF(A54="","Estoque",IF(OR(AC54="",I54=""),"",IF(I54-AC54&lt;=0,"Atrasado",IF(I54-AC54&lt;=9,"Crítico",IF(I54-AC54&lt;=20,"Verificar aéreo",IF(I54-AC54&lt;=25,"Alerta","No prazo")        ))))))</f>
        <v>Verificar aéreo</v>
      </c>
      <c r="AO54" s="27" t="str">
        <f t="shared" ca="1" si="8"/>
        <v>Embarcado</v>
      </c>
    </row>
    <row r="55" spans="1:43" hidden="1">
      <c r="A55">
        <v>515043</v>
      </c>
      <c r="B55">
        <v>1</v>
      </c>
      <c r="C55" t="s">
        <v>25</v>
      </c>
      <c r="D55" t="s">
        <v>252</v>
      </c>
      <c r="E55" s="23" t="s">
        <v>1345</v>
      </c>
      <c r="F55" s="24">
        <v>9</v>
      </c>
      <c r="G55" s="25">
        <v>3316.34</v>
      </c>
      <c r="H55" s="25">
        <f t="shared" si="1"/>
        <v>29847.06</v>
      </c>
      <c r="I55" s="26">
        <v>46304</v>
      </c>
      <c r="J55" s="10">
        <v>46122</v>
      </c>
      <c r="K55" s="10">
        <v>46125</v>
      </c>
      <c r="L55" s="27" t="str">
        <f t="shared" si="10"/>
        <v>On time</v>
      </c>
      <c r="M55" s="58">
        <v>46045</v>
      </c>
      <c r="N55" s="27" t="str">
        <f t="shared" si="9"/>
        <v>On time</v>
      </c>
      <c r="O55" s="27">
        <f t="shared" si="17"/>
        <v>-77</v>
      </c>
      <c r="P55" s="28" t="str">
        <f t="shared" si="3"/>
        <v>On time</v>
      </c>
      <c r="Q55" s="27">
        <f t="shared" si="18"/>
        <v>182</v>
      </c>
      <c r="R55" s="29" t="s">
        <v>152</v>
      </c>
      <c r="S55" s="12" t="s">
        <v>100</v>
      </c>
      <c r="T55" s="35">
        <v>6</v>
      </c>
      <c r="U55" t="s">
        <v>252</v>
      </c>
      <c r="V55" s="31">
        <v>50</v>
      </c>
      <c r="W55" s="9">
        <v>132.35</v>
      </c>
      <c r="X55" s="9">
        <f t="shared" si="5"/>
        <v>6617.5</v>
      </c>
      <c r="Z55" s="10">
        <v>46045</v>
      </c>
      <c r="AA55" s="10">
        <v>46060</v>
      </c>
      <c r="AB55" s="10">
        <v>46111</v>
      </c>
      <c r="AC55" s="10">
        <v>46177</v>
      </c>
      <c r="AD55" s="31">
        <f t="shared" ca="1" si="19"/>
        <v>75</v>
      </c>
      <c r="AE55" s="55" t="s">
        <v>247</v>
      </c>
      <c r="AF55" s="9" t="s">
        <v>155</v>
      </c>
      <c r="AG55" s="9" t="s">
        <v>78</v>
      </c>
      <c r="AH55" s="9" t="s">
        <v>131</v>
      </c>
      <c r="AI55" s="9" t="s">
        <v>53</v>
      </c>
      <c r="AJ55" s="10">
        <v>46119</v>
      </c>
      <c r="AK55" s="10">
        <v>46172</v>
      </c>
      <c r="AL55" s="9" t="s">
        <v>1964</v>
      </c>
      <c r="AM55" s="27" t="str">
        <f t="shared" si="20"/>
        <v>Atrasado</v>
      </c>
      <c r="AN55" s="27" t="str">
        <f t="shared" ca="1" si="7"/>
        <v>No prazo</v>
      </c>
      <c r="AO55" s="27" t="str">
        <f t="shared" ca="1" si="8"/>
        <v>Embarcado</v>
      </c>
    </row>
    <row r="56" spans="1:43" hidden="1">
      <c r="D56" t="s">
        <v>253</v>
      </c>
      <c r="E56" s="23" t="s">
        <v>1346</v>
      </c>
      <c r="F56" s="24"/>
      <c r="I56" s="26"/>
      <c r="J56" s="10"/>
      <c r="K56" s="10"/>
      <c r="L56" s="27" t="str">
        <f t="shared" si="10"/>
        <v xml:space="preserve"> </v>
      </c>
      <c r="M56" s="58"/>
      <c r="N56" s="27" t="str">
        <f t="shared" si="9"/>
        <v xml:space="preserve"> </v>
      </c>
      <c r="O56" s="27">
        <f t="shared" si="17"/>
        <v>0</v>
      </c>
      <c r="P56" s="28" t="str">
        <f t="shared" si="3"/>
        <v>On time</v>
      </c>
      <c r="Q56" s="27">
        <f t="shared" si="18"/>
        <v>0</v>
      </c>
      <c r="R56" s="29" t="s">
        <v>152</v>
      </c>
      <c r="S56" s="12" t="s">
        <v>100</v>
      </c>
      <c r="T56" s="35">
        <v>7</v>
      </c>
      <c r="U56" t="s">
        <v>253</v>
      </c>
      <c r="V56" s="31">
        <v>50</v>
      </c>
      <c r="W56" s="9">
        <v>87.16</v>
      </c>
      <c r="X56" s="9">
        <f t="shared" si="5"/>
        <v>4358</v>
      </c>
      <c r="Z56" s="10">
        <v>46045</v>
      </c>
      <c r="AA56" s="10">
        <v>46060</v>
      </c>
      <c r="AB56" s="10">
        <v>46111</v>
      </c>
      <c r="AC56" s="10">
        <v>46177</v>
      </c>
      <c r="AD56" s="31">
        <f t="shared" ca="1" si="19"/>
        <v>75</v>
      </c>
      <c r="AE56" s="55" t="s">
        <v>247</v>
      </c>
      <c r="AF56" s="9" t="s">
        <v>155</v>
      </c>
      <c r="AG56" s="9" t="s">
        <v>78</v>
      </c>
      <c r="AH56" s="9" t="s">
        <v>131</v>
      </c>
      <c r="AI56" s="9" t="s">
        <v>53</v>
      </c>
      <c r="AJ56" s="10">
        <v>46119</v>
      </c>
      <c r="AK56" s="10">
        <v>46172</v>
      </c>
      <c r="AL56" s="9" t="s">
        <v>1964</v>
      </c>
      <c r="AM56" s="27" t="str">
        <f t="shared" si="20"/>
        <v>Atrasado</v>
      </c>
      <c r="AN56" s="27" t="str">
        <f t="shared" ca="1" si="7"/>
        <v>Estoque</v>
      </c>
      <c r="AO56" s="27" t="str">
        <f t="shared" ca="1" si="8"/>
        <v>Embarcado</v>
      </c>
    </row>
    <row r="57" spans="1:43" hidden="1">
      <c r="D57" t="s">
        <v>254</v>
      </c>
      <c r="E57" s="23" t="s">
        <v>1347</v>
      </c>
      <c r="F57" s="24"/>
      <c r="I57" s="26"/>
      <c r="J57" s="10"/>
      <c r="K57" s="10"/>
      <c r="L57" s="27" t="str">
        <f t="shared" si="10"/>
        <v xml:space="preserve"> </v>
      </c>
      <c r="M57" s="58"/>
      <c r="N57" s="27" t="str">
        <f t="shared" si="9"/>
        <v xml:space="preserve"> </v>
      </c>
      <c r="O57" s="27">
        <f t="shared" si="17"/>
        <v>0</v>
      </c>
      <c r="P57" s="28" t="str">
        <f t="shared" si="3"/>
        <v>On time</v>
      </c>
      <c r="Q57" s="27">
        <f t="shared" si="18"/>
        <v>0</v>
      </c>
      <c r="R57" s="29" t="s">
        <v>152</v>
      </c>
      <c r="S57" s="12" t="s">
        <v>100</v>
      </c>
      <c r="T57" s="35">
        <v>8</v>
      </c>
      <c r="U57" t="s">
        <v>254</v>
      </c>
      <c r="V57" s="31">
        <v>50</v>
      </c>
      <c r="W57" s="9">
        <v>78.81</v>
      </c>
      <c r="X57" s="9">
        <f t="shared" si="5"/>
        <v>3940.5</v>
      </c>
      <c r="Z57" s="10">
        <v>46045</v>
      </c>
      <c r="AA57" s="10">
        <v>46060</v>
      </c>
      <c r="AB57" s="10">
        <v>46111</v>
      </c>
      <c r="AC57" s="10">
        <v>46177</v>
      </c>
      <c r="AD57" s="31">
        <f t="shared" ca="1" si="19"/>
        <v>75</v>
      </c>
      <c r="AE57" s="55" t="s">
        <v>247</v>
      </c>
      <c r="AF57" s="9" t="s">
        <v>155</v>
      </c>
      <c r="AG57" s="9" t="s">
        <v>78</v>
      </c>
      <c r="AH57" s="9" t="s">
        <v>131</v>
      </c>
      <c r="AI57" s="9" t="s">
        <v>53</v>
      </c>
      <c r="AJ57" s="10">
        <v>46119</v>
      </c>
      <c r="AK57" s="10">
        <v>46172</v>
      </c>
      <c r="AL57" s="9" t="s">
        <v>1964</v>
      </c>
      <c r="AM57" s="27" t="str">
        <f t="shared" si="20"/>
        <v>Atrasado</v>
      </c>
      <c r="AN57" s="27" t="str">
        <f t="shared" ca="1" si="7"/>
        <v>Estoque</v>
      </c>
      <c r="AO57" s="27" t="str">
        <f t="shared" ca="1" si="8"/>
        <v>Embarcado</v>
      </c>
    </row>
    <row r="58" spans="1:43" hidden="1">
      <c r="D58" t="s">
        <v>255</v>
      </c>
      <c r="E58" s="23" t="s">
        <v>1348</v>
      </c>
      <c r="F58" s="24"/>
      <c r="I58" s="26"/>
      <c r="J58" s="10"/>
      <c r="K58" s="10"/>
      <c r="L58" s="27" t="str">
        <f t="shared" si="10"/>
        <v xml:space="preserve"> </v>
      </c>
      <c r="M58" s="58"/>
      <c r="N58" s="27" t="str">
        <f t="shared" si="9"/>
        <v xml:space="preserve"> </v>
      </c>
      <c r="O58" s="27">
        <f t="shared" si="17"/>
        <v>0</v>
      </c>
      <c r="P58" s="28" t="str">
        <f t="shared" si="3"/>
        <v>On time</v>
      </c>
      <c r="Q58" s="27">
        <f t="shared" si="18"/>
        <v>0</v>
      </c>
      <c r="R58" s="29" t="s">
        <v>152</v>
      </c>
      <c r="S58" s="12" t="s">
        <v>100</v>
      </c>
      <c r="T58" s="35">
        <v>9</v>
      </c>
      <c r="U58" t="s">
        <v>255</v>
      </c>
      <c r="V58" s="31">
        <v>30</v>
      </c>
      <c r="W58" s="9">
        <v>137.13999999999999</v>
      </c>
      <c r="X58" s="9">
        <f t="shared" si="5"/>
        <v>4114.2</v>
      </c>
      <c r="Z58" s="10">
        <v>46045</v>
      </c>
      <c r="AA58" s="10">
        <v>46060</v>
      </c>
      <c r="AB58" s="10">
        <v>46111</v>
      </c>
      <c r="AC58" s="10">
        <v>46177</v>
      </c>
      <c r="AD58" s="31">
        <f t="shared" ca="1" si="19"/>
        <v>75</v>
      </c>
      <c r="AE58" s="55" t="s">
        <v>247</v>
      </c>
      <c r="AF58" s="9" t="s">
        <v>155</v>
      </c>
      <c r="AG58" s="9" t="s">
        <v>78</v>
      </c>
      <c r="AH58" s="9" t="s">
        <v>131</v>
      </c>
      <c r="AI58" s="9" t="s">
        <v>53</v>
      </c>
      <c r="AJ58" s="10">
        <v>46119</v>
      </c>
      <c r="AK58" s="10">
        <v>46172</v>
      </c>
      <c r="AL58" s="9" t="s">
        <v>1964</v>
      </c>
      <c r="AM58" s="27" t="str">
        <f t="shared" si="20"/>
        <v>Atrasado</v>
      </c>
      <c r="AN58" s="27" t="str">
        <f t="shared" ca="1" si="7"/>
        <v>Estoque</v>
      </c>
      <c r="AO58" s="27" t="str">
        <f t="shared" ca="1" si="8"/>
        <v>Embarcado</v>
      </c>
    </row>
    <row r="59" spans="1:43" ht="15" hidden="1" customHeight="1">
      <c r="A59">
        <v>509078</v>
      </c>
      <c r="B59">
        <v>1</v>
      </c>
      <c r="C59" t="s">
        <v>25</v>
      </c>
      <c r="D59" t="s">
        <v>153</v>
      </c>
      <c r="E59" s="23" t="s">
        <v>1295</v>
      </c>
      <c r="F59" s="24">
        <v>4</v>
      </c>
      <c r="G59" s="25">
        <v>927.35</v>
      </c>
      <c r="H59" s="25">
        <f t="shared" si="1"/>
        <v>3709.4</v>
      </c>
      <c r="I59" s="26">
        <v>46281</v>
      </c>
      <c r="J59" s="10">
        <v>46036</v>
      </c>
      <c r="K59" s="10">
        <v>46038</v>
      </c>
      <c r="L59" s="27" t="str">
        <f t="shared" si="10"/>
        <v>On time</v>
      </c>
      <c r="M59" s="58">
        <v>46043</v>
      </c>
      <c r="N59" s="27" t="str">
        <f t="shared" si="9"/>
        <v>Atrasado</v>
      </c>
      <c r="O59" s="27">
        <f t="shared" si="17"/>
        <v>7</v>
      </c>
      <c r="P59" s="28" t="str">
        <f t="shared" si="3"/>
        <v>On time</v>
      </c>
      <c r="Q59" s="27">
        <f t="shared" si="18"/>
        <v>245</v>
      </c>
      <c r="R59" s="29" t="s">
        <v>154</v>
      </c>
      <c r="S59" s="12" t="s">
        <v>90</v>
      </c>
      <c r="T59" s="35">
        <v>1</v>
      </c>
      <c r="U59" t="s">
        <v>153</v>
      </c>
      <c r="V59" s="31">
        <v>4</v>
      </c>
      <c r="W59" s="9">
        <v>37.29</v>
      </c>
      <c r="X59" s="9">
        <f t="shared" si="5"/>
        <v>149.16</v>
      </c>
      <c r="Y59">
        <v>30</v>
      </c>
      <c r="Z59" s="10">
        <v>46045</v>
      </c>
      <c r="AA59" s="10">
        <v>46046</v>
      </c>
      <c r="AB59" s="10">
        <v>46050</v>
      </c>
      <c r="AC59" s="10">
        <v>46139</v>
      </c>
      <c r="AD59" s="31">
        <f t="shared" ca="1" si="16"/>
        <v>89</v>
      </c>
      <c r="AE59" s="55">
        <v>1</v>
      </c>
      <c r="AF59" s="9" t="s">
        <v>155</v>
      </c>
      <c r="AG59" s="9" t="s">
        <v>78</v>
      </c>
      <c r="AH59" s="9"/>
      <c r="AI59" s="9" t="s">
        <v>53</v>
      </c>
      <c r="AJ59" s="10">
        <v>46057</v>
      </c>
      <c r="AK59" s="10">
        <v>46125</v>
      </c>
      <c r="AL59" t="s">
        <v>2060</v>
      </c>
      <c r="AM59" s="27" t="str">
        <f t="shared" si="14"/>
        <v>On time</v>
      </c>
      <c r="AN59" s="27" t="str">
        <f t="shared" ca="1" si="7"/>
        <v>No prazo</v>
      </c>
      <c r="AO59" s="27" t="str">
        <f t="shared" ca="1" si="8"/>
        <v>Embarcado</v>
      </c>
    </row>
    <row r="60" spans="1:43" ht="15" hidden="1" customHeight="1">
      <c r="A60">
        <v>503673</v>
      </c>
      <c r="B60">
        <v>9</v>
      </c>
      <c r="C60" t="s">
        <v>203</v>
      </c>
      <c r="D60" t="s">
        <v>204</v>
      </c>
      <c r="E60" s="23" t="s">
        <v>207</v>
      </c>
      <c r="F60" s="24">
        <v>6</v>
      </c>
      <c r="G60" s="25">
        <v>396</v>
      </c>
      <c r="H60" s="25">
        <f t="shared" si="1"/>
        <v>2376</v>
      </c>
      <c r="I60" s="26">
        <v>46127</v>
      </c>
      <c r="J60" s="10">
        <v>46007</v>
      </c>
      <c r="K60" s="10">
        <v>46007</v>
      </c>
      <c r="L60" s="27" t="str">
        <f t="shared" si="10"/>
        <v>On time</v>
      </c>
      <c r="M60" s="58">
        <v>46048</v>
      </c>
      <c r="N60" s="27" t="str">
        <f t="shared" si="9"/>
        <v>Atrasado</v>
      </c>
      <c r="O60" s="27">
        <f t="shared" si="17"/>
        <v>41</v>
      </c>
      <c r="P60" s="28" t="str">
        <f t="shared" si="3"/>
        <v>On time</v>
      </c>
      <c r="Q60" s="27">
        <f t="shared" si="18"/>
        <v>120</v>
      </c>
      <c r="R60" s="29" t="s">
        <v>210</v>
      </c>
      <c r="S60" s="12" t="s">
        <v>90</v>
      </c>
      <c r="T60" s="35">
        <v>1</v>
      </c>
      <c r="U60" t="s">
        <v>204</v>
      </c>
      <c r="V60" s="31">
        <v>6</v>
      </c>
      <c r="W60" s="9">
        <v>8.58</v>
      </c>
      <c r="X60" s="9">
        <f t="shared" si="5"/>
        <v>51.480000000000004</v>
      </c>
      <c r="Y60">
        <v>1.5</v>
      </c>
      <c r="Z60" s="10">
        <v>46052</v>
      </c>
      <c r="AA60" s="10">
        <v>46067</v>
      </c>
      <c r="AB60" s="10">
        <v>46062</v>
      </c>
      <c r="AC60" s="10">
        <v>46085</v>
      </c>
      <c r="AD60" s="31">
        <f t="shared" ca="1" si="16"/>
        <v>68</v>
      </c>
      <c r="AE60" s="55">
        <v>1</v>
      </c>
      <c r="AF60" s="9" t="s">
        <v>63</v>
      </c>
      <c r="AG60" s="9" t="s">
        <v>79</v>
      </c>
      <c r="AH60" s="9"/>
      <c r="AI60" s="9" t="s">
        <v>57</v>
      </c>
      <c r="AJ60" s="10">
        <v>46077</v>
      </c>
      <c r="AK60" s="10">
        <v>46080</v>
      </c>
      <c r="AL60" t="s">
        <v>682</v>
      </c>
      <c r="AM60" s="27" t="str">
        <f t="shared" si="14"/>
        <v>On time</v>
      </c>
      <c r="AN60" s="27" t="str">
        <f t="shared" ca="1" si="7"/>
        <v>Chegou</v>
      </c>
      <c r="AO60" s="27" t="str">
        <f t="shared" ca="1" si="8"/>
        <v>Chegou HCI</v>
      </c>
      <c r="AP60" t="s">
        <v>240</v>
      </c>
      <c r="AQ60" t="s">
        <v>536</v>
      </c>
    </row>
    <row r="61" spans="1:43" ht="15" hidden="1" customHeight="1">
      <c r="A61">
        <v>503673</v>
      </c>
      <c r="B61">
        <v>10</v>
      </c>
      <c r="C61" t="s">
        <v>203</v>
      </c>
      <c r="D61" t="s">
        <v>205</v>
      </c>
      <c r="E61" s="23" t="s">
        <v>208</v>
      </c>
      <c r="F61" s="24">
        <v>3</v>
      </c>
      <c r="G61" s="25">
        <v>233.86</v>
      </c>
      <c r="H61" s="25">
        <f t="shared" si="1"/>
        <v>701.58</v>
      </c>
      <c r="I61" s="26">
        <v>46127</v>
      </c>
      <c r="J61" s="10">
        <v>46007</v>
      </c>
      <c r="K61" s="10">
        <v>46007</v>
      </c>
      <c r="L61" s="27" t="str">
        <f t="shared" si="10"/>
        <v>On time</v>
      </c>
      <c r="M61" s="58">
        <v>46048</v>
      </c>
      <c r="N61" s="27" t="str">
        <f t="shared" si="9"/>
        <v>Atrasado</v>
      </c>
      <c r="O61" s="27">
        <f t="shared" si="17"/>
        <v>41</v>
      </c>
      <c r="P61" s="28" t="str">
        <f t="shared" si="3"/>
        <v>On time</v>
      </c>
      <c r="Q61" s="27">
        <f t="shared" si="18"/>
        <v>120</v>
      </c>
      <c r="R61" s="29" t="s">
        <v>210</v>
      </c>
      <c r="S61" s="12" t="s">
        <v>90</v>
      </c>
      <c r="T61" s="35">
        <v>2</v>
      </c>
      <c r="U61" t="s">
        <v>205</v>
      </c>
      <c r="V61" s="31">
        <v>5</v>
      </c>
      <c r="W61" s="9">
        <v>3.86</v>
      </c>
      <c r="X61" s="9">
        <f t="shared" si="5"/>
        <v>19.3</v>
      </c>
      <c r="Y61">
        <v>0.2</v>
      </c>
      <c r="Z61" s="10">
        <v>46052</v>
      </c>
      <c r="AA61" s="10">
        <v>46067</v>
      </c>
      <c r="AB61" s="10">
        <v>46062</v>
      </c>
      <c r="AC61" s="10">
        <v>46085</v>
      </c>
      <c r="AD61" s="31">
        <f t="shared" ca="1" si="16"/>
        <v>68</v>
      </c>
      <c r="AE61" s="55">
        <v>1</v>
      </c>
      <c r="AF61" s="9" t="s">
        <v>63</v>
      </c>
      <c r="AG61" s="9" t="s">
        <v>79</v>
      </c>
      <c r="AH61" s="9"/>
      <c r="AI61" s="9" t="s">
        <v>57</v>
      </c>
      <c r="AJ61" s="10">
        <v>46077</v>
      </c>
      <c r="AK61" s="10">
        <v>46080</v>
      </c>
      <c r="AL61" t="s">
        <v>682</v>
      </c>
      <c r="AM61" s="27" t="str">
        <f t="shared" si="14"/>
        <v>On time</v>
      </c>
      <c r="AN61" s="27" t="str">
        <f t="shared" ca="1" si="7"/>
        <v>Chegou</v>
      </c>
      <c r="AO61" s="27" t="str">
        <f t="shared" ca="1" si="8"/>
        <v>Chegou HCI</v>
      </c>
      <c r="AP61" t="s">
        <v>240</v>
      </c>
      <c r="AQ61" t="s">
        <v>536</v>
      </c>
    </row>
    <row r="62" spans="1:43" ht="15" hidden="1" customHeight="1">
      <c r="A62">
        <v>503673</v>
      </c>
      <c r="B62">
        <v>21</v>
      </c>
      <c r="C62" t="s">
        <v>203</v>
      </c>
      <c r="D62" t="s">
        <v>206</v>
      </c>
      <c r="E62" s="23" t="s">
        <v>209</v>
      </c>
      <c r="F62" s="24">
        <v>3</v>
      </c>
      <c r="G62" s="25">
        <v>373.33</v>
      </c>
      <c r="H62" s="25">
        <f t="shared" si="1"/>
        <v>1119.99</v>
      </c>
      <c r="I62" s="26">
        <v>46127</v>
      </c>
      <c r="J62" s="10">
        <v>46007</v>
      </c>
      <c r="K62" s="10">
        <v>46007</v>
      </c>
      <c r="L62" s="27" t="str">
        <f t="shared" si="10"/>
        <v>On time</v>
      </c>
      <c r="M62" s="58">
        <v>46048</v>
      </c>
      <c r="N62" s="27" t="str">
        <f t="shared" si="9"/>
        <v>Atrasado</v>
      </c>
      <c r="O62" s="27">
        <f t="shared" si="17"/>
        <v>41</v>
      </c>
      <c r="P62" s="28" t="str">
        <f t="shared" si="3"/>
        <v>On time</v>
      </c>
      <c r="Q62" s="27">
        <f t="shared" si="18"/>
        <v>120</v>
      </c>
      <c r="R62" s="29" t="s">
        <v>210</v>
      </c>
      <c r="S62" s="12" t="s">
        <v>90</v>
      </c>
      <c r="T62" s="35">
        <v>3</v>
      </c>
      <c r="U62" t="s">
        <v>206</v>
      </c>
      <c r="V62" s="31">
        <v>5</v>
      </c>
      <c r="W62" s="9">
        <v>3.17</v>
      </c>
      <c r="X62" s="9">
        <f t="shared" si="5"/>
        <v>15.85</v>
      </c>
      <c r="Y62">
        <v>0.2</v>
      </c>
      <c r="Z62" s="10">
        <v>46052</v>
      </c>
      <c r="AA62" s="10">
        <v>46067</v>
      </c>
      <c r="AB62" s="10">
        <v>46062</v>
      </c>
      <c r="AC62" s="10">
        <v>46085</v>
      </c>
      <c r="AD62" s="31">
        <f t="shared" ca="1" si="16"/>
        <v>68</v>
      </c>
      <c r="AE62" s="55">
        <v>1</v>
      </c>
      <c r="AF62" s="9" t="s">
        <v>63</v>
      </c>
      <c r="AG62" s="9" t="s">
        <v>79</v>
      </c>
      <c r="AH62" s="9"/>
      <c r="AI62" s="9" t="s">
        <v>57</v>
      </c>
      <c r="AJ62" s="10">
        <v>46077</v>
      </c>
      <c r="AK62" s="10">
        <v>46080</v>
      </c>
      <c r="AL62" t="s">
        <v>682</v>
      </c>
      <c r="AM62" s="27" t="str">
        <f>IF(AB62=0," ",IF(AB62&lt;=AA62+10,"On time","Atrasado"))</f>
        <v>On time</v>
      </c>
      <c r="AN62" s="27" t="str">
        <f t="shared" ca="1" si="7"/>
        <v>Chegou</v>
      </c>
      <c r="AO62" s="27" t="str">
        <f t="shared" ca="1" si="8"/>
        <v>Chegou HCI</v>
      </c>
      <c r="AP62" t="s">
        <v>240</v>
      </c>
      <c r="AQ62" t="s">
        <v>536</v>
      </c>
    </row>
    <row r="63" spans="1:43" ht="15" hidden="1" customHeight="1">
      <c r="A63">
        <v>509629</v>
      </c>
      <c r="B63">
        <v>1</v>
      </c>
      <c r="C63" t="s">
        <v>25</v>
      </c>
      <c r="D63" t="s">
        <v>211</v>
      </c>
      <c r="E63" s="23" t="s">
        <v>1290</v>
      </c>
      <c r="F63" s="24">
        <v>8</v>
      </c>
      <c r="G63" s="25">
        <v>48.89</v>
      </c>
      <c r="H63" s="25">
        <f t="shared" si="1"/>
        <v>391.12</v>
      </c>
      <c r="I63" s="26">
        <v>46199</v>
      </c>
      <c r="J63" s="10">
        <v>46045</v>
      </c>
      <c r="K63" s="10">
        <v>46045</v>
      </c>
      <c r="L63" s="27" t="str">
        <f t="shared" si="10"/>
        <v>On time</v>
      </c>
      <c r="M63" s="58">
        <v>46050</v>
      </c>
      <c r="N63" s="27" t="str">
        <f t="shared" si="9"/>
        <v>On time</v>
      </c>
      <c r="O63" s="27">
        <f t="shared" si="17"/>
        <v>5</v>
      </c>
      <c r="P63" s="28" t="str">
        <f t="shared" si="3"/>
        <v>On time</v>
      </c>
      <c r="Q63" s="27">
        <f t="shared" si="18"/>
        <v>154</v>
      </c>
      <c r="R63" s="29" t="s">
        <v>212</v>
      </c>
      <c r="S63" s="12" t="s">
        <v>90</v>
      </c>
      <c r="T63" s="35">
        <v>1</v>
      </c>
      <c r="U63" t="s">
        <v>213</v>
      </c>
      <c r="V63" s="31">
        <v>80</v>
      </c>
      <c r="W63" s="9">
        <v>1.3</v>
      </c>
      <c r="X63" s="9">
        <f t="shared" si="5"/>
        <v>104</v>
      </c>
      <c r="Y63">
        <v>0.5</v>
      </c>
      <c r="Z63" s="10">
        <v>46052</v>
      </c>
      <c r="AA63" s="10">
        <v>46067</v>
      </c>
      <c r="AB63" s="10">
        <v>46091</v>
      </c>
      <c r="AC63" s="10">
        <v>46175</v>
      </c>
      <c r="AD63" s="31">
        <f t="shared" ca="1" si="16"/>
        <v>68</v>
      </c>
      <c r="AE63" s="55">
        <v>1</v>
      </c>
      <c r="AF63" t="s">
        <v>155</v>
      </c>
      <c r="AG63" s="9" t="s">
        <v>78</v>
      </c>
      <c r="AH63" s="10" t="s">
        <v>78</v>
      </c>
      <c r="AI63" s="9" t="s">
        <v>53</v>
      </c>
      <c r="AJ63" s="10">
        <v>46123</v>
      </c>
      <c r="AK63" s="10">
        <v>46160</v>
      </c>
      <c r="AL63" s="10" t="s">
        <v>2061</v>
      </c>
      <c r="AM63" s="27" t="str">
        <f>IF(AB63=0," ",IF(AB63&lt;=AA63+10,"On time","Atrasado"))</f>
        <v>Atrasado</v>
      </c>
      <c r="AN63" s="27" t="str">
        <f t="shared" ca="1" si="7"/>
        <v>Alerta</v>
      </c>
      <c r="AO63" s="27" t="str">
        <f t="shared" ca="1" si="8"/>
        <v>Embarcado</v>
      </c>
    </row>
    <row r="64" spans="1:43" ht="15" hidden="1" customHeight="1">
      <c r="A64">
        <v>509596</v>
      </c>
      <c r="B64">
        <v>1</v>
      </c>
      <c r="C64" t="s">
        <v>25</v>
      </c>
      <c r="D64" t="s">
        <v>214</v>
      </c>
      <c r="E64" s="23" t="s">
        <v>218</v>
      </c>
      <c r="F64" s="24">
        <v>2</v>
      </c>
      <c r="G64" s="25">
        <v>8657.56</v>
      </c>
      <c r="H64" s="25">
        <f t="shared" si="1"/>
        <v>17315.12</v>
      </c>
      <c r="I64" s="26">
        <v>46288</v>
      </c>
      <c r="J64" s="10">
        <v>46044</v>
      </c>
      <c r="K64" s="10">
        <v>46045</v>
      </c>
      <c r="L64" s="27" t="str">
        <f t="shared" si="10"/>
        <v>On time</v>
      </c>
      <c r="M64" s="58">
        <v>46050</v>
      </c>
      <c r="N64" s="27" t="str">
        <f t="shared" si="9"/>
        <v>On time</v>
      </c>
      <c r="O64" s="27">
        <f t="shared" si="17"/>
        <v>6</v>
      </c>
      <c r="P64" s="28" t="str">
        <f t="shared" si="3"/>
        <v>On time</v>
      </c>
      <c r="Q64" s="27">
        <f t="shared" si="18"/>
        <v>244</v>
      </c>
      <c r="R64" s="29" t="s">
        <v>221</v>
      </c>
      <c r="S64" s="12" t="s">
        <v>48</v>
      </c>
      <c r="T64" s="35">
        <v>1</v>
      </c>
      <c r="U64" t="s">
        <v>214</v>
      </c>
      <c r="V64" s="31">
        <v>2</v>
      </c>
      <c r="W64" s="9">
        <v>635</v>
      </c>
      <c r="X64" s="9">
        <f t="shared" si="5"/>
        <v>1270</v>
      </c>
      <c r="Z64" s="10">
        <v>46052</v>
      </c>
      <c r="AA64" s="10">
        <v>46067</v>
      </c>
      <c r="AB64" s="10">
        <v>46152</v>
      </c>
      <c r="AC64" s="10">
        <v>46217</v>
      </c>
      <c r="AD64" s="31">
        <f t="shared" ca="1" si="16"/>
        <v>68</v>
      </c>
      <c r="AE64" s="55">
        <v>1</v>
      </c>
      <c r="AF64" s="9" t="s">
        <v>62</v>
      </c>
      <c r="AG64" s="9" t="s">
        <v>78</v>
      </c>
      <c r="AH64" s="10" t="s">
        <v>131</v>
      </c>
      <c r="AI64" s="9" t="s">
        <v>53</v>
      </c>
      <c r="AL64" s="9" t="s">
        <v>2068</v>
      </c>
      <c r="AM64" s="27" t="str">
        <f>IF(AB64=0," ",IF(AB64&lt;=AA64+10,"On time","Atrasado"))</f>
        <v>Atrasado</v>
      </c>
      <c r="AN64" s="27" t="str">
        <f t="shared" ca="1" si="7"/>
        <v>No prazo</v>
      </c>
      <c r="AO64" s="27" t="str">
        <f t="shared" ca="1" si="8"/>
        <v/>
      </c>
      <c r="AP64" t="s">
        <v>202</v>
      </c>
    </row>
    <row r="65" spans="1:42" ht="15" hidden="1" customHeight="1">
      <c r="A65">
        <v>509599</v>
      </c>
      <c r="B65">
        <v>1</v>
      </c>
      <c r="C65" t="s">
        <v>25</v>
      </c>
      <c r="D65" t="s">
        <v>219</v>
      </c>
      <c r="E65" s="23" t="s">
        <v>1289</v>
      </c>
      <c r="F65" s="24">
        <v>2</v>
      </c>
      <c r="G65" s="25">
        <v>4839.8999999999996</v>
      </c>
      <c r="H65" s="25">
        <f t="shared" si="1"/>
        <v>9679.7999999999993</v>
      </c>
      <c r="I65" s="26">
        <v>46288</v>
      </c>
      <c r="J65" s="10">
        <v>46044</v>
      </c>
      <c r="K65" s="10">
        <v>46045</v>
      </c>
      <c r="L65" s="27" t="str">
        <f t="shared" si="10"/>
        <v>On time</v>
      </c>
      <c r="M65" s="58">
        <v>46050</v>
      </c>
      <c r="N65" s="27" t="str">
        <f t="shared" si="9"/>
        <v>On time</v>
      </c>
      <c r="O65" s="27">
        <f t="shared" si="17"/>
        <v>6</v>
      </c>
      <c r="P65" s="28" t="str">
        <f t="shared" si="3"/>
        <v>On time</v>
      </c>
      <c r="Q65" s="27">
        <f t="shared" si="18"/>
        <v>244</v>
      </c>
      <c r="R65" s="29" t="s">
        <v>221</v>
      </c>
      <c r="S65" s="12" t="s">
        <v>48</v>
      </c>
      <c r="T65" s="35">
        <v>2</v>
      </c>
      <c r="U65" t="s">
        <v>217</v>
      </c>
      <c r="V65" s="31">
        <v>12</v>
      </c>
      <c r="W65" s="9">
        <v>290</v>
      </c>
      <c r="X65" s="9">
        <f t="shared" si="5"/>
        <v>3480</v>
      </c>
      <c r="Z65" s="10">
        <v>46052</v>
      </c>
      <c r="AA65" s="10">
        <v>46067</v>
      </c>
      <c r="AB65" s="10">
        <v>46152</v>
      </c>
      <c r="AC65" s="10">
        <v>46217</v>
      </c>
      <c r="AD65" s="31">
        <f t="shared" ref="AD65:AD71" ca="1" si="24">TODAY()-AA65</f>
        <v>68</v>
      </c>
      <c r="AE65" s="55">
        <v>1</v>
      </c>
      <c r="AF65" s="9" t="s">
        <v>62</v>
      </c>
      <c r="AG65" s="9" t="s">
        <v>78</v>
      </c>
      <c r="AH65" s="10" t="s">
        <v>131</v>
      </c>
      <c r="AI65" s="9" t="s">
        <v>53</v>
      </c>
      <c r="AL65" s="9" t="s">
        <v>2068</v>
      </c>
      <c r="AM65" s="27" t="str">
        <f t="shared" ref="AM65:AM74" si="25">IF(AB65=0," ",IF(AB65&lt;=AA65+10,"On time","Atrasado"))</f>
        <v>Atrasado</v>
      </c>
      <c r="AN65" s="27" t="str">
        <f t="shared" ca="1" si="7"/>
        <v>No prazo</v>
      </c>
      <c r="AO65" s="27" t="str">
        <f t="shared" ca="1" si="8"/>
        <v/>
      </c>
      <c r="AP65" t="s">
        <v>202</v>
      </c>
    </row>
    <row r="66" spans="1:42" ht="15" hidden="1" customHeight="1">
      <c r="A66">
        <v>509611</v>
      </c>
      <c r="B66">
        <v>1</v>
      </c>
      <c r="C66" t="s">
        <v>25</v>
      </c>
      <c r="D66" t="s">
        <v>215</v>
      </c>
      <c r="E66" s="23" t="s">
        <v>222</v>
      </c>
      <c r="F66" s="24">
        <v>2</v>
      </c>
      <c r="G66" s="25">
        <v>8605.4</v>
      </c>
      <c r="H66" s="25">
        <f t="shared" si="1"/>
        <v>17210.8</v>
      </c>
      <c r="I66" s="26">
        <v>46288</v>
      </c>
      <c r="J66" s="10">
        <v>46044</v>
      </c>
      <c r="K66" s="10">
        <v>46045</v>
      </c>
      <c r="L66" s="27" t="str">
        <f t="shared" si="10"/>
        <v>On time</v>
      </c>
      <c r="M66" s="58">
        <v>46050</v>
      </c>
      <c r="N66" s="27" t="str">
        <f t="shared" si="9"/>
        <v>On time</v>
      </c>
      <c r="O66" s="27">
        <f t="shared" si="17"/>
        <v>6</v>
      </c>
      <c r="P66" s="28" t="str">
        <f t="shared" si="3"/>
        <v>On time</v>
      </c>
      <c r="Q66" s="27">
        <f t="shared" si="18"/>
        <v>244</v>
      </c>
      <c r="R66" s="29" t="s">
        <v>221</v>
      </c>
      <c r="S66" s="12" t="s">
        <v>48</v>
      </c>
      <c r="T66" s="35">
        <v>3</v>
      </c>
      <c r="U66" t="s">
        <v>215</v>
      </c>
      <c r="V66" s="31">
        <v>2</v>
      </c>
      <c r="W66" s="9">
        <v>550</v>
      </c>
      <c r="X66" s="9">
        <f t="shared" si="5"/>
        <v>1100</v>
      </c>
      <c r="Z66" s="10">
        <v>46052</v>
      </c>
      <c r="AA66" s="10">
        <v>46067</v>
      </c>
      <c r="AB66" s="10">
        <v>46152</v>
      </c>
      <c r="AC66" s="10">
        <v>46217</v>
      </c>
      <c r="AD66" s="31">
        <f t="shared" ca="1" si="24"/>
        <v>68</v>
      </c>
      <c r="AE66" s="55">
        <v>1</v>
      </c>
      <c r="AF66" s="9" t="s">
        <v>62</v>
      </c>
      <c r="AG66" s="9" t="s">
        <v>78</v>
      </c>
      <c r="AH66" s="10" t="s">
        <v>131</v>
      </c>
      <c r="AI66" s="9" t="s">
        <v>53</v>
      </c>
      <c r="AL66" s="9" t="s">
        <v>2068</v>
      </c>
      <c r="AM66" s="27" t="str">
        <f t="shared" si="25"/>
        <v>Atrasado</v>
      </c>
      <c r="AN66" s="27" t="str">
        <f t="shared" ca="1" si="7"/>
        <v>No prazo</v>
      </c>
      <c r="AO66" s="27" t="str">
        <f t="shared" ca="1" si="8"/>
        <v/>
      </c>
      <c r="AP66" t="s">
        <v>202</v>
      </c>
    </row>
    <row r="67" spans="1:42" ht="15" hidden="1" customHeight="1">
      <c r="A67">
        <v>509098</v>
      </c>
      <c r="B67">
        <v>1</v>
      </c>
      <c r="C67" t="s">
        <v>25</v>
      </c>
      <c r="D67" t="s">
        <v>216</v>
      </c>
      <c r="E67" s="23" t="s">
        <v>223</v>
      </c>
      <c r="F67" s="24">
        <v>2</v>
      </c>
      <c r="G67" s="25">
        <v>3353.19</v>
      </c>
      <c r="H67" s="25">
        <f t="shared" si="1"/>
        <v>6706.38</v>
      </c>
      <c r="I67" s="26">
        <v>46281</v>
      </c>
      <c r="J67" s="10">
        <v>46036</v>
      </c>
      <c r="K67" s="10">
        <v>46038</v>
      </c>
      <c r="L67" s="27" t="str">
        <f t="shared" si="10"/>
        <v>On time</v>
      </c>
      <c r="M67" s="58">
        <v>46051</v>
      </c>
      <c r="N67" s="27" t="str">
        <f t="shared" si="9"/>
        <v>Atrasado</v>
      </c>
      <c r="O67" s="27">
        <f t="shared" si="17"/>
        <v>15</v>
      </c>
      <c r="P67" s="28" t="str">
        <f t="shared" si="3"/>
        <v>On time</v>
      </c>
      <c r="Q67" s="27">
        <f t="shared" si="18"/>
        <v>245</v>
      </c>
      <c r="R67" s="29" t="s">
        <v>221</v>
      </c>
      <c r="S67" s="12" t="s">
        <v>48</v>
      </c>
      <c r="T67" s="35">
        <v>4</v>
      </c>
      <c r="U67" t="s">
        <v>216</v>
      </c>
      <c r="V67" s="31">
        <v>2</v>
      </c>
      <c r="W67" s="9">
        <v>180</v>
      </c>
      <c r="X67" s="9">
        <f t="shared" si="5"/>
        <v>360</v>
      </c>
      <c r="Z67" s="10">
        <v>46052</v>
      </c>
      <c r="AA67" s="10">
        <v>46067</v>
      </c>
      <c r="AB67" s="10">
        <v>46152</v>
      </c>
      <c r="AC67" s="10">
        <v>46217</v>
      </c>
      <c r="AD67" s="31">
        <f t="shared" ca="1" si="24"/>
        <v>68</v>
      </c>
      <c r="AE67" s="55">
        <v>1</v>
      </c>
      <c r="AF67" s="9" t="s">
        <v>62</v>
      </c>
      <c r="AG67" s="9" t="s">
        <v>78</v>
      </c>
      <c r="AH67" s="10" t="s">
        <v>131</v>
      </c>
      <c r="AI67" s="9" t="s">
        <v>53</v>
      </c>
      <c r="AL67" s="9" t="s">
        <v>2068</v>
      </c>
      <c r="AM67" s="27" t="str">
        <f t="shared" si="25"/>
        <v>Atrasado</v>
      </c>
      <c r="AN67" s="27" t="str">
        <f t="shared" ca="1" si="7"/>
        <v>No prazo</v>
      </c>
      <c r="AO67" s="27" t="str">
        <f t="shared" ca="1" si="8"/>
        <v/>
      </c>
      <c r="AP67" t="s">
        <v>202</v>
      </c>
    </row>
    <row r="68" spans="1:42" ht="15" hidden="1" customHeight="1">
      <c r="A68">
        <v>509667</v>
      </c>
      <c r="B68">
        <v>1</v>
      </c>
      <c r="C68" t="s">
        <v>25</v>
      </c>
      <c r="D68" t="s">
        <v>227</v>
      </c>
      <c r="E68" s="23" t="s">
        <v>232</v>
      </c>
      <c r="F68" s="24">
        <v>2</v>
      </c>
      <c r="G68" s="25">
        <v>3259.62</v>
      </c>
      <c r="H68" s="25">
        <f t="shared" si="1"/>
        <v>6519.24</v>
      </c>
      <c r="I68" s="26">
        <v>46288</v>
      </c>
      <c r="J68" s="10">
        <v>46044</v>
      </c>
      <c r="K68" s="10">
        <v>46048</v>
      </c>
      <c r="L68" s="27" t="str">
        <f t="shared" si="10"/>
        <v>On time</v>
      </c>
      <c r="M68" s="58">
        <v>46055</v>
      </c>
      <c r="N68" s="27" t="str">
        <f t="shared" si="9"/>
        <v>Atrasado</v>
      </c>
      <c r="O68" s="27">
        <f t="shared" si="17"/>
        <v>11</v>
      </c>
      <c r="P68" s="28" t="str">
        <f t="shared" si="3"/>
        <v>On time</v>
      </c>
      <c r="Q68" s="27">
        <f t="shared" si="18"/>
        <v>244</v>
      </c>
      <c r="R68" s="29" t="s">
        <v>221</v>
      </c>
      <c r="S68" s="12" t="s">
        <v>48</v>
      </c>
      <c r="T68" s="35">
        <v>6</v>
      </c>
      <c r="U68" t="s">
        <v>233</v>
      </c>
      <c r="V68" s="31">
        <v>2</v>
      </c>
      <c r="W68" s="9">
        <v>250</v>
      </c>
      <c r="X68" s="9">
        <f t="shared" si="5"/>
        <v>500</v>
      </c>
      <c r="Z68" s="10">
        <v>46058</v>
      </c>
      <c r="AA68" s="10">
        <v>46067</v>
      </c>
      <c r="AB68" s="10">
        <v>46152</v>
      </c>
      <c r="AC68" s="10">
        <v>46217</v>
      </c>
      <c r="AD68" s="31">
        <f t="shared" ca="1" si="24"/>
        <v>68</v>
      </c>
      <c r="AE68" s="55">
        <v>1</v>
      </c>
      <c r="AF68" s="9" t="s">
        <v>62</v>
      </c>
      <c r="AG68" s="9" t="s">
        <v>78</v>
      </c>
      <c r="AH68" s="10" t="s">
        <v>131</v>
      </c>
      <c r="AI68" s="9" t="s">
        <v>53</v>
      </c>
      <c r="AL68" s="9" t="s">
        <v>2068</v>
      </c>
      <c r="AM68" s="27" t="str">
        <f t="shared" si="25"/>
        <v>Atrasado</v>
      </c>
      <c r="AN68" s="27" t="str">
        <f t="shared" ref="AN68:AN123" ca="1" si="26">IF(AND(AC68&lt;&gt;"",AC68&lt;=TODAY()),"Chegou",IF(A68="","Estoque",IF(OR(AC68="",I68=""),"",IF(I68-AC68&lt;=0,"Atrasado",IF(I68-AC68&lt;=9,"Crítico",IF(I68-AC68&lt;=20,"Verificar aéreo",IF(I68-AC68&lt;=25,"Alerta","No prazo")        ))))))</f>
        <v>No prazo</v>
      </c>
      <c r="AO68" s="27" t="str">
        <f t="shared" ref="AO68:AO131" ca="1" si="27">IF(AN68="Chegou","Chegou HCI",IF(AND(AJ68&lt;&gt;"",AK68&lt;&gt;""),IF(TODAY()&gt;=AJ68,"Embarcado","Ag. embarque"),IF(AND(AJ68&lt;&gt;"",AK68=""),"Ag. booking","")))</f>
        <v/>
      </c>
      <c r="AP68" t="s">
        <v>202</v>
      </c>
    </row>
    <row r="69" spans="1:42" ht="15" hidden="1" customHeight="1">
      <c r="A69">
        <v>509895</v>
      </c>
      <c r="B69">
        <v>1</v>
      </c>
      <c r="C69" t="s">
        <v>25</v>
      </c>
      <c r="D69" t="s">
        <v>228</v>
      </c>
      <c r="E69" s="23" t="s">
        <v>234</v>
      </c>
      <c r="F69" s="24">
        <v>2</v>
      </c>
      <c r="G69" s="25">
        <v>5111.09</v>
      </c>
      <c r="H69" s="25">
        <f t="shared" si="1"/>
        <v>10222.18</v>
      </c>
      <c r="I69" s="26">
        <v>46295</v>
      </c>
      <c r="J69" s="10">
        <v>46050</v>
      </c>
      <c r="K69" s="10">
        <v>46051</v>
      </c>
      <c r="L69" s="27" t="str">
        <f t="shared" si="10"/>
        <v>On time</v>
      </c>
      <c r="M69" s="58">
        <v>46055</v>
      </c>
      <c r="N69" s="27" t="str">
        <f t="shared" si="9"/>
        <v>On time</v>
      </c>
      <c r="O69" s="27">
        <f t="shared" si="17"/>
        <v>5</v>
      </c>
      <c r="P69" s="28" t="str">
        <f t="shared" ref="P69:P132" si="28">IF(Z69=0," ",IF(M69&gt;=Z69+6,"Atrasado","On time"))</f>
        <v>On time</v>
      </c>
      <c r="Q69" s="27">
        <f t="shared" si="18"/>
        <v>245</v>
      </c>
      <c r="R69" s="29" t="s">
        <v>221</v>
      </c>
      <c r="S69" s="12" t="s">
        <v>48</v>
      </c>
      <c r="T69" s="35">
        <v>7</v>
      </c>
      <c r="U69" t="s">
        <v>228</v>
      </c>
      <c r="V69" s="31">
        <v>2</v>
      </c>
      <c r="W69" s="9">
        <v>405</v>
      </c>
      <c r="X69" s="9">
        <f t="shared" si="5"/>
        <v>810</v>
      </c>
      <c r="Z69" s="10">
        <v>46058</v>
      </c>
      <c r="AA69" s="10">
        <v>46067</v>
      </c>
      <c r="AB69" s="10">
        <v>46152</v>
      </c>
      <c r="AC69" s="10">
        <v>46217</v>
      </c>
      <c r="AD69" s="31">
        <f t="shared" ca="1" si="24"/>
        <v>68</v>
      </c>
      <c r="AE69" s="55">
        <v>1</v>
      </c>
      <c r="AF69" s="9" t="s">
        <v>62</v>
      </c>
      <c r="AG69" s="9" t="s">
        <v>78</v>
      </c>
      <c r="AH69" s="10" t="s">
        <v>131</v>
      </c>
      <c r="AI69" s="9" t="s">
        <v>53</v>
      </c>
      <c r="AL69" s="9" t="s">
        <v>2068</v>
      </c>
      <c r="AM69" s="27" t="str">
        <f t="shared" si="25"/>
        <v>Atrasado</v>
      </c>
      <c r="AN69" s="27" t="str">
        <f t="shared" ca="1" si="26"/>
        <v>No prazo</v>
      </c>
      <c r="AO69" s="27" t="str">
        <f t="shared" ca="1" si="27"/>
        <v/>
      </c>
      <c r="AP69" t="s">
        <v>202</v>
      </c>
    </row>
    <row r="70" spans="1:42" ht="15" hidden="1" customHeight="1">
      <c r="A70">
        <v>509896</v>
      </c>
      <c r="B70">
        <v>1</v>
      </c>
      <c r="C70" t="s">
        <v>25</v>
      </c>
      <c r="D70" t="s">
        <v>229</v>
      </c>
      <c r="E70" s="23" t="s">
        <v>235</v>
      </c>
      <c r="F70" s="24">
        <v>17</v>
      </c>
      <c r="G70" s="25">
        <v>3494.31</v>
      </c>
      <c r="H70" s="25">
        <f t="shared" si="1"/>
        <v>59403.27</v>
      </c>
      <c r="I70" s="26">
        <v>46295</v>
      </c>
      <c r="J70" s="10">
        <v>46050</v>
      </c>
      <c r="K70" s="10">
        <v>46051</v>
      </c>
      <c r="L70" s="27" t="str">
        <f t="shared" si="10"/>
        <v>On time</v>
      </c>
      <c r="M70" s="58">
        <v>46055</v>
      </c>
      <c r="N70" s="27" t="str">
        <f t="shared" si="9"/>
        <v>On time</v>
      </c>
      <c r="O70" s="27">
        <f t="shared" si="17"/>
        <v>5</v>
      </c>
      <c r="P70" s="28" t="str">
        <f t="shared" si="28"/>
        <v>On time</v>
      </c>
      <c r="Q70" s="27">
        <f t="shared" si="18"/>
        <v>245</v>
      </c>
      <c r="R70" s="29" t="s">
        <v>221</v>
      </c>
      <c r="S70" s="12" t="s">
        <v>48</v>
      </c>
      <c r="T70" s="35">
        <v>8</v>
      </c>
      <c r="U70" t="s">
        <v>229</v>
      </c>
      <c r="V70" s="31">
        <v>30</v>
      </c>
      <c r="W70" s="9">
        <v>300</v>
      </c>
      <c r="X70" s="9">
        <f t="shared" si="5"/>
        <v>9000</v>
      </c>
      <c r="Z70" s="10">
        <v>46058</v>
      </c>
      <c r="AA70" s="10">
        <v>46067</v>
      </c>
      <c r="AB70" s="10">
        <v>46152</v>
      </c>
      <c r="AC70" s="10">
        <v>46217</v>
      </c>
      <c r="AD70" s="31">
        <f t="shared" ca="1" si="24"/>
        <v>68</v>
      </c>
      <c r="AE70" s="55">
        <v>1</v>
      </c>
      <c r="AF70" s="9" t="s">
        <v>62</v>
      </c>
      <c r="AG70" s="9" t="s">
        <v>78</v>
      </c>
      <c r="AH70" s="10" t="s">
        <v>131</v>
      </c>
      <c r="AI70" s="9" t="s">
        <v>53</v>
      </c>
      <c r="AL70" s="9" t="s">
        <v>2068</v>
      </c>
      <c r="AM70" s="27" t="str">
        <f t="shared" si="25"/>
        <v>Atrasado</v>
      </c>
      <c r="AN70" s="27" t="str">
        <f t="shared" ca="1" si="26"/>
        <v>No prazo</v>
      </c>
      <c r="AO70" s="27" t="str">
        <f t="shared" ca="1" si="27"/>
        <v/>
      </c>
      <c r="AP70" t="s">
        <v>202</v>
      </c>
    </row>
    <row r="71" spans="1:42" ht="15" hidden="1" customHeight="1">
      <c r="A71">
        <v>509894</v>
      </c>
      <c r="B71">
        <v>1</v>
      </c>
      <c r="C71" t="s">
        <v>25</v>
      </c>
      <c r="D71" t="s">
        <v>249</v>
      </c>
      <c r="E71" s="23" t="s">
        <v>250</v>
      </c>
      <c r="F71" s="24">
        <v>22</v>
      </c>
      <c r="G71" s="25">
        <v>2346.9299999999998</v>
      </c>
      <c r="H71" s="25">
        <f t="shared" si="1"/>
        <v>51632.46</v>
      </c>
      <c r="I71" s="26">
        <v>46295</v>
      </c>
      <c r="J71" s="10">
        <v>46050</v>
      </c>
      <c r="K71" s="10">
        <v>46051</v>
      </c>
      <c r="L71" s="27" t="str">
        <f t="shared" si="10"/>
        <v>On time</v>
      </c>
      <c r="M71" s="58">
        <v>46065</v>
      </c>
      <c r="N71" s="27" t="str">
        <f t="shared" si="9"/>
        <v>Atrasado</v>
      </c>
      <c r="O71" s="27">
        <f t="shared" si="17"/>
        <v>15</v>
      </c>
      <c r="P71" s="28" t="str">
        <f t="shared" si="28"/>
        <v>Atrasado</v>
      </c>
      <c r="Q71" s="27">
        <f t="shared" si="18"/>
        <v>245</v>
      </c>
      <c r="R71" s="29" t="s">
        <v>221</v>
      </c>
      <c r="S71" s="12" t="s">
        <v>48</v>
      </c>
      <c r="T71" s="35">
        <v>9</v>
      </c>
      <c r="U71" t="s">
        <v>248</v>
      </c>
      <c r="V71" s="31">
        <v>30</v>
      </c>
      <c r="W71" s="9">
        <v>190</v>
      </c>
      <c r="X71" s="9">
        <f t="shared" si="5"/>
        <v>5700</v>
      </c>
      <c r="Z71" s="10">
        <v>46058</v>
      </c>
      <c r="AA71" s="10">
        <v>46067</v>
      </c>
      <c r="AB71" s="10">
        <v>46152</v>
      </c>
      <c r="AC71" s="10">
        <v>46217</v>
      </c>
      <c r="AD71" s="31">
        <f t="shared" ca="1" si="24"/>
        <v>68</v>
      </c>
      <c r="AE71" s="55">
        <v>1</v>
      </c>
      <c r="AF71" s="9" t="s">
        <v>62</v>
      </c>
      <c r="AG71" s="9" t="s">
        <v>78</v>
      </c>
      <c r="AH71" s="10" t="s">
        <v>131</v>
      </c>
      <c r="AI71" s="9" t="s">
        <v>53</v>
      </c>
      <c r="AL71" s="9" t="s">
        <v>2068</v>
      </c>
      <c r="AM71" s="27" t="str">
        <f t="shared" si="25"/>
        <v>Atrasado</v>
      </c>
      <c r="AN71" s="27" t="str">
        <f t="shared" ca="1" si="26"/>
        <v>No prazo</v>
      </c>
      <c r="AO71" s="27" t="str">
        <f t="shared" ca="1" si="27"/>
        <v/>
      </c>
      <c r="AP71" t="s">
        <v>202</v>
      </c>
    </row>
    <row r="72" spans="1:42" ht="15" hidden="1" customHeight="1">
      <c r="A72">
        <v>509719</v>
      </c>
      <c r="B72">
        <v>1</v>
      </c>
      <c r="C72" t="s">
        <v>25</v>
      </c>
      <c r="D72" t="s">
        <v>226</v>
      </c>
      <c r="E72" s="23" t="s">
        <v>230</v>
      </c>
      <c r="F72" s="24">
        <v>5</v>
      </c>
      <c r="G72" s="25">
        <v>109.88</v>
      </c>
      <c r="H72" s="25">
        <f t="shared" ref="H72" si="29">G72*F72</f>
        <v>549.4</v>
      </c>
      <c r="I72" s="26">
        <v>46199</v>
      </c>
      <c r="J72" s="10">
        <v>46048</v>
      </c>
      <c r="K72" s="10">
        <v>46048</v>
      </c>
      <c r="L72" s="27" t="str">
        <f t="shared" ref="L72" si="30">IF(J72=0," ",IF(K72&lt;=J72+6,"On time","Atrasado"))</f>
        <v>On time</v>
      </c>
      <c r="M72" s="58">
        <v>46055</v>
      </c>
      <c r="N72" s="27" t="str">
        <f t="shared" ref="N72" si="31">IF(J72=0," ",IF(M72&lt;=J72+6,"On time","Atrasado"))</f>
        <v>Atrasado</v>
      </c>
      <c r="O72" s="27">
        <f t="shared" ref="O72" si="32">M72-J72</f>
        <v>7</v>
      </c>
      <c r="P72" s="28" t="str">
        <f t="shared" si="28"/>
        <v>On time</v>
      </c>
      <c r="Q72" s="27">
        <f t="shared" ref="Q72" si="33">I72-J72</f>
        <v>151</v>
      </c>
      <c r="R72" s="29" t="s">
        <v>2015</v>
      </c>
      <c r="S72" s="12" t="s">
        <v>48</v>
      </c>
      <c r="T72" s="35">
        <v>1</v>
      </c>
      <c r="U72" t="s">
        <v>231</v>
      </c>
      <c r="V72" s="31">
        <v>10</v>
      </c>
      <c r="W72" s="9">
        <v>9</v>
      </c>
      <c r="X72" s="9">
        <f t="shared" ref="X72" si="34">W72*V72</f>
        <v>90</v>
      </c>
      <c r="Y72">
        <v>0.35</v>
      </c>
      <c r="Z72" s="10">
        <v>46129</v>
      </c>
      <c r="AA72" s="10">
        <v>46137</v>
      </c>
      <c r="AB72" s="10">
        <v>46137</v>
      </c>
      <c r="AC72" s="10">
        <v>46152</v>
      </c>
      <c r="AD72" s="31">
        <f t="shared" ref="AD72" ca="1" si="35">TODAY()-AA72</f>
        <v>-2</v>
      </c>
      <c r="AE72" s="55">
        <v>1</v>
      </c>
      <c r="AF72" s="9" t="s">
        <v>62</v>
      </c>
      <c r="AG72" s="10" t="s">
        <v>78</v>
      </c>
      <c r="AI72" s="9" t="s">
        <v>57</v>
      </c>
      <c r="AL72" s="9" t="s">
        <v>2053</v>
      </c>
      <c r="AM72" s="27" t="str">
        <f t="shared" ref="AM72" si="36">IF(AB72=0," ",IF(AB72&lt;=AA72+10,"On time","Atrasado"))</f>
        <v>On time</v>
      </c>
      <c r="AN72" s="27" t="str">
        <f t="shared" ca="1" si="26"/>
        <v>No prazo</v>
      </c>
      <c r="AO72" s="27" t="str">
        <f t="shared" ca="1" si="27"/>
        <v/>
      </c>
      <c r="AP72" t="s">
        <v>2016</v>
      </c>
    </row>
    <row r="73" spans="1:42" ht="15" hidden="1" customHeight="1">
      <c r="A73">
        <v>509387</v>
      </c>
      <c r="B73">
        <v>1</v>
      </c>
      <c r="C73" t="s">
        <v>236</v>
      </c>
      <c r="D73" t="s">
        <v>237</v>
      </c>
      <c r="E73" s="23" t="s">
        <v>1315</v>
      </c>
      <c r="F73" s="24">
        <v>1</v>
      </c>
      <c r="G73" s="25">
        <v>4200</v>
      </c>
      <c r="H73" s="25">
        <f t="shared" si="1"/>
        <v>4200</v>
      </c>
      <c r="I73" s="26">
        <v>46198</v>
      </c>
      <c r="J73" s="10">
        <v>46048</v>
      </c>
      <c r="K73" s="10">
        <v>46048</v>
      </c>
      <c r="L73" s="27" t="str">
        <f t="shared" si="10"/>
        <v>On time</v>
      </c>
      <c r="M73" s="58">
        <v>46052</v>
      </c>
      <c r="N73" s="27" t="str">
        <f t="shared" si="9"/>
        <v>On time</v>
      </c>
      <c r="O73" s="27">
        <f t="shared" si="17"/>
        <v>4</v>
      </c>
      <c r="P73" s="28" t="str">
        <f t="shared" si="28"/>
        <v>On time</v>
      </c>
      <c r="Q73" s="27">
        <f t="shared" si="18"/>
        <v>150</v>
      </c>
      <c r="R73" s="29" t="s">
        <v>238</v>
      </c>
      <c r="S73" s="12" t="s">
        <v>239</v>
      </c>
      <c r="T73" s="35">
        <v>1</v>
      </c>
      <c r="U73" t="s">
        <v>237</v>
      </c>
      <c r="V73" s="31">
        <v>1</v>
      </c>
      <c r="W73" s="9">
        <v>245</v>
      </c>
      <c r="X73" s="9">
        <f t="shared" si="5"/>
        <v>245</v>
      </c>
      <c r="Z73" s="10">
        <v>46058</v>
      </c>
      <c r="AA73" s="10">
        <v>46078</v>
      </c>
      <c r="AB73" s="10">
        <v>46118</v>
      </c>
      <c r="AC73" s="10">
        <v>46204</v>
      </c>
      <c r="AD73" s="31">
        <f t="shared" ca="1" si="16"/>
        <v>57</v>
      </c>
      <c r="AE73" s="55">
        <v>1</v>
      </c>
      <c r="AF73" s="63" t="s">
        <v>155</v>
      </c>
      <c r="AG73" s="10" t="s">
        <v>78</v>
      </c>
      <c r="AI73" s="9" t="s">
        <v>53</v>
      </c>
      <c r="AJ73" s="10">
        <v>46137</v>
      </c>
      <c r="AK73" s="10">
        <v>46189</v>
      </c>
      <c r="AL73" s="9" t="s">
        <v>893</v>
      </c>
      <c r="AM73" s="27" t="str">
        <f t="shared" si="25"/>
        <v>Atrasado</v>
      </c>
      <c r="AN73" s="27" t="str">
        <f t="shared" ca="1" si="26"/>
        <v>Atrasado</v>
      </c>
      <c r="AO73" s="27" t="str">
        <f t="shared" ca="1" si="27"/>
        <v>Ag. embarque</v>
      </c>
      <c r="AP73" t="s">
        <v>892</v>
      </c>
    </row>
    <row r="74" spans="1:42" ht="15" hidden="1" customHeight="1">
      <c r="A74">
        <v>510259</v>
      </c>
      <c r="B74">
        <v>1</v>
      </c>
      <c r="C74" t="s">
        <v>25</v>
      </c>
      <c r="D74" t="s">
        <v>256</v>
      </c>
      <c r="E74" s="23" t="s">
        <v>257</v>
      </c>
      <c r="F74" s="24">
        <v>8</v>
      </c>
      <c r="G74" s="25">
        <v>653.36</v>
      </c>
      <c r="H74" s="25">
        <f t="shared" si="1"/>
        <v>5226.88</v>
      </c>
      <c r="I74" s="26">
        <v>46283</v>
      </c>
      <c r="J74" s="10">
        <v>46055</v>
      </c>
      <c r="K74" s="10">
        <v>46057</v>
      </c>
      <c r="L74" s="27" t="str">
        <f t="shared" si="10"/>
        <v>On time</v>
      </c>
      <c r="M74" s="58">
        <v>46063</v>
      </c>
      <c r="N74" s="27" t="str">
        <f t="shared" ref="N74:N137" si="37">IF(J74=0," ",IF(M74&lt;=J74+6,"On time","Atrasado"))</f>
        <v>Atrasado</v>
      </c>
      <c r="O74" s="27">
        <f t="shared" si="17"/>
        <v>8</v>
      </c>
      <c r="P74" s="28" t="str">
        <f t="shared" si="28"/>
        <v>On time</v>
      </c>
      <c r="Q74" s="27">
        <f t="shared" si="18"/>
        <v>228</v>
      </c>
      <c r="R74" s="29" t="s">
        <v>258</v>
      </c>
      <c r="S74" s="12" t="s">
        <v>29</v>
      </c>
      <c r="T74" s="35">
        <v>1</v>
      </c>
      <c r="U74" t="s">
        <v>256</v>
      </c>
      <c r="V74" s="31">
        <v>8</v>
      </c>
      <c r="W74" s="9">
        <v>28.48</v>
      </c>
      <c r="X74" s="9">
        <f t="shared" si="5"/>
        <v>227.84</v>
      </c>
      <c r="Z74" s="10">
        <v>46066</v>
      </c>
      <c r="AA74" s="10">
        <v>46091</v>
      </c>
      <c r="AB74" s="10">
        <v>46091</v>
      </c>
      <c r="AC74" s="10">
        <v>46184</v>
      </c>
      <c r="AD74" s="31">
        <f t="shared" ca="1" si="16"/>
        <v>44</v>
      </c>
      <c r="AE74" s="55">
        <v>1</v>
      </c>
      <c r="AF74" s="63" t="s">
        <v>155</v>
      </c>
      <c r="AG74" s="10" t="s">
        <v>78</v>
      </c>
      <c r="AI74" s="9" t="s">
        <v>53</v>
      </c>
      <c r="AJ74" s="10">
        <v>46129</v>
      </c>
      <c r="AK74" s="10">
        <v>46169</v>
      </c>
      <c r="AL74" s="9" t="s">
        <v>2064</v>
      </c>
      <c r="AM74" s="27" t="str">
        <f t="shared" si="25"/>
        <v>On time</v>
      </c>
      <c r="AN74" s="27" t="str">
        <f t="shared" ca="1" si="26"/>
        <v>No prazo</v>
      </c>
      <c r="AO74" s="27" t="str">
        <f t="shared" ca="1" si="27"/>
        <v>Embarcado</v>
      </c>
      <c r="AP74" t="s">
        <v>202</v>
      </c>
    </row>
    <row r="75" spans="1:42" ht="15" hidden="1" customHeight="1">
      <c r="A75">
        <v>509673</v>
      </c>
      <c r="B75">
        <v>1</v>
      </c>
      <c r="C75" t="s">
        <v>25</v>
      </c>
      <c r="D75" t="s">
        <v>259</v>
      </c>
      <c r="E75" s="23" t="s">
        <v>269</v>
      </c>
      <c r="F75" s="24">
        <v>3</v>
      </c>
      <c r="G75" s="25">
        <v>5241.46</v>
      </c>
      <c r="H75" s="25">
        <f t="shared" ref="H75:H145" si="38">G75*F75</f>
        <v>15724.380000000001</v>
      </c>
      <c r="I75" s="26">
        <v>46288</v>
      </c>
      <c r="J75" s="10">
        <v>46048</v>
      </c>
      <c r="K75" s="10">
        <v>46048</v>
      </c>
      <c r="L75" s="27" t="str">
        <f t="shared" ref="L75:L138" si="39">IF(J75=0," ",IF(K75&lt;=J75+6,"On time","Atrasado"))</f>
        <v>On time</v>
      </c>
      <c r="M75" s="58">
        <v>46062</v>
      </c>
      <c r="N75" s="27" t="str">
        <f t="shared" si="37"/>
        <v>Atrasado</v>
      </c>
      <c r="O75" s="27">
        <f t="shared" si="17"/>
        <v>14</v>
      </c>
      <c r="P75" s="28" t="str">
        <f t="shared" si="28"/>
        <v>On time</v>
      </c>
      <c r="Q75" s="27">
        <f t="shared" si="18"/>
        <v>240</v>
      </c>
      <c r="R75" s="29" t="s">
        <v>270</v>
      </c>
      <c r="S75" s="12" t="s">
        <v>48</v>
      </c>
      <c r="T75">
        <v>1</v>
      </c>
      <c r="U75" t="s">
        <v>259</v>
      </c>
      <c r="V75" s="31">
        <v>3</v>
      </c>
      <c r="W75" s="9">
        <v>375.29</v>
      </c>
      <c r="X75" s="9">
        <f t="shared" ref="X75:X85" si="40">W75*V75</f>
        <v>1125.8700000000001</v>
      </c>
      <c r="Y75" s="20">
        <v>48.7</v>
      </c>
      <c r="Z75" s="10">
        <v>46066</v>
      </c>
      <c r="AA75" s="10">
        <v>46091</v>
      </c>
      <c r="AB75" s="10">
        <v>46154</v>
      </c>
      <c r="AC75" s="10">
        <v>46219</v>
      </c>
      <c r="AD75" s="31">
        <f t="shared" ref="AD75:AD92" ca="1" si="41">TODAY()-AA75</f>
        <v>44</v>
      </c>
      <c r="AE75" s="55">
        <v>1</v>
      </c>
      <c r="AF75" t="s">
        <v>62</v>
      </c>
      <c r="AG75" s="10" t="s">
        <v>78</v>
      </c>
      <c r="AI75" s="10" t="s">
        <v>53</v>
      </c>
      <c r="AK75"/>
      <c r="AL75" s="9" t="s">
        <v>829</v>
      </c>
      <c r="AM75" s="27" t="str">
        <f t="shared" ref="AM75:AM92" si="42">IF(AB75=0," ",IF(AB75&lt;=AA75+10,"On time","Atrasado"))</f>
        <v>Atrasado</v>
      </c>
      <c r="AN75" s="27" t="str">
        <f t="shared" ref="AN75:AN92" ca="1" si="43">IF(AND(AC75&lt;&gt;"",AC75&lt;=TODAY()),"Chegou",IF(A75="","Estoque",IF(OR(AC75="",I75=""),"",IF(I75-AC75&lt;=0,"Atrasado",IF(I75-AC75&lt;=9,"Crítico",IF(I75-AC75&lt;=20,"Verificar aéreo",IF(I75-AC75&lt;=25,"Alerta","No prazo")        ))))))</f>
        <v>No prazo</v>
      </c>
      <c r="AO75" s="27" t="str">
        <f t="shared" ca="1" si="27"/>
        <v/>
      </c>
      <c r="AP75" t="s">
        <v>202</v>
      </c>
    </row>
    <row r="76" spans="1:42" ht="15" hidden="1" customHeight="1">
      <c r="A76">
        <v>510533</v>
      </c>
      <c r="B76">
        <v>1</v>
      </c>
      <c r="C76" t="s">
        <v>25</v>
      </c>
      <c r="D76" t="s">
        <v>260</v>
      </c>
      <c r="E76" s="23" t="s">
        <v>2183</v>
      </c>
      <c r="F76" s="24">
        <v>5</v>
      </c>
      <c r="G76" s="25">
        <v>1199.54</v>
      </c>
      <c r="H76" s="25">
        <f t="shared" si="38"/>
        <v>5997.7</v>
      </c>
      <c r="I76" s="26">
        <v>46367</v>
      </c>
      <c r="J76" s="10">
        <v>46059</v>
      </c>
      <c r="K76" s="10">
        <v>46059</v>
      </c>
      <c r="L76" s="27" t="str">
        <f t="shared" si="39"/>
        <v>On time</v>
      </c>
      <c r="M76" s="58">
        <v>46064</v>
      </c>
      <c r="N76" s="27" t="str">
        <f t="shared" si="37"/>
        <v>On time</v>
      </c>
      <c r="O76" s="27">
        <f t="shared" si="17"/>
        <v>5</v>
      </c>
      <c r="P76" s="28" t="str">
        <f t="shared" si="28"/>
        <v>On time</v>
      </c>
      <c r="Q76" s="27">
        <f t="shared" si="18"/>
        <v>308</v>
      </c>
      <c r="R76" s="29" t="s">
        <v>270</v>
      </c>
      <c r="S76" s="12" t="s">
        <v>48</v>
      </c>
      <c r="T76" s="35">
        <v>2</v>
      </c>
      <c r="U76" t="s">
        <v>260</v>
      </c>
      <c r="V76" s="31">
        <v>5</v>
      </c>
      <c r="W76" s="9">
        <v>53.68</v>
      </c>
      <c r="X76" s="9">
        <f t="shared" si="40"/>
        <v>268.39999999999998</v>
      </c>
      <c r="Y76">
        <v>8.34</v>
      </c>
      <c r="Z76" s="10">
        <v>46066</v>
      </c>
      <c r="AA76" s="10">
        <v>46091</v>
      </c>
      <c r="AB76" s="10">
        <v>46154</v>
      </c>
      <c r="AC76" s="10">
        <v>46219</v>
      </c>
      <c r="AD76" s="31">
        <f t="shared" ca="1" si="41"/>
        <v>44</v>
      </c>
      <c r="AE76" s="55">
        <v>1</v>
      </c>
      <c r="AF76" t="s">
        <v>62</v>
      </c>
      <c r="AG76" s="10" t="s">
        <v>78</v>
      </c>
      <c r="AI76" s="10" t="s">
        <v>53</v>
      </c>
      <c r="AL76" s="9" t="s">
        <v>829</v>
      </c>
      <c r="AM76" s="27" t="str">
        <f t="shared" si="42"/>
        <v>Atrasado</v>
      </c>
      <c r="AN76" s="27" t="str">
        <f t="shared" ca="1" si="43"/>
        <v>No prazo</v>
      </c>
      <c r="AO76" s="27" t="str">
        <f t="shared" ca="1" si="27"/>
        <v/>
      </c>
      <c r="AP76" t="s">
        <v>202</v>
      </c>
    </row>
    <row r="77" spans="1:42" ht="15" hidden="1" customHeight="1">
      <c r="A77">
        <v>510533</v>
      </c>
      <c r="B77">
        <v>2</v>
      </c>
      <c r="C77" t="s">
        <v>25</v>
      </c>
      <c r="D77" t="s">
        <v>261</v>
      </c>
      <c r="E77" s="23" t="s">
        <v>265</v>
      </c>
      <c r="F77" s="24">
        <v>1</v>
      </c>
      <c r="G77" s="25">
        <v>5163.24</v>
      </c>
      <c r="H77" s="25">
        <f t="shared" si="38"/>
        <v>5163.24</v>
      </c>
      <c r="I77" s="26">
        <v>46367</v>
      </c>
      <c r="J77" s="10">
        <v>46059</v>
      </c>
      <c r="K77" s="10">
        <v>46059</v>
      </c>
      <c r="L77" s="27" t="str">
        <f t="shared" si="39"/>
        <v>On time</v>
      </c>
      <c r="M77" s="58">
        <v>46064</v>
      </c>
      <c r="N77" s="27" t="str">
        <f t="shared" si="37"/>
        <v>On time</v>
      </c>
      <c r="O77" s="27">
        <f t="shared" si="17"/>
        <v>5</v>
      </c>
      <c r="P77" s="28" t="str">
        <f t="shared" si="28"/>
        <v>On time</v>
      </c>
      <c r="Q77" s="27">
        <f t="shared" si="18"/>
        <v>308</v>
      </c>
      <c r="R77" s="29" t="s">
        <v>270</v>
      </c>
      <c r="S77" s="12" t="s">
        <v>48</v>
      </c>
      <c r="T77" s="35">
        <v>3</v>
      </c>
      <c r="U77" t="s">
        <v>261</v>
      </c>
      <c r="V77" s="31">
        <v>1</v>
      </c>
      <c r="W77" s="9">
        <v>416.32</v>
      </c>
      <c r="X77" s="9">
        <f t="shared" si="40"/>
        <v>416.32</v>
      </c>
      <c r="Y77">
        <v>62.41</v>
      </c>
      <c r="Z77" s="10">
        <v>46066</v>
      </c>
      <c r="AA77" s="10">
        <v>46091</v>
      </c>
      <c r="AB77" s="10">
        <v>46154</v>
      </c>
      <c r="AC77" s="10">
        <v>46219</v>
      </c>
      <c r="AD77" s="31">
        <f t="shared" ca="1" si="41"/>
        <v>44</v>
      </c>
      <c r="AE77" s="55">
        <v>1</v>
      </c>
      <c r="AF77" t="s">
        <v>62</v>
      </c>
      <c r="AG77" s="10" t="s">
        <v>78</v>
      </c>
      <c r="AI77" s="10" t="s">
        <v>53</v>
      </c>
      <c r="AL77" s="9" t="s">
        <v>829</v>
      </c>
      <c r="AM77" s="27" t="str">
        <f t="shared" si="42"/>
        <v>Atrasado</v>
      </c>
      <c r="AN77" s="27" t="str">
        <f t="shared" ca="1" si="43"/>
        <v>No prazo</v>
      </c>
      <c r="AO77" s="27" t="str">
        <f t="shared" ca="1" si="27"/>
        <v/>
      </c>
      <c r="AP77" t="s">
        <v>202</v>
      </c>
    </row>
    <row r="78" spans="1:42" ht="15" hidden="1" customHeight="1">
      <c r="A78">
        <v>510533</v>
      </c>
      <c r="B78">
        <v>3</v>
      </c>
      <c r="C78" t="s">
        <v>25</v>
      </c>
      <c r="D78" t="s">
        <v>262</v>
      </c>
      <c r="E78" s="23" t="s">
        <v>266</v>
      </c>
      <c r="F78" s="24">
        <v>7</v>
      </c>
      <c r="G78" s="25">
        <v>6780.01</v>
      </c>
      <c r="H78" s="25">
        <f t="shared" si="38"/>
        <v>47460.07</v>
      </c>
      <c r="I78" s="26">
        <v>46367</v>
      </c>
      <c r="J78" s="10">
        <v>46059</v>
      </c>
      <c r="K78" s="10">
        <v>46059</v>
      </c>
      <c r="L78" s="27" t="str">
        <f t="shared" si="39"/>
        <v>On time</v>
      </c>
      <c r="M78" s="58">
        <v>46064</v>
      </c>
      <c r="N78" s="27" t="str">
        <f t="shared" si="37"/>
        <v>On time</v>
      </c>
      <c r="O78" s="27">
        <f t="shared" si="17"/>
        <v>5</v>
      </c>
      <c r="P78" s="28" t="str">
        <f t="shared" si="28"/>
        <v>On time</v>
      </c>
      <c r="Q78" s="27">
        <f t="shared" si="18"/>
        <v>308</v>
      </c>
      <c r="R78" s="29" t="s">
        <v>270</v>
      </c>
      <c r="S78" s="12" t="s">
        <v>48</v>
      </c>
      <c r="T78" s="35">
        <v>4</v>
      </c>
      <c r="U78" t="s">
        <v>262</v>
      </c>
      <c r="V78" s="31">
        <v>7</v>
      </c>
      <c r="W78" s="9">
        <v>582.94000000000005</v>
      </c>
      <c r="X78" s="9">
        <f t="shared" si="40"/>
        <v>4080.5800000000004</v>
      </c>
      <c r="Y78">
        <v>85.88</v>
      </c>
      <c r="Z78" s="10">
        <v>46066</v>
      </c>
      <c r="AA78" s="10">
        <v>46091</v>
      </c>
      <c r="AB78" s="10">
        <v>46154</v>
      </c>
      <c r="AC78" s="10">
        <v>46219</v>
      </c>
      <c r="AD78" s="31">
        <f t="shared" ca="1" si="41"/>
        <v>44</v>
      </c>
      <c r="AE78" s="55">
        <v>1</v>
      </c>
      <c r="AF78" t="s">
        <v>62</v>
      </c>
      <c r="AG78" s="10" t="s">
        <v>78</v>
      </c>
      <c r="AI78" s="10" t="s">
        <v>53</v>
      </c>
      <c r="AL78" s="9" t="s">
        <v>829</v>
      </c>
      <c r="AM78" s="27" t="str">
        <f t="shared" si="42"/>
        <v>Atrasado</v>
      </c>
      <c r="AN78" s="27" t="str">
        <f t="shared" ca="1" si="43"/>
        <v>No prazo</v>
      </c>
      <c r="AO78" s="27" t="str">
        <f t="shared" ca="1" si="27"/>
        <v/>
      </c>
      <c r="AP78" t="s">
        <v>202</v>
      </c>
    </row>
    <row r="79" spans="1:42" ht="15" hidden="1" customHeight="1">
      <c r="A79">
        <v>510312</v>
      </c>
      <c r="B79">
        <v>1</v>
      </c>
      <c r="C79" t="s">
        <v>25</v>
      </c>
      <c r="D79" t="s">
        <v>263</v>
      </c>
      <c r="E79" s="23" t="s">
        <v>267</v>
      </c>
      <c r="F79" s="24">
        <v>14</v>
      </c>
      <c r="G79" s="25">
        <v>1825.39</v>
      </c>
      <c r="H79" s="25">
        <f t="shared" si="38"/>
        <v>25555.460000000003</v>
      </c>
      <c r="I79" s="26">
        <v>46297</v>
      </c>
      <c r="J79" s="10">
        <v>46053</v>
      </c>
      <c r="K79" s="10">
        <v>46057</v>
      </c>
      <c r="L79" s="27" t="str">
        <f t="shared" si="39"/>
        <v>On time</v>
      </c>
      <c r="M79" s="58">
        <v>46063</v>
      </c>
      <c r="N79" s="27" t="str">
        <f t="shared" si="37"/>
        <v>Atrasado</v>
      </c>
      <c r="O79" s="27">
        <f t="shared" si="17"/>
        <v>10</v>
      </c>
      <c r="P79" s="28" t="str">
        <f t="shared" si="28"/>
        <v>On time</v>
      </c>
      <c r="Q79" s="27">
        <f t="shared" si="18"/>
        <v>244</v>
      </c>
      <c r="R79" s="29" t="s">
        <v>270</v>
      </c>
      <c r="S79" s="12" t="s">
        <v>48</v>
      </c>
      <c r="T79" s="35">
        <v>5</v>
      </c>
      <c r="U79" t="s">
        <v>263</v>
      </c>
      <c r="V79" s="31">
        <v>14</v>
      </c>
      <c r="W79" s="9">
        <v>140</v>
      </c>
      <c r="X79" s="9">
        <f t="shared" si="40"/>
        <v>1960</v>
      </c>
      <c r="Y79">
        <v>35.4</v>
      </c>
      <c r="Z79" s="10">
        <v>46066</v>
      </c>
      <c r="AA79" s="10">
        <v>46091</v>
      </c>
      <c r="AB79" s="10">
        <v>46154</v>
      </c>
      <c r="AC79" s="10">
        <v>46219</v>
      </c>
      <c r="AD79" s="31">
        <f t="shared" ca="1" si="41"/>
        <v>44</v>
      </c>
      <c r="AE79" s="55">
        <v>1</v>
      </c>
      <c r="AF79" t="s">
        <v>62</v>
      </c>
      <c r="AG79" s="10" t="s">
        <v>78</v>
      </c>
      <c r="AI79" s="10" t="s">
        <v>53</v>
      </c>
      <c r="AL79" s="9" t="s">
        <v>1959</v>
      </c>
      <c r="AM79" s="27" t="str">
        <f t="shared" si="42"/>
        <v>Atrasado</v>
      </c>
      <c r="AN79" s="27" t="str">
        <f t="shared" ca="1" si="43"/>
        <v>No prazo</v>
      </c>
      <c r="AO79" s="27" t="str">
        <f t="shared" ca="1" si="27"/>
        <v/>
      </c>
      <c r="AP79" t="s">
        <v>534</v>
      </c>
    </row>
    <row r="80" spans="1:42" ht="15" hidden="1" customHeight="1">
      <c r="A80">
        <v>510532</v>
      </c>
      <c r="B80">
        <v>1</v>
      </c>
      <c r="C80" t="s">
        <v>25</v>
      </c>
      <c r="D80" t="s">
        <v>264</v>
      </c>
      <c r="E80" s="23" t="s">
        <v>268</v>
      </c>
      <c r="F80" s="24">
        <v>2</v>
      </c>
      <c r="G80" s="25">
        <v>6206.32</v>
      </c>
      <c r="H80" s="25">
        <f t="shared" si="38"/>
        <v>12412.64</v>
      </c>
      <c r="I80" s="26">
        <v>46295</v>
      </c>
      <c r="J80" s="10">
        <v>46053</v>
      </c>
      <c r="K80" s="10">
        <v>46059</v>
      </c>
      <c r="L80" s="27" t="str">
        <f t="shared" si="39"/>
        <v>On time</v>
      </c>
      <c r="M80" s="58">
        <v>46064</v>
      </c>
      <c r="N80" s="27" t="str">
        <f t="shared" si="37"/>
        <v>Atrasado</v>
      </c>
      <c r="O80" s="27">
        <f t="shared" si="17"/>
        <v>11</v>
      </c>
      <c r="P80" s="28" t="str">
        <f t="shared" si="28"/>
        <v>On time</v>
      </c>
      <c r="Q80" s="27">
        <f t="shared" si="18"/>
        <v>242</v>
      </c>
      <c r="R80" s="29" t="s">
        <v>270</v>
      </c>
      <c r="S80" s="12" t="s">
        <v>48</v>
      </c>
      <c r="T80" s="35">
        <v>6</v>
      </c>
      <c r="U80" t="s">
        <v>264</v>
      </c>
      <c r="V80" s="31">
        <v>2</v>
      </c>
      <c r="W80" s="9">
        <v>487.65</v>
      </c>
      <c r="X80" s="9">
        <f t="shared" si="40"/>
        <v>975.3</v>
      </c>
      <c r="Y80">
        <v>78.3</v>
      </c>
      <c r="Z80" s="10">
        <v>46066</v>
      </c>
      <c r="AA80" s="10">
        <v>46091</v>
      </c>
      <c r="AB80" s="10">
        <v>46154</v>
      </c>
      <c r="AC80" s="10">
        <v>46219</v>
      </c>
      <c r="AD80" s="31">
        <f t="shared" ca="1" si="41"/>
        <v>44</v>
      </c>
      <c r="AE80" s="55">
        <v>1</v>
      </c>
      <c r="AF80" t="s">
        <v>62</v>
      </c>
      <c r="AG80" s="10" t="s">
        <v>78</v>
      </c>
      <c r="AI80" s="10" t="s">
        <v>53</v>
      </c>
      <c r="AL80" s="9" t="s">
        <v>829</v>
      </c>
      <c r="AM80" s="27" t="str">
        <f t="shared" si="42"/>
        <v>Atrasado</v>
      </c>
      <c r="AN80" s="27" t="str">
        <f t="shared" ca="1" si="43"/>
        <v>No prazo</v>
      </c>
      <c r="AO80" s="27" t="str">
        <f t="shared" ca="1" si="27"/>
        <v/>
      </c>
      <c r="AP80" t="s">
        <v>202</v>
      </c>
    </row>
    <row r="81" spans="1:42" ht="15" hidden="1" customHeight="1">
      <c r="A81">
        <v>510641</v>
      </c>
      <c r="B81">
        <v>2</v>
      </c>
      <c r="C81" t="s">
        <v>25</v>
      </c>
      <c r="D81" t="s">
        <v>572</v>
      </c>
      <c r="E81" s="23" t="s">
        <v>2184</v>
      </c>
      <c r="F81" s="24">
        <v>5</v>
      </c>
      <c r="G81" s="25">
        <v>683.53</v>
      </c>
      <c r="H81" s="25">
        <f t="shared" si="38"/>
        <v>3417.6499999999996</v>
      </c>
      <c r="I81" s="26">
        <v>46240</v>
      </c>
      <c r="J81" s="10">
        <v>46059</v>
      </c>
      <c r="K81" s="10">
        <v>46062</v>
      </c>
      <c r="L81" s="27" t="str">
        <f t="shared" si="39"/>
        <v>On time</v>
      </c>
      <c r="M81" s="58">
        <v>46077</v>
      </c>
      <c r="N81" s="27" t="str">
        <f t="shared" si="37"/>
        <v>Atrasado</v>
      </c>
      <c r="O81" s="27">
        <f t="shared" si="17"/>
        <v>18</v>
      </c>
      <c r="P81" s="28" t="str">
        <f t="shared" si="28"/>
        <v>Atrasado</v>
      </c>
      <c r="Q81" s="27">
        <f t="shared" si="18"/>
        <v>181</v>
      </c>
      <c r="R81" s="29" t="s">
        <v>270</v>
      </c>
      <c r="S81" s="12" t="s">
        <v>48</v>
      </c>
      <c r="T81" s="35">
        <v>7</v>
      </c>
      <c r="U81" t="s">
        <v>564</v>
      </c>
      <c r="V81" s="31">
        <v>10</v>
      </c>
      <c r="W81" s="9">
        <v>53.53</v>
      </c>
      <c r="X81" s="9">
        <f t="shared" si="40"/>
        <v>535.29999999999995</v>
      </c>
      <c r="Y81">
        <v>8.5</v>
      </c>
      <c r="Z81" s="10">
        <v>46066</v>
      </c>
      <c r="AA81" s="10">
        <v>46091</v>
      </c>
      <c r="AB81" s="10">
        <v>46154</v>
      </c>
      <c r="AC81" s="10">
        <v>46219</v>
      </c>
      <c r="AD81" s="31">
        <f t="shared" ca="1" si="41"/>
        <v>44</v>
      </c>
      <c r="AE81" s="55">
        <v>1</v>
      </c>
      <c r="AF81" t="s">
        <v>62</v>
      </c>
      <c r="AG81" s="10" t="s">
        <v>78</v>
      </c>
      <c r="AI81" s="10" t="s">
        <v>53</v>
      </c>
      <c r="AL81" s="9" t="s">
        <v>2043</v>
      </c>
      <c r="AM81" s="27" t="str">
        <f t="shared" si="42"/>
        <v>Atrasado</v>
      </c>
      <c r="AN81" s="27" t="str">
        <f t="shared" ca="1" si="43"/>
        <v>Alerta</v>
      </c>
      <c r="AO81" s="27" t="str">
        <f t="shared" ca="1" si="27"/>
        <v/>
      </c>
      <c r="AP81" t="s">
        <v>2042</v>
      </c>
    </row>
    <row r="82" spans="1:42" ht="15" hidden="1" customHeight="1">
      <c r="A82">
        <v>511077</v>
      </c>
      <c r="B82">
        <v>3</v>
      </c>
      <c r="C82" t="s">
        <v>25</v>
      </c>
      <c r="D82" t="s">
        <v>573</v>
      </c>
      <c r="E82" s="23" t="s">
        <v>574</v>
      </c>
      <c r="F82" s="24">
        <v>57</v>
      </c>
      <c r="G82" s="25">
        <v>43.01</v>
      </c>
      <c r="H82" s="25">
        <f t="shared" si="38"/>
        <v>2451.5699999999997</v>
      </c>
      <c r="I82" s="26">
        <v>46216</v>
      </c>
      <c r="J82" s="10">
        <v>46065</v>
      </c>
      <c r="K82" s="10">
        <v>46066</v>
      </c>
      <c r="L82" s="27" t="str">
        <f t="shared" si="39"/>
        <v>On time</v>
      </c>
      <c r="M82" s="58">
        <v>46076</v>
      </c>
      <c r="N82" s="27" t="str">
        <f t="shared" si="37"/>
        <v>Atrasado</v>
      </c>
      <c r="O82" s="27">
        <f t="shared" si="17"/>
        <v>11</v>
      </c>
      <c r="P82" s="28" t="str">
        <f t="shared" si="28"/>
        <v>Atrasado</v>
      </c>
      <c r="Q82" s="27">
        <f t="shared" si="18"/>
        <v>151</v>
      </c>
      <c r="R82" s="29" t="s">
        <v>270</v>
      </c>
      <c r="S82" s="12" t="s">
        <v>48</v>
      </c>
      <c r="T82" s="35">
        <v>8</v>
      </c>
      <c r="U82" t="s">
        <v>565</v>
      </c>
      <c r="V82" s="31">
        <v>150</v>
      </c>
      <c r="W82" s="9">
        <v>2.71</v>
      </c>
      <c r="X82" s="9">
        <f t="shared" si="40"/>
        <v>406.5</v>
      </c>
      <c r="Y82">
        <v>0.34</v>
      </c>
      <c r="Z82" s="10">
        <v>46066</v>
      </c>
      <c r="AA82" s="10">
        <v>46091</v>
      </c>
      <c r="AB82" s="10">
        <v>46154</v>
      </c>
      <c r="AC82" s="10">
        <v>46219</v>
      </c>
      <c r="AD82" s="31">
        <f t="shared" ca="1" si="41"/>
        <v>44</v>
      </c>
      <c r="AE82" s="55">
        <v>1</v>
      </c>
      <c r="AF82" t="s">
        <v>62</v>
      </c>
      <c r="AG82" s="10" t="s">
        <v>78</v>
      </c>
      <c r="AI82" s="10" t="s">
        <v>53</v>
      </c>
      <c r="AL82" s="9" t="s">
        <v>2043</v>
      </c>
      <c r="AM82" s="27" t="str">
        <f t="shared" si="42"/>
        <v>Atrasado</v>
      </c>
      <c r="AN82" s="27" t="str">
        <f t="shared" ca="1" si="43"/>
        <v>Atrasado</v>
      </c>
      <c r="AO82" s="27" t="str">
        <f t="shared" ca="1" si="27"/>
        <v/>
      </c>
      <c r="AP82" t="s">
        <v>2042</v>
      </c>
    </row>
    <row r="83" spans="1:42" ht="15" hidden="1" customHeight="1">
      <c r="A83">
        <v>511046</v>
      </c>
      <c r="B83">
        <v>2</v>
      </c>
      <c r="C83" t="s">
        <v>25</v>
      </c>
      <c r="D83" t="s">
        <v>575</v>
      </c>
      <c r="E83" s="23" t="s">
        <v>2185</v>
      </c>
      <c r="F83" s="24">
        <v>1</v>
      </c>
      <c r="G83" s="25">
        <v>2778.75</v>
      </c>
      <c r="H83" s="25">
        <f t="shared" si="38"/>
        <v>2778.75</v>
      </c>
      <c r="I83" s="26">
        <v>46246</v>
      </c>
      <c r="J83" s="10">
        <v>46065</v>
      </c>
      <c r="K83" s="10">
        <v>46066</v>
      </c>
      <c r="L83" s="27" t="str">
        <f t="shared" si="39"/>
        <v>On time</v>
      </c>
      <c r="M83" s="58">
        <v>46076</v>
      </c>
      <c r="N83" s="27" t="str">
        <f t="shared" si="37"/>
        <v>Atrasado</v>
      </c>
      <c r="O83" s="27">
        <f t="shared" si="17"/>
        <v>11</v>
      </c>
      <c r="P83" s="28" t="str">
        <f t="shared" si="28"/>
        <v>Atrasado</v>
      </c>
      <c r="Q83" s="27">
        <f t="shared" si="18"/>
        <v>181</v>
      </c>
      <c r="R83" s="29" t="s">
        <v>270</v>
      </c>
      <c r="S83" s="12" t="s">
        <v>48</v>
      </c>
      <c r="T83" s="35">
        <v>9</v>
      </c>
      <c r="U83" t="s">
        <v>566</v>
      </c>
      <c r="V83" s="31">
        <v>1</v>
      </c>
      <c r="W83" s="9">
        <v>222.65</v>
      </c>
      <c r="X83" s="9">
        <f t="shared" si="40"/>
        <v>222.65</v>
      </c>
      <c r="Y83">
        <v>35.9</v>
      </c>
      <c r="Z83" s="10">
        <v>46066</v>
      </c>
      <c r="AA83" s="10">
        <v>46091</v>
      </c>
      <c r="AB83" s="10">
        <v>46154</v>
      </c>
      <c r="AC83" s="10">
        <v>46219</v>
      </c>
      <c r="AD83" s="31">
        <f t="shared" ca="1" si="41"/>
        <v>44</v>
      </c>
      <c r="AE83" s="55">
        <v>1</v>
      </c>
      <c r="AF83" t="s">
        <v>62</v>
      </c>
      <c r="AG83" s="10" t="s">
        <v>78</v>
      </c>
      <c r="AI83" s="10" t="s">
        <v>53</v>
      </c>
      <c r="AL83" s="9" t="s">
        <v>829</v>
      </c>
      <c r="AM83" s="27" t="str">
        <f t="shared" si="42"/>
        <v>Atrasado</v>
      </c>
      <c r="AN83" s="27" t="str">
        <f t="shared" ca="1" si="43"/>
        <v>No prazo</v>
      </c>
      <c r="AO83" s="27" t="str">
        <f t="shared" ca="1" si="27"/>
        <v/>
      </c>
      <c r="AP83" t="s">
        <v>202</v>
      </c>
    </row>
    <row r="84" spans="1:42" ht="15" hidden="1" customHeight="1">
      <c r="A84">
        <v>511046</v>
      </c>
      <c r="B84">
        <v>3</v>
      </c>
      <c r="C84" t="s">
        <v>25</v>
      </c>
      <c r="D84" t="s">
        <v>576</v>
      </c>
      <c r="E84" s="23" t="s">
        <v>2186</v>
      </c>
      <c r="F84" s="24">
        <v>1</v>
      </c>
      <c r="G84" s="25">
        <v>156.19999999999999</v>
      </c>
      <c r="H84" s="25">
        <f t="shared" si="38"/>
        <v>156.19999999999999</v>
      </c>
      <c r="I84" s="26">
        <v>46246</v>
      </c>
      <c r="J84" s="10">
        <v>46065</v>
      </c>
      <c r="K84" s="10">
        <v>46066</v>
      </c>
      <c r="L84" s="27" t="str">
        <f t="shared" si="39"/>
        <v>On time</v>
      </c>
      <c r="M84" s="58">
        <v>46076</v>
      </c>
      <c r="N84" s="27" t="str">
        <f t="shared" si="37"/>
        <v>Atrasado</v>
      </c>
      <c r="O84" s="27">
        <f t="shared" si="17"/>
        <v>11</v>
      </c>
      <c r="P84" s="28" t="str">
        <f t="shared" si="28"/>
        <v>Atrasado</v>
      </c>
      <c r="Q84" s="27">
        <f t="shared" si="18"/>
        <v>181</v>
      </c>
      <c r="R84" s="29" t="s">
        <v>270</v>
      </c>
      <c r="S84" s="12" t="s">
        <v>48</v>
      </c>
      <c r="T84" s="35">
        <v>10</v>
      </c>
      <c r="U84" t="s">
        <v>567</v>
      </c>
      <c r="V84" s="31">
        <v>1</v>
      </c>
      <c r="W84" s="9">
        <v>7.43</v>
      </c>
      <c r="X84" s="9">
        <f t="shared" si="40"/>
        <v>7.43</v>
      </c>
      <c r="Y84">
        <v>1.34</v>
      </c>
      <c r="Z84" s="10">
        <v>46066</v>
      </c>
      <c r="AA84" s="10">
        <v>46091</v>
      </c>
      <c r="AB84" s="10">
        <v>46154</v>
      </c>
      <c r="AC84" s="10">
        <v>46219</v>
      </c>
      <c r="AD84" s="31">
        <f t="shared" ca="1" si="41"/>
        <v>44</v>
      </c>
      <c r="AE84" s="55">
        <v>1</v>
      </c>
      <c r="AF84" t="s">
        <v>62</v>
      </c>
      <c r="AG84" s="10" t="s">
        <v>78</v>
      </c>
      <c r="AI84" s="10" t="s">
        <v>53</v>
      </c>
      <c r="AL84" s="9" t="s">
        <v>829</v>
      </c>
      <c r="AM84" s="27" t="str">
        <f t="shared" si="42"/>
        <v>Atrasado</v>
      </c>
      <c r="AN84" s="27" t="str">
        <f t="shared" ca="1" si="43"/>
        <v>No prazo</v>
      </c>
      <c r="AO84" s="27" t="str">
        <f t="shared" ca="1" si="27"/>
        <v/>
      </c>
      <c r="AP84" t="s">
        <v>202</v>
      </c>
    </row>
    <row r="85" spans="1:42" ht="15" hidden="1" customHeight="1">
      <c r="A85">
        <v>511013</v>
      </c>
      <c r="B85">
        <v>1</v>
      </c>
      <c r="C85" t="s">
        <v>25</v>
      </c>
      <c r="D85" t="s">
        <v>577</v>
      </c>
      <c r="E85" s="23" t="s">
        <v>578</v>
      </c>
      <c r="F85" s="24">
        <v>4</v>
      </c>
      <c r="G85" s="25">
        <v>1839.69</v>
      </c>
      <c r="H85" s="25">
        <f t="shared" si="38"/>
        <v>7358.76</v>
      </c>
      <c r="I85" s="26">
        <v>46216</v>
      </c>
      <c r="J85" s="10">
        <v>46065</v>
      </c>
      <c r="K85" s="10">
        <v>46065</v>
      </c>
      <c r="L85" s="27" t="str">
        <f t="shared" si="39"/>
        <v>On time</v>
      </c>
      <c r="M85" s="58">
        <v>46084</v>
      </c>
      <c r="N85" s="27" t="str">
        <f t="shared" si="37"/>
        <v>Atrasado</v>
      </c>
      <c r="O85" s="27">
        <f t="shared" si="17"/>
        <v>19</v>
      </c>
      <c r="P85" s="28" t="str">
        <f t="shared" si="28"/>
        <v>Atrasado</v>
      </c>
      <c r="Q85" s="27">
        <f t="shared" si="18"/>
        <v>151</v>
      </c>
      <c r="R85" s="29" t="s">
        <v>270</v>
      </c>
      <c r="S85" s="12" t="s">
        <v>48</v>
      </c>
      <c r="T85" s="71">
        <v>11</v>
      </c>
      <c r="U85" s="30" t="s">
        <v>568</v>
      </c>
      <c r="V85" s="81">
        <v>15</v>
      </c>
      <c r="W85" s="70">
        <v>126.76</v>
      </c>
      <c r="X85" s="80">
        <f t="shared" si="40"/>
        <v>1901.4</v>
      </c>
      <c r="Y85" s="82">
        <v>19.59</v>
      </c>
      <c r="Z85" s="10">
        <v>46066</v>
      </c>
      <c r="AA85" s="10">
        <v>46091</v>
      </c>
      <c r="AB85" s="10">
        <v>46154</v>
      </c>
      <c r="AC85" s="10">
        <v>46219</v>
      </c>
      <c r="AD85" s="31">
        <f ca="1">TODAY()-AA85</f>
        <v>44</v>
      </c>
      <c r="AE85" s="55">
        <v>1</v>
      </c>
      <c r="AF85" t="s">
        <v>62</v>
      </c>
      <c r="AG85" s="10" t="s">
        <v>78</v>
      </c>
      <c r="AI85" s="10" t="s">
        <v>53</v>
      </c>
      <c r="AL85" s="9" t="s">
        <v>2043</v>
      </c>
      <c r="AM85" s="27" t="str">
        <f>IF(AB85=0," ",IF(AB85&lt;=AA85+10,"On time","Atrasado"))</f>
        <v>Atrasado</v>
      </c>
      <c r="AN85" s="27" t="str">
        <f ca="1">IF(AND(AC85&lt;&gt;"",AC85&lt;=TODAY()),"Chegou",IF(A85="","Estoque",IF(OR(AC85="",I85=""),"",IF(I85-AC85&lt;=0,"Atrasado",IF(I85-AC85&lt;=9,"Crítico",IF(I85-AC85&lt;=20,"Verificar aéreo",IF(I85-AC85&lt;=25,"Alerta","No prazo")        ))))))</f>
        <v>Atrasado</v>
      </c>
      <c r="AO85" s="27" t="str">
        <f t="shared" ca="1" si="27"/>
        <v/>
      </c>
      <c r="AP85" t="s">
        <v>2042</v>
      </c>
    </row>
    <row r="86" spans="1:42" ht="15" hidden="1" customHeight="1">
      <c r="A86">
        <v>511699</v>
      </c>
      <c r="B86">
        <v>1</v>
      </c>
      <c r="C86" t="s">
        <v>25</v>
      </c>
      <c r="D86" t="s">
        <v>577</v>
      </c>
      <c r="E86" s="23" t="s">
        <v>578</v>
      </c>
      <c r="F86" s="24">
        <v>4</v>
      </c>
      <c r="G86" s="25">
        <v>1839.69</v>
      </c>
      <c r="H86" s="25">
        <f t="shared" si="38"/>
        <v>7358.76</v>
      </c>
      <c r="I86" s="26">
        <v>46230</v>
      </c>
      <c r="J86" s="10">
        <v>46078</v>
      </c>
      <c r="K86" s="10">
        <v>46079</v>
      </c>
      <c r="L86" s="27" t="str">
        <f t="shared" si="39"/>
        <v>On time</v>
      </c>
      <c r="M86" s="58">
        <v>46066</v>
      </c>
      <c r="N86" s="27" t="str">
        <f t="shared" si="37"/>
        <v>On time</v>
      </c>
      <c r="O86" s="27">
        <f t="shared" si="17"/>
        <v>-12</v>
      </c>
      <c r="P86" s="28" t="str">
        <f t="shared" si="28"/>
        <v>On time</v>
      </c>
      <c r="Q86" s="27">
        <f t="shared" si="18"/>
        <v>152</v>
      </c>
      <c r="R86" s="29" t="s">
        <v>270</v>
      </c>
      <c r="S86" s="12" t="s">
        <v>48</v>
      </c>
      <c r="T86" s="71">
        <v>11</v>
      </c>
      <c r="U86" s="30" t="s">
        <v>568</v>
      </c>
      <c r="V86" s="81"/>
      <c r="W86" s="70">
        <v>126.76</v>
      </c>
      <c r="X86" s="80"/>
      <c r="Y86" s="82"/>
      <c r="Z86" s="10">
        <v>46066</v>
      </c>
      <c r="AA86" s="10">
        <v>46091</v>
      </c>
      <c r="AB86" s="10">
        <v>46154</v>
      </c>
      <c r="AC86" s="10">
        <v>46219</v>
      </c>
      <c r="AD86" s="31">
        <f ca="1">TODAY()-AA86</f>
        <v>44</v>
      </c>
      <c r="AE86" s="55">
        <v>1</v>
      </c>
      <c r="AF86" t="s">
        <v>62</v>
      </c>
      <c r="AG86" s="10" t="s">
        <v>78</v>
      </c>
      <c r="AI86" s="10" t="s">
        <v>53</v>
      </c>
      <c r="AL86" s="9" t="s">
        <v>2043</v>
      </c>
      <c r="AM86" s="27" t="str">
        <f>IF(AB86=0," ",IF(AB86&lt;=AA86+10,"On time","Atrasado"))</f>
        <v>Atrasado</v>
      </c>
      <c r="AN86" s="27" t="str">
        <f ca="1">IF(AND(AC86&lt;&gt;"",AC86&lt;=TODAY()),"Chegou",IF(A86="","Estoque",IF(OR(AC86="",I86=""),"",IF(I86-AC86&lt;=0,"Atrasado",IF(I86-AC86&lt;=9,"Crítico",IF(I86-AC86&lt;=20,"Verificar aéreo",IF(I86-AC86&lt;=25,"Alerta","No prazo")        ))))))</f>
        <v>Verificar aéreo</v>
      </c>
      <c r="AO86" s="27" t="str">
        <f t="shared" ca="1" si="27"/>
        <v/>
      </c>
      <c r="AP86" t="s">
        <v>2042</v>
      </c>
    </row>
    <row r="87" spans="1:42" ht="15" hidden="1" customHeight="1">
      <c r="A87">
        <v>510953</v>
      </c>
      <c r="B87">
        <v>3</v>
      </c>
      <c r="C87" t="s">
        <v>25</v>
      </c>
      <c r="D87" t="s">
        <v>579</v>
      </c>
      <c r="E87" s="23" t="s">
        <v>1960</v>
      </c>
      <c r="F87" s="24">
        <v>3</v>
      </c>
      <c r="G87" s="25">
        <v>257.89999999999998</v>
      </c>
      <c r="H87" s="25">
        <f t="shared" si="38"/>
        <v>773.69999999999993</v>
      </c>
      <c r="I87" s="26">
        <v>46216</v>
      </c>
      <c r="J87" s="10">
        <v>46064</v>
      </c>
      <c r="K87" s="10">
        <v>46065</v>
      </c>
      <c r="L87" s="27" t="str">
        <f t="shared" si="39"/>
        <v>On time</v>
      </c>
      <c r="M87" s="58">
        <v>46076</v>
      </c>
      <c r="N87" s="27" t="str">
        <f t="shared" si="37"/>
        <v>Atrasado</v>
      </c>
      <c r="O87" s="27">
        <f t="shared" si="17"/>
        <v>12</v>
      </c>
      <c r="P87" s="28" t="str">
        <f t="shared" si="28"/>
        <v>Atrasado</v>
      </c>
      <c r="Q87" s="27">
        <f t="shared" si="18"/>
        <v>152</v>
      </c>
      <c r="R87" s="29" t="s">
        <v>270</v>
      </c>
      <c r="S87" s="12" t="s">
        <v>48</v>
      </c>
      <c r="T87" s="71">
        <v>12</v>
      </c>
      <c r="U87" s="30" t="s">
        <v>569</v>
      </c>
      <c r="V87" s="81">
        <v>10</v>
      </c>
      <c r="W87" s="70">
        <v>13.97</v>
      </c>
      <c r="X87" s="80">
        <f>W87*V87</f>
        <v>139.70000000000002</v>
      </c>
      <c r="Y87" s="82">
        <v>1.8</v>
      </c>
      <c r="Z87" s="10">
        <v>46066</v>
      </c>
      <c r="AA87" s="10">
        <v>46091</v>
      </c>
      <c r="AB87" s="10">
        <v>46154</v>
      </c>
      <c r="AC87" s="10">
        <v>46219</v>
      </c>
      <c r="AD87" s="31">
        <f t="shared" ca="1" si="41"/>
        <v>44</v>
      </c>
      <c r="AE87" s="55">
        <v>1</v>
      </c>
      <c r="AF87" t="s">
        <v>62</v>
      </c>
      <c r="AG87" s="10" t="s">
        <v>78</v>
      </c>
      <c r="AI87" s="10" t="s">
        <v>53</v>
      </c>
      <c r="AL87" s="9" t="s">
        <v>2043</v>
      </c>
      <c r="AM87" s="27" t="str">
        <f t="shared" si="42"/>
        <v>Atrasado</v>
      </c>
      <c r="AN87" s="27" t="str">
        <f t="shared" ca="1" si="43"/>
        <v>Atrasado</v>
      </c>
      <c r="AO87" s="27" t="str">
        <f t="shared" ca="1" si="27"/>
        <v/>
      </c>
      <c r="AP87" t="s">
        <v>2042</v>
      </c>
    </row>
    <row r="88" spans="1:42" ht="15" hidden="1" customHeight="1">
      <c r="A88">
        <v>510961</v>
      </c>
      <c r="B88">
        <v>1</v>
      </c>
      <c r="C88" t="s">
        <v>25</v>
      </c>
      <c r="D88" t="s">
        <v>579</v>
      </c>
      <c r="E88" s="23" t="s">
        <v>1960</v>
      </c>
      <c r="F88" s="24">
        <v>5</v>
      </c>
      <c r="G88" s="25">
        <v>303.7</v>
      </c>
      <c r="H88" s="25">
        <f t="shared" si="38"/>
        <v>1518.5</v>
      </c>
      <c r="I88" s="26">
        <v>46216</v>
      </c>
      <c r="J88" s="10">
        <v>46064</v>
      </c>
      <c r="K88" s="10">
        <v>46065</v>
      </c>
      <c r="L88" s="27" t="str">
        <f t="shared" si="39"/>
        <v>On time</v>
      </c>
      <c r="M88" s="58">
        <v>46076</v>
      </c>
      <c r="N88" s="27" t="str">
        <f t="shared" si="37"/>
        <v>Atrasado</v>
      </c>
      <c r="O88" s="27">
        <f t="shared" si="17"/>
        <v>12</v>
      </c>
      <c r="P88" s="28" t="str">
        <f t="shared" si="28"/>
        <v>Atrasado</v>
      </c>
      <c r="Q88" s="27">
        <f t="shared" si="18"/>
        <v>152</v>
      </c>
      <c r="R88" s="29" t="s">
        <v>270</v>
      </c>
      <c r="S88" s="12" t="s">
        <v>48</v>
      </c>
      <c r="T88" s="71">
        <v>12</v>
      </c>
      <c r="U88" s="30" t="s">
        <v>569</v>
      </c>
      <c r="V88" s="81"/>
      <c r="W88" s="70">
        <v>13.97</v>
      </c>
      <c r="X88" s="80"/>
      <c r="Y88" s="82"/>
      <c r="Z88" s="10">
        <v>46066</v>
      </c>
      <c r="AA88" s="10">
        <v>46091</v>
      </c>
      <c r="AB88" s="10">
        <v>46154</v>
      </c>
      <c r="AC88" s="10">
        <v>46219</v>
      </c>
      <c r="AD88" s="31">
        <f t="shared" ref="AD88:AD89" ca="1" si="44">TODAY()-AA88</f>
        <v>44</v>
      </c>
      <c r="AE88" s="55">
        <v>1</v>
      </c>
      <c r="AF88" t="s">
        <v>62</v>
      </c>
      <c r="AG88" s="10" t="s">
        <v>78</v>
      </c>
      <c r="AI88" s="10" t="s">
        <v>53</v>
      </c>
      <c r="AL88" s="9" t="s">
        <v>2043</v>
      </c>
      <c r="AM88" s="27" t="str">
        <f t="shared" si="42"/>
        <v>Atrasado</v>
      </c>
      <c r="AN88" s="27" t="str">
        <f t="shared" ca="1" si="43"/>
        <v>Atrasado</v>
      </c>
      <c r="AO88" s="27" t="str">
        <f t="shared" ca="1" si="27"/>
        <v/>
      </c>
      <c r="AP88" t="s">
        <v>2042</v>
      </c>
    </row>
    <row r="89" spans="1:42" ht="15" hidden="1" customHeight="1">
      <c r="A89">
        <v>511539</v>
      </c>
      <c r="B89">
        <v>3</v>
      </c>
      <c r="C89" t="s">
        <v>25</v>
      </c>
      <c r="D89" t="s">
        <v>580</v>
      </c>
      <c r="E89" s="23" t="s">
        <v>1961</v>
      </c>
      <c r="F89" s="24">
        <v>7</v>
      </c>
      <c r="G89" s="25">
        <v>100.27</v>
      </c>
      <c r="H89" s="25">
        <f t="shared" si="38"/>
        <v>701.89</v>
      </c>
      <c r="I89" s="26">
        <v>46227</v>
      </c>
      <c r="J89" s="10">
        <v>46077</v>
      </c>
      <c r="K89" s="10">
        <v>46077</v>
      </c>
      <c r="L89" s="27" t="str">
        <f t="shared" si="39"/>
        <v>On time</v>
      </c>
      <c r="M89" s="58">
        <v>46076</v>
      </c>
      <c r="N89" s="27" t="str">
        <f t="shared" si="37"/>
        <v>On time</v>
      </c>
      <c r="O89" s="27">
        <f t="shared" si="17"/>
        <v>-1</v>
      </c>
      <c r="P89" s="28" t="str">
        <f t="shared" si="28"/>
        <v>Atrasado</v>
      </c>
      <c r="Q89" s="27">
        <f t="shared" si="18"/>
        <v>150</v>
      </c>
      <c r="R89" s="29" t="s">
        <v>270</v>
      </c>
      <c r="S89" s="12" t="s">
        <v>48</v>
      </c>
      <c r="T89" s="71">
        <v>13</v>
      </c>
      <c r="U89" s="30" t="s">
        <v>570</v>
      </c>
      <c r="V89" s="81">
        <v>50</v>
      </c>
      <c r="W89" s="70">
        <v>6.31</v>
      </c>
      <c r="X89" s="80">
        <f t="shared" ref="X89" si="45">W89*V89</f>
        <v>315.5</v>
      </c>
      <c r="Y89" s="82">
        <v>0.19</v>
      </c>
      <c r="Z89" s="10">
        <v>46066</v>
      </c>
      <c r="AA89" s="10">
        <v>46091</v>
      </c>
      <c r="AB89" s="10">
        <v>46154</v>
      </c>
      <c r="AC89" s="10">
        <v>46219</v>
      </c>
      <c r="AD89" s="31">
        <f t="shared" ca="1" si="44"/>
        <v>44</v>
      </c>
      <c r="AE89" s="55">
        <v>1</v>
      </c>
      <c r="AF89" t="s">
        <v>62</v>
      </c>
      <c r="AG89" s="10" t="s">
        <v>78</v>
      </c>
      <c r="AI89" s="10" t="s">
        <v>53</v>
      </c>
      <c r="AL89" s="9" t="s">
        <v>2043</v>
      </c>
      <c r="AM89" s="27" t="str">
        <f t="shared" ref="AM89" si="46">IF(AB89=0," ",IF(AB89&lt;=AA89+10,"On time","Atrasado"))</f>
        <v>Atrasado</v>
      </c>
      <c r="AN89" s="27" t="str">
        <f t="shared" ref="AN89" ca="1" si="47">IF(AND(AC89&lt;&gt;"",AC89&lt;=TODAY()),"Chegou",IF(A89="","Estoque",IF(OR(AC89="",I89=""),"",IF(I89-AC89&lt;=0,"Atrasado",IF(I89-AC89&lt;=9,"Crítico",IF(I89-AC89&lt;=20,"Verificar aéreo",IF(I89-AC89&lt;=25,"Alerta","No prazo")        ))))))</f>
        <v>Crítico</v>
      </c>
      <c r="AO89" s="27" t="str">
        <f t="shared" ca="1" si="27"/>
        <v/>
      </c>
      <c r="AP89" t="s">
        <v>2042</v>
      </c>
    </row>
    <row r="90" spans="1:42" ht="15" hidden="1" customHeight="1">
      <c r="A90">
        <v>512128</v>
      </c>
      <c r="B90">
        <v>2</v>
      </c>
      <c r="C90" t="s">
        <v>25</v>
      </c>
      <c r="D90" t="s">
        <v>580</v>
      </c>
      <c r="E90" s="23" t="s">
        <v>1961</v>
      </c>
      <c r="F90" s="24">
        <v>2</v>
      </c>
      <c r="G90" s="25">
        <v>118.07</v>
      </c>
      <c r="H90" s="25">
        <f t="shared" si="38"/>
        <v>236.14</v>
      </c>
      <c r="I90" s="26">
        <v>46237</v>
      </c>
      <c r="J90" s="10">
        <v>46084</v>
      </c>
      <c r="K90" s="10">
        <v>46085</v>
      </c>
      <c r="L90" s="27" t="str">
        <f t="shared" si="39"/>
        <v>On time</v>
      </c>
      <c r="M90" s="58">
        <v>46084</v>
      </c>
      <c r="N90" s="27" t="str">
        <f t="shared" si="37"/>
        <v>On time</v>
      </c>
      <c r="O90" s="27">
        <f t="shared" si="17"/>
        <v>0</v>
      </c>
      <c r="P90" s="28" t="str">
        <f t="shared" si="28"/>
        <v>Atrasado</v>
      </c>
      <c r="Q90" s="27">
        <f t="shared" si="18"/>
        <v>153</v>
      </c>
      <c r="R90" s="29" t="s">
        <v>270</v>
      </c>
      <c r="S90" s="12" t="s">
        <v>48</v>
      </c>
      <c r="T90" s="71">
        <v>13</v>
      </c>
      <c r="U90" s="30" t="s">
        <v>570</v>
      </c>
      <c r="V90" s="81">
        <v>50</v>
      </c>
      <c r="W90" s="70">
        <v>6.31</v>
      </c>
      <c r="X90" s="80">
        <f t="shared" ref="X90:X143" si="48">W90*V90</f>
        <v>315.5</v>
      </c>
      <c r="Y90" s="82"/>
      <c r="Z90" s="10">
        <v>46066</v>
      </c>
      <c r="AA90" s="10">
        <v>46091</v>
      </c>
      <c r="AB90" s="10">
        <v>46154</v>
      </c>
      <c r="AC90" s="10">
        <v>46219</v>
      </c>
      <c r="AD90" s="31">
        <f t="shared" ca="1" si="41"/>
        <v>44</v>
      </c>
      <c r="AE90" s="55">
        <v>1</v>
      </c>
      <c r="AF90" t="s">
        <v>62</v>
      </c>
      <c r="AG90" s="10" t="s">
        <v>78</v>
      </c>
      <c r="AI90" s="10" t="s">
        <v>53</v>
      </c>
      <c r="AL90" s="9" t="s">
        <v>2043</v>
      </c>
      <c r="AM90" s="27" t="str">
        <f t="shared" si="42"/>
        <v>Atrasado</v>
      </c>
      <c r="AN90" s="27" t="str">
        <f t="shared" ca="1" si="43"/>
        <v>Verificar aéreo</v>
      </c>
      <c r="AO90" s="27" t="str">
        <f t="shared" ca="1" si="27"/>
        <v/>
      </c>
      <c r="AP90" t="s">
        <v>2042</v>
      </c>
    </row>
    <row r="91" spans="1:42" ht="15" hidden="1" customHeight="1">
      <c r="A91">
        <v>511604</v>
      </c>
      <c r="B91">
        <v>1</v>
      </c>
      <c r="C91" t="s">
        <v>25</v>
      </c>
      <c r="D91" t="s">
        <v>577</v>
      </c>
      <c r="E91" s="23" t="s">
        <v>578</v>
      </c>
      <c r="F91" s="24">
        <v>18</v>
      </c>
      <c r="G91" s="25">
        <v>1825.09</v>
      </c>
      <c r="H91" s="25">
        <f t="shared" si="38"/>
        <v>32851.619999999995</v>
      </c>
      <c r="I91" s="26">
        <v>46318</v>
      </c>
      <c r="J91" s="10">
        <v>46078</v>
      </c>
      <c r="K91" s="10">
        <v>46078</v>
      </c>
      <c r="L91" s="27" t="str">
        <f t="shared" si="39"/>
        <v>On time</v>
      </c>
      <c r="M91" s="58">
        <v>46076</v>
      </c>
      <c r="N91" s="27" t="str">
        <f t="shared" si="37"/>
        <v>On time</v>
      </c>
      <c r="O91" s="27">
        <f t="shared" si="17"/>
        <v>-2</v>
      </c>
      <c r="P91" s="28" t="str">
        <f t="shared" si="28"/>
        <v>Atrasado</v>
      </c>
      <c r="Q91" s="27">
        <f t="shared" si="18"/>
        <v>240</v>
      </c>
      <c r="R91" s="29" t="s">
        <v>270</v>
      </c>
      <c r="S91" s="12" t="s">
        <v>48</v>
      </c>
      <c r="T91" s="35">
        <v>14</v>
      </c>
      <c r="U91" t="s">
        <v>568</v>
      </c>
      <c r="V91" s="31">
        <v>50</v>
      </c>
      <c r="W91" s="9">
        <v>111.76</v>
      </c>
      <c r="X91" s="9">
        <f t="shared" si="48"/>
        <v>5588</v>
      </c>
      <c r="Y91">
        <v>19.59</v>
      </c>
      <c r="Z91" s="10">
        <v>46066</v>
      </c>
      <c r="AA91" s="10">
        <v>46091</v>
      </c>
      <c r="AB91" s="10">
        <v>46154</v>
      </c>
      <c r="AC91" s="10">
        <v>46219</v>
      </c>
      <c r="AD91" s="31">
        <f t="shared" ca="1" si="41"/>
        <v>44</v>
      </c>
      <c r="AE91" s="55">
        <v>1</v>
      </c>
      <c r="AF91" t="s">
        <v>62</v>
      </c>
      <c r="AG91" s="10" t="s">
        <v>78</v>
      </c>
      <c r="AI91" s="10" t="s">
        <v>53</v>
      </c>
      <c r="AL91" s="9" t="s">
        <v>829</v>
      </c>
      <c r="AM91" s="27" t="str">
        <f t="shared" si="42"/>
        <v>Atrasado</v>
      </c>
      <c r="AN91" s="27" t="str">
        <f t="shared" ca="1" si="43"/>
        <v>No prazo</v>
      </c>
      <c r="AO91" s="27" t="str">
        <f t="shared" ca="1" si="27"/>
        <v/>
      </c>
      <c r="AP91" t="s">
        <v>202</v>
      </c>
    </row>
    <row r="92" spans="1:42" ht="15" hidden="1" customHeight="1">
      <c r="A92">
        <v>511700</v>
      </c>
      <c r="B92">
        <v>1</v>
      </c>
      <c r="C92" t="s">
        <v>25</v>
      </c>
      <c r="D92" t="s">
        <v>1962</v>
      </c>
      <c r="E92" s="23" t="s">
        <v>1963</v>
      </c>
      <c r="F92" s="24">
        <v>1</v>
      </c>
      <c r="G92" s="25">
        <v>64.569999999999993</v>
      </c>
      <c r="H92" s="25">
        <f t="shared" si="38"/>
        <v>64.569999999999993</v>
      </c>
      <c r="I92" s="26">
        <v>46230</v>
      </c>
      <c r="J92" s="10">
        <v>46078</v>
      </c>
      <c r="K92" s="10">
        <v>46079</v>
      </c>
      <c r="L92" s="27" t="str">
        <f t="shared" si="39"/>
        <v>On time</v>
      </c>
      <c r="M92" s="58">
        <v>46077</v>
      </c>
      <c r="N92" s="27" t="str">
        <f t="shared" si="37"/>
        <v>On time</v>
      </c>
      <c r="O92" s="27">
        <f t="shared" si="17"/>
        <v>-1</v>
      </c>
      <c r="P92" s="28" t="str">
        <f t="shared" si="28"/>
        <v>Atrasado</v>
      </c>
      <c r="Q92" s="27">
        <f t="shared" si="18"/>
        <v>152</v>
      </c>
      <c r="R92" s="29" t="s">
        <v>270</v>
      </c>
      <c r="S92" s="12" t="s">
        <v>48</v>
      </c>
      <c r="T92" s="35">
        <v>15</v>
      </c>
      <c r="U92" t="s">
        <v>571</v>
      </c>
      <c r="V92" s="31">
        <v>1</v>
      </c>
      <c r="W92" s="9">
        <v>34.409999999999997</v>
      </c>
      <c r="X92" s="9">
        <f t="shared" si="48"/>
        <v>34.409999999999997</v>
      </c>
      <c r="Y92">
        <v>1</v>
      </c>
      <c r="Z92" s="10">
        <v>46066</v>
      </c>
      <c r="AA92" s="10">
        <v>46091</v>
      </c>
      <c r="AB92" s="10">
        <v>46154</v>
      </c>
      <c r="AC92" s="10">
        <v>46219</v>
      </c>
      <c r="AD92" s="31">
        <f t="shared" ca="1" si="41"/>
        <v>44</v>
      </c>
      <c r="AE92" s="55">
        <v>1</v>
      </c>
      <c r="AF92" t="s">
        <v>62</v>
      </c>
      <c r="AG92" s="10" t="s">
        <v>78</v>
      </c>
      <c r="AI92" s="10" t="s">
        <v>53</v>
      </c>
      <c r="AL92" s="9" t="s">
        <v>2043</v>
      </c>
      <c r="AM92" s="27" t="str">
        <f t="shared" si="42"/>
        <v>Atrasado</v>
      </c>
      <c r="AN92" s="27" t="str">
        <f t="shared" ca="1" si="43"/>
        <v>Verificar aéreo</v>
      </c>
      <c r="AO92" s="27" t="str">
        <f t="shared" ca="1" si="27"/>
        <v/>
      </c>
      <c r="AP92" t="s">
        <v>2042</v>
      </c>
    </row>
    <row r="93" spans="1:42" hidden="1">
      <c r="A93">
        <v>510774</v>
      </c>
      <c r="B93">
        <v>2</v>
      </c>
      <c r="C93" t="s">
        <v>98</v>
      </c>
      <c r="D93" t="s">
        <v>306</v>
      </c>
      <c r="E93" s="23" t="s">
        <v>318</v>
      </c>
      <c r="F93" s="24">
        <v>50</v>
      </c>
      <c r="G93" s="25">
        <v>492.97</v>
      </c>
      <c r="H93" s="25">
        <f t="shared" si="38"/>
        <v>24648.5</v>
      </c>
      <c r="I93" s="26">
        <v>46199</v>
      </c>
      <c r="J93" s="10">
        <v>46065</v>
      </c>
      <c r="K93" s="10">
        <v>46065</v>
      </c>
      <c r="L93" s="27" t="str">
        <f t="shared" si="39"/>
        <v>On time</v>
      </c>
      <c r="M93" s="58">
        <v>46076</v>
      </c>
      <c r="N93" s="27" t="str">
        <f t="shared" si="37"/>
        <v>Atrasado</v>
      </c>
      <c r="O93" s="27">
        <f t="shared" si="17"/>
        <v>11</v>
      </c>
      <c r="P93" s="28" t="str">
        <f t="shared" si="28"/>
        <v>On time</v>
      </c>
      <c r="Q93" s="27">
        <f t="shared" si="18"/>
        <v>134</v>
      </c>
      <c r="R93" s="29" t="s">
        <v>329</v>
      </c>
      <c r="S93" s="12" t="s">
        <v>90</v>
      </c>
      <c r="T93" s="35">
        <v>1</v>
      </c>
      <c r="U93" t="s">
        <v>306</v>
      </c>
      <c r="V93" s="27">
        <v>50</v>
      </c>
      <c r="W93" s="9">
        <v>20.29</v>
      </c>
      <c r="X93" s="9">
        <f t="shared" si="48"/>
        <v>1014.5</v>
      </c>
      <c r="Y93">
        <v>4</v>
      </c>
      <c r="Z93" s="10">
        <v>46077</v>
      </c>
      <c r="AA93" s="10">
        <v>46096</v>
      </c>
      <c r="AB93" s="10">
        <v>46106</v>
      </c>
      <c r="AC93" s="10">
        <v>46194</v>
      </c>
      <c r="AD93" s="31">
        <f t="shared" ref="AD93:AD107" ca="1" si="49">TODAY()-AA93</f>
        <v>39</v>
      </c>
      <c r="AE93" s="55">
        <v>1</v>
      </c>
      <c r="AF93" t="s">
        <v>155</v>
      </c>
      <c r="AG93" s="10" t="s">
        <v>78</v>
      </c>
      <c r="AH93" t="s">
        <v>78</v>
      </c>
      <c r="AI93" s="9" t="s">
        <v>53</v>
      </c>
      <c r="AJ93" s="10">
        <v>46135</v>
      </c>
      <c r="AK93" s="10">
        <v>46179</v>
      </c>
      <c r="AL93" t="s">
        <v>2062</v>
      </c>
      <c r="AM93" s="27" t="str">
        <f t="shared" ref="AM93:AM120" si="50">IF(AB93=0," ",IF(AB93&lt;=AA93+10,"On time","Atrasado"))</f>
        <v>On time</v>
      </c>
      <c r="AN93" s="27" t="str">
        <f t="shared" ca="1" si="26"/>
        <v>Crítico</v>
      </c>
      <c r="AO93" s="27" t="str">
        <f t="shared" ca="1" si="27"/>
        <v>Embarcado</v>
      </c>
      <c r="AP93" t="s">
        <v>202</v>
      </c>
    </row>
    <row r="94" spans="1:42" hidden="1">
      <c r="A94">
        <v>506736</v>
      </c>
      <c r="B94">
        <v>11</v>
      </c>
      <c r="C94" t="s">
        <v>305</v>
      </c>
      <c r="D94" t="s">
        <v>307</v>
      </c>
      <c r="E94" s="23" t="s">
        <v>319</v>
      </c>
      <c r="F94" s="24">
        <v>7</v>
      </c>
      <c r="G94" s="25">
        <v>306.38</v>
      </c>
      <c r="H94" s="25">
        <f t="shared" si="38"/>
        <v>2144.66</v>
      </c>
      <c r="I94" s="26">
        <v>46202</v>
      </c>
      <c r="J94" s="10">
        <v>46065</v>
      </c>
      <c r="K94" s="10">
        <v>46065</v>
      </c>
      <c r="L94" s="27" t="str">
        <f t="shared" si="39"/>
        <v>On time</v>
      </c>
      <c r="M94" s="58">
        <v>46076</v>
      </c>
      <c r="N94" s="27" t="str">
        <f t="shared" si="37"/>
        <v>Atrasado</v>
      </c>
      <c r="O94" s="27">
        <f t="shared" si="17"/>
        <v>11</v>
      </c>
      <c r="P94" s="28" t="str">
        <f t="shared" si="28"/>
        <v>On time</v>
      </c>
      <c r="Q94" s="27">
        <f t="shared" si="18"/>
        <v>137</v>
      </c>
      <c r="R94" s="29" t="s">
        <v>329</v>
      </c>
      <c r="S94" s="12" t="s">
        <v>90</v>
      </c>
      <c r="T94" s="35">
        <v>2</v>
      </c>
      <c r="U94" t="s">
        <v>307</v>
      </c>
      <c r="V94" s="27">
        <v>7</v>
      </c>
      <c r="W94" s="9">
        <v>16.22</v>
      </c>
      <c r="X94" s="9">
        <f t="shared" si="48"/>
        <v>113.53999999999999</v>
      </c>
      <c r="Y94">
        <v>2</v>
      </c>
      <c r="Z94" s="10">
        <v>46077</v>
      </c>
      <c r="AA94" s="10">
        <v>46096</v>
      </c>
      <c r="AB94" s="10">
        <v>46106</v>
      </c>
      <c r="AC94" s="10">
        <v>46194</v>
      </c>
      <c r="AD94" s="31">
        <f t="shared" ca="1" si="49"/>
        <v>39</v>
      </c>
      <c r="AE94" s="55">
        <v>1</v>
      </c>
      <c r="AF94" t="s">
        <v>155</v>
      </c>
      <c r="AG94" s="10" t="s">
        <v>78</v>
      </c>
      <c r="AH94" t="s">
        <v>78</v>
      </c>
      <c r="AI94" s="9" t="s">
        <v>53</v>
      </c>
      <c r="AJ94" s="10">
        <v>46135</v>
      </c>
      <c r="AK94" s="10">
        <v>46179</v>
      </c>
      <c r="AL94" t="s">
        <v>2062</v>
      </c>
      <c r="AM94" s="27" t="str">
        <f t="shared" si="50"/>
        <v>On time</v>
      </c>
      <c r="AN94" s="27" t="str">
        <f t="shared" ca="1" si="26"/>
        <v>Crítico</v>
      </c>
      <c r="AO94" s="27" t="str">
        <f t="shared" ca="1" si="27"/>
        <v>Embarcado</v>
      </c>
      <c r="AP94" t="s">
        <v>202</v>
      </c>
    </row>
    <row r="95" spans="1:42" hidden="1">
      <c r="A95">
        <v>506736</v>
      </c>
      <c r="B95">
        <v>15</v>
      </c>
      <c r="C95" t="s">
        <v>305</v>
      </c>
      <c r="D95" t="s">
        <v>308</v>
      </c>
      <c r="E95" s="23" t="s">
        <v>320</v>
      </c>
      <c r="F95" s="24">
        <v>10</v>
      </c>
      <c r="G95" s="25">
        <v>102</v>
      </c>
      <c r="H95" s="25">
        <f t="shared" si="38"/>
        <v>1020</v>
      </c>
      <c r="I95" s="26">
        <v>46202</v>
      </c>
      <c r="J95" s="10">
        <v>46065</v>
      </c>
      <c r="K95" s="10">
        <v>46065</v>
      </c>
      <c r="L95" s="27" t="str">
        <f t="shared" si="39"/>
        <v>On time</v>
      </c>
      <c r="M95" s="58">
        <v>46076</v>
      </c>
      <c r="N95" s="27" t="str">
        <f t="shared" si="37"/>
        <v>Atrasado</v>
      </c>
      <c r="O95" s="27">
        <f t="shared" si="17"/>
        <v>11</v>
      </c>
      <c r="P95" s="28" t="str">
        <f t="shared" si="28"/>
        <v>On time</v>
      </c>
      <c r="Q95" s="27">
        <f t="shared" si="18"/>
        <v>137</v>
      </c>
      <c r="R95" s="29" t="s">
        <v>329</v>
      </c>
      <c r="S95" s="12" t="s">
        <v>90</v>
      </c>
      <c r="T95" s="35">
        <v>3</v>
      </c>
      <c r="U95" t="s">
        <v>308</v>
      </c>
      <c r="V95" s="27">
        <v>10</v>
      </c>
      <c r="W95" s="9">
        <v>6.09</v>
      </c>
      <c r="X95" s="9">
        <f t="shared" si="48"/>
        <v>60.9</v>
      </c>
      <c r="Y95">
        <v>0.5</v>
      </c>
      <c r="Z95" s="10">
        <v>46077</v>
      </c>
      <c r="AA95" s="10">
        <v>46096</v>
      </c>
      <c r="AB95" s="10">
        <v>46106</v>
      </c>
      <c r="AC95" s="10">
        <v>46194</v>
      </c>
      <c r="AD95" s="31">
        <f t="shared" ca="1" si="49"/>
        <v>39</v>
      </c>
      <c r="AE95" s="55">
        <v>1</v>
      </c>
      <c r="AF95" t="s">
        <v>155</v>
      </c>
      <c r="AG95" s="10" t="s">
        <v>78</v>
      </c>
      <c r="AH95" t="s">
        <v>78</v>
      </c>
      <c r="AI95" s="9" t="s">
        <v>53</v>
      </c>
      <c r="AJ95" s="10">
        <v>46135</v>
      </c>
      <c r="AK95" s="10">
        <v>46179</v>
      </c>
      <c r="AL95" t="s">
        <v>2062</v>
      </c>
      <c r="AM95" s="27" t="str">
        <f t="shared" si="50"/>
        <v>On time</v>
      </c>
      <c r="AN95" s="27" t="str">
        <f t="shared" ca="1" si="26"/>
        <v>Crítico</v>
      </c>
      <c r="AO95" s="27" t="str">
        <f t="shared" ca="1" si="27"/>
        <v>Embarcado</v>
      </c>
      <c r="AP95" t="s">
        <v>202</v>
      </c>
    </row>
    <row r="96" spans="1:42" hidden="1">
      <c r="A96">
        <v>506736</v>
      </c>
      <c r="B96">
        <v>16</v>
      </c>
      <c r="C96" t="s">
        <v>305</v>
      </c>
      <c r="D96" t="s">
        <v>309</v>
      </c>
      <c r="E96" s="23" t="s">
        <v>321</v>
      </c>
      <c r="F96" s="24">
        <v>18</v>
      </c>
      <c r="G96" s="25">
        <v>222.91</v>
      </c>
      <c r="H96" s="25">
        <f t="shared" si="38"/>
        <v>4012.38</v>
      </c>
      <c r="I96" s="26">
        <v>46202</v>
      </c>
      <c r="J96" s="10">
        <v>46065</v>
      </c>
      <c r="K96" s="10">
        <v>46065</v>
      </c>
      <c r="L96" s="27" t="str">
        <f t="shared" si="39"/>
        <v>On time</v>
      </c>
      <c r="M96" s="58">
        <v>46076</v>
      </c>
      <c r="N96" s="27" t="str">
        <f t="shared" si="37"/>
        <v>Atrasado</v>
      </c>
      <c r="O96" s="27">
        <f t="shared" si="17"/>
        <v>11</v>
      </c>
      <c r="P96" s="28" t="str">
        <f t="shared" si="28"/>
        <v>On time</v>
      </c>
      <c r="Q96" s="27">
        <f t="shared" si="18"/>
        <v>137</v>
      </c>
      <c r="R96" s="29" t="s">
        <v>329</v>
      </c>
      <c r="S96" s="12" t="s">
        <v>90</v>
      </c>
      <c r="T96" s="35">
        <v>4</v>
      </c>
      <c r="U96" t="s">
        <v>309</v>
      </c>
      <c r="V96" s="79">
        <v>18</v>
      </c>
      <c r="W96" s="70">
        <v>3.86</v>
      </c>
      <c r="X96" s="80">
        <f t="shared" si="48"/>
        <v>69.48</v>
      </c>
      <c r="Y96">
        <v>1</v>
      </c>
      <c r="Z96" s="10">
        <v>46077</v>
      </c>
      <c r="AA96" s="10">
        <v>46096</v>
      </c>
      <c r="AB96" s="10">
        <v>46106</v>
      </c>
      <c r="AC96" s="10">
        <v>46194</v>
      </c>
      <c r="AD96" s="31">
        <f t="shared" ca="1" si="49"/>
        <v>39</v>
      </c>
      <c r="AE96" s="55">
        <v>1</v>
      </c>
      <c r="AF96" t="s">
        <v>155</v>
      </c>
      <c r="AG96" s="10" t="s">
        <v>78</v>
      </c>
      <c r="AH96" t="s">
        <v>78</v>
      </c>
      <c r="AI96" s="9" t="s">
        <v>53</v>
      </c>
      <c r="AJ96" s="10">
        <v>46135</v>
      </c>
      <c r="AK96" s="10">
        <v>46179</v>
      </c>
      <c r="AL96" t="s">
        <v>2062</v>
      </c>
      <c r="AM96" s="27" t="str">
        <f t="shared" si="50"/>
        <v>On time</v>
      </c>
      <c r="AN96" s="27" t="str">
        <f t="shared" ca="1" si="26"/>
        <v>Crítico</v>
      </c>
      <c r="AO96" s="27" t="str">
        <f t="shared" ca="1" si="27"/>
        <v>Embarcado</v>
      </c>
      <c r="AP96" t="s">
        <v>202</v>
      </c>
    </row>
    <row r="97" spans="1:42" hidden="1">
      <c r="A97">
        <v>506736</v>
      </c>
      <c r="B97">
        <v>45</v>
      </c>
      <c r="C97" t="s">
        <v>305</v>
      </c>
      <c r="D97" t="s">
        <v>309</v>
      </c>
      <c r="E97" s="23" t="s">
        <v>321</v>
      </c>
      <c r="F97" s="24">
        <v>18</v>
      </c>
      <c r="G97" s="25">
        <v>222.91</v>
      </c>
      <c r="H97" s="25">
        <f t="shared" si="38"/>
        <v>4012.38</v>
      </c>
      <c r="I97" s="26">
        <v>46202</v>
      </c>
      <c r="J97" s="10">
        <v>46065</v>
      </c>
      <c r="K97" s="10">
        <v>46065</v>
      </c>
      <c r="L97" s="27" t="str">
        <f t="shared" si="39"/>
        <v>On time</v>
      </c>
      <c r="M97" s="58">
        <v>46076</v>
      </c>
      <c r="N97" s="27" t="str">
        <f t="shared" si="37"/>
        <v>Atrasado</v>
      </c>
      <c r="O97" s="27">
        <f t="shared" si="17"/>
        <v>11</v>
      </c>
      <c r="P97" s="28" t="str">
        <f t="shared" si="28"/>
        <v>On time</v>
      </c>
      <c r="Q97" s="27">
        <f t="shared" si="18"/>
        <v>137</v>
      </c>
      <c r="R97" s="29" t="s">
        <v>329</v>
      </c>
      <c r="S97" s="12" t="s">
        <v>90</v>
      </c>
      <c r="T97" s="35">
        <v>4</v>
      </c>
      <c r="U97" t="s">
        <v>309</v>
      </c>
      <c r="V97" s="79"/>
      <c r="W97" s="70">
        <v>3.86</v>
      </c>
      <c r="X97" s="80"/>
      <c r="Y97">
        <v>1</v>
      </c>
      <c r="Z97" s="10">
        <v>46077</v>
      </c>
      <c r="AA97" s="10">
        <v>46096</v>
      </c>
      <c r="AB97" s="10">
        <v>46106</v>
      </c>
      <c r="AC97" s="10">
        <v>46194</v>
      </c>
      <c r="AD97" s="31">
        <f t="shared" ca="1" si="49"/>
        <v>39</v>
      </c>
      <c r="AE97" s="55">
        <v>1</v>
      </c>
      <c r="AF97" t="s">
        <v>155</v>
      </c>
      <c r="AG97" s="10" t="s">
        <v>78</v>
      </c>
      <c r="AH97" t="s">
        <v>78</v>
      </c>
      <c r="AI97" s="9" t="s">
        <v>53</v>
      </c>
      <c r="AJ97" s="10">
        <v>46135</v>
      </c>
      <c r="AK97" s="10">
        <v>46179</v>
      </c>
      <c r="AL97" t="s">
        <v>2062</v>
      </c>
      <c r="AM97" s="27" t="str">
        <f>IF(AB97=0," ",IF(AB97&lt;=AA97+10,"On time","Atrasado"))</f>
        <v>On time</v>
      </c>
      <c r="AN97" s="27" t="str">
        <f t="shared" ca="1" si="26"/>
        <v>Crítico</v>
      </c>
      <c r="AO97" s="27" t="str">
        <f t="shared" ca="1" si="27"/>
        <v>Embarcado</v>
      </c>
      <c r="AP97" t="s">
        <v>202</v>
      </c>
    </row>
    <row r="98" spans="1:42" hidden="1">
      <c r="A98">
        <v>506736</v>
      </c>
      <c r="B98">
        <v>18</v>
      </c>
      <c r="C98" t="s">
        <v>305</v>
      </c>
      <c r="D98" t="s">
        <v>310</v>
      </c>
      <c r="E98" s="23" t="s">
        <v>322</v>
      </c>
      <c r="F98" s="24">
        <v>2</v>
      </c>
      <c r="G98" s="25">
        <v>7412.39</v>
      </c>
      <c r="H98" s="25">
        <f t="shared" si="38"/>
        <v>14824.78</v>
      </c>
      <c r="I98" s="26">
        <v>46202</v>
      </c>
      <c r="J98" s="10">
        <v>46065</v>
      </c>
      <c r="K98" s="10">
        <v>46065</v>
      </c>
      <c r="L98" s="27" t="str">
        <f t="shared" si="39"/>
        <v>On time</v>
      </c>
      <c r="M98" s="58">
        <v>46076</v>
      </c>
      <c r="N98" s="27" t="str">
        <f t="shared" si="37"/>
        <v>Atrasado</v>
      </c>
      <c r="O98" s="27">
        <f t="shared" si="17"/>
        <v>11</v>
      </c>
      <c r="P98" s="28" t="str">
        <f t="shared" si="28"/>
        <v>On time</v>
      </c>
      <c r="Q98" s="27">
        <f t="shared" si="18"/>
        <v>137</v>
      </c>
      <c r="R98" s="29" t="s">
        <v>329</v>
      </c>
      <c r="S98" s="12" t="s">
        <v>90</v>
      </c>
      <c r="T98" s="35">
        <v>5</v>
      </c>
      <c r="U98" t="s">
        <v>310</v>
      </c>
      <c r="V98" s="27">
        <v>2</v>
      </c>
      <c r="W98" s="9">
        <v>489.3</v>
      </c>
      <c r="X98" s="9">
        <f t="shared" si="48"/>
        <v>978.6</v>
      </c>
      <c r="Y98">
        <v>120</v>
      </c>
      <c r="Z98" s="10">
        <v>46077</v>
      </c>
      <c r="AA98" s="10">
        <v>46096</v>
      </c>
      <c r="AB98" s="10">
        <v>46106</v>
      </c>
      <c r="AC98" s="10">
        <v>46194</v>
      </c>
      <c r="AD98" s="31">
        <f t="shared" ca="1" si="49"/>
        <v>39</v>
      </c>
      <c r="AE98" s="55">
        <v>1</v>
      </c>
      <c r="AF98" t="s">
        <v>155</v>
      </c>
      <c r="AG98" s="10" t="s">
        <v>78</v>
      </c>
      <c r="AH98" t="s">
        <v>78</v>
      </c>
      <c r="AI98" s="9" t="s">
        <v>53</v>
      </c>
      <c r="AJ98" s="10">
        <v>46135</v>
      </c>
      <c r="AK98" s="10">
        <v>46179</v>
      </c>
      <c r="AL98" t="s">
        <v>2062</v>
      </c>
      <c r="AM98" s="27" t="str">
        <f t="shared" si="50"/>
        <v>On time</v>
      </c>
      <c r="AN98" s="27" t="str">
        <f t="shared" ca="1" si="26"/>
        <v>Crítico</v>
      </c>
      <c r="AO98" s="27" t="str">
        <f t="shared" ca="1" si="27"/>
        <v>Embarcado</v>
      </c>
      <c r="AP98" t="s">
        <v>202</v>
      </c>
    </row>
    <row r="99" spans="1:42" hidden="1">
      <c r="A99">
        <v>506736</v>
      </c>
      <c r="B99">
        <v>20</v>
      </c>
      <c r="C99" t="s">
        <v>305</v>
      </c>
      <c r="D99" t="s">
        <v>311</v>
      </c>
      <c r="E99" s="23" t="s">
        <v>323</v>
      </c>
      <c r="F99" s="24">
        <v>4</v>
      </c>
      <c r="G99" s="25">
        <v>11444.72</v>
      </c>
      <c r="H99" s="25">
        <f t="shared" si="38"/>
        <v>45778.879999999997</v>
      </c>
      <c r="I99" s="26">
        <v>46202</v>
      </c>
      <c r="J99" s="10">
        <v>46065</v>
      </c>
      <c r="K99" s="10">
        <v>46065</v>
      </c>
      <c r="L99" s="27" t="str">
        <f t="shared" si="39"/>
        <v>On time</v>
      </c>
      <c r="M99" s="58">
        <v>46076</v>
      </c>
      <c r="N99" s="27" t="str">
        <f t="shared" si="37"/>
        <v>Atrasado</v>
      </c>
      <c r="O99" s="27">
        <f t="shared" si="17"/>
        <v>11</v>
      </c>
      <c r="P99" s="28" t="str">
        <f t="shared" si="28"/>
        <v>On time</v>
      </c>
      <c r="Q99" s="27">
        <f t="shared" si="18"/>
        <v>137</v>
      </c>
      <c r="R99" s="29" t="s">
        <v>329</v>
      </c>
      <c r="S99" s="12" t="s">
        <v>90</v>
      </c>
      <c r="T99" s="35">
        <v>6</v>
      </c>
      <c r="U99" t="s">
        <v>311</v>
      </c>
      <c r="V99" s="79">
        <v>4</v>
      </c>
      <c r="W99" s="70">
        <v>831.81</v>
      </c>
      <c r="X99" s="80">
        <f t="shared" si="48"/>
        <v>3327.24</v>
      </c>
      <c r="Y99">
        <v>210</v>
      </c>
      <c r="Z99" s="10">
        <v>46077</v>
      </c>
      <c r="AA99" s="10">
        <v>46096</v>
      </c>
      <c r="AB99" s="10">
        <v>46106</v>
      </c>
      <c r="AC99" s="10">
        <v>46194</v>
      </c>
      <c r="AD99" s="31">
        <f t="shared" ca="1" si="49"/>
        <v>39</v>
      </c>
      <c r="AE99" s="55">
        <v>1</v>
      </c>
      <c r="AF99" t="s">
        <v>155</v>
      </c>
      <c r="AG99" s="10" t="s">
        <v>78</v>
      </c>
      <c r="AH99" t="s">
        <v>78</v>
      </c>
      <c r="AI99" s="9" t="s">
        <v>53</v>
      </c>
      <c r="AJ99" s="10">
        <v>46135</v>
      </c>
      <c r="AK99" s="10">
        <v>46179</v>
      </c>
      <c r="AL99" t="s">
        <v>2062</v>
      </c>
      <c r="AM99" s="27" t="str">
        <f t="shared" si="50"/>
        <v>On time</v>
      </c>
      <c r="AN99" s="27" t="str">
        <f t="shared" ca="1" si="26"/>
        <v>Crítico</v>
      </c>
      <c r="AO99" s="27" t="str">
        <f t="shared" ca="1" si="27"/>
        <v>Embarcado</v>
      </c>
      <c r="AP99" t="s">
        <v>202</v>
      </c>
    </row>
    <row r="100" spans="1:42" hidden="1">
      <c r="A100">
        <v>506736</v>
      </c>
      <c r="B100">
        <v>47</v>
      </c>
      <c r="C100" t="s">
        <v>305</v>
      </c>
      <c r="D100" t="s">
        <v>311</v>
      </c>
      <c r="E100" s="23" t="s">
        <v>323</v>
      </c>
      <c r="F100" s="24">
        <v>4</v>
      </c>
      <c r="G100" s="25">
        <v>11444.72</v>
      </c>
      <c r="H100" s="25">
        <f t="shared" si="38"/>
        <v>45778.879999999997</v>
      </c>
      <c r="I100" s="26">
        <v>46202</v>
      </c>
      <c r="J100" s="10">
        <v>46065</v>
      </c>
      <c r="K100" s="10">
        <v>46065</v>
      </c>
      <c r="L100" s="27" t="str">
        <f t="shared" si="39"/>
        <v>On time</v>
      </c>
      <c r="M100" s="58">
        <v>46076</v>
      </c>
      <c r="N100" s="27" t="str">
        <f t="shared" si="37"/>
        <v>Atrasado</v>
      </c>
      <c r="O100" s="27">
        <f t="shared" si="17"/>
        <v>11</v>
      </c>
      <c r="P100" s="28" t="str">
        <f t="shared" si="28"/>
        <v>On time</v>
      </c>
      <c r="Q100" s="27">
        <f t="shared" si="18"/>
        <v>137</v>
      </c>
      <c r="R100" s="29" t="s">
        <v>329</v>
      </c>
      <c r="S100" s="12" t="s">
        <v>90</v>
      </c>
      <c r="T100" s="35">
        <v>6</v>
      </c>
      <c r="U100" t="s">
        <v>311</v>
      </c>
      <c r="V100" s="79"/>
      <c r="W100" s="70">
        <v>831.81</v>
      </c>
      <c r="X100" s="80"/>
      <c r="Y100">
        <v>210</v>
      </c>
      <c r="Z100" s="10">
        <v>46077</v>
      </c>
      <c r="AA100" s="10">
        <v>46096</v>
      </c>
      <c r="AB100" s="10">
        <v>46106</v>
      </c>
      <c r="AC100" s="10">
        <v>46194</v>
      </c>
      <c r="AD100" s="31">
        <f t="shared" ca="1" si="49"/>
        <v>39</v>
      </c>
      <c r="AE100" s="55">
        <v>1</v>
      </c>
      <c r="AF100" t="s">
        <v>155</v>
      </c>
      <c r="AG100" s="10" t="s">
        <v>78</v>
      </c>
      <c r="AH100" t="s">
        <v>78</v>
      </c>
      <c r="AI100" s="9" t="s">
        <v>53</v>
      </c>
      <c r="AJ100" s="10">
        <v>46135</v>
      </c>
      <c r="AK100" s="10">
        <v>46179</v>
      </c>
      <c r="AL100" t="s">
        <v>2062</v>
      </c>
      <c r="AM100" s="27" t="str">
        <f t="shared" si="50"/>
        <v>On time</v>
      </c>
      <c r="AN100" s="27" t="str">
        <f t="shared" ca="1" si="26"/>
        <v>Crítico</v>
      </c>
      <c r="AO100" s="27" t="str">
        <f t="shared" ca="1" si="27"/>
        <v>Embarcado</v>
      </c>
      <c r="AP100" t="s">
        <v>202</v>
      </c>
    </row>
    <row r="101" spans="1:42" hidden="1">
      <c r="A101">
        <v>506736</v>
      </c>
      <c r="B101">
        <v>22</v>
      </c>
      <c r="C101" t="s">
        <v>305</v>
      </c>
      <c r="D101" t="s">
        <v>312</v>
      </c>
      <c r="E101" s="23" t="s">
        <v>324</v>
      </c>
      <c r="F101" s="24">
        <v>1</v>
      </c>
      <c r="G101" s="25">
        <v>9754.7000000000007</v>
      </c>
      <c r="H101" s="25">
        <f t="shared" si="38"/>
        <v>9754.7000000000007</v>
      </c>
      <c r="I101" s="26">
        <v>46202</v>
      </c>
      <c r="J101" s="10">
        <v>46065</v>
      </c>
      <c r="K101" s="10">
        <v>46065</v>
      </c>
      <c r="L101" s="27" t="str">
        <f t="shared" si="39"/>
        <v>On time</v>
      </c>
      <c r="M101" s="58">
        <v>46076</v>
      </c>
      <c r="N101" s="27" t="str">
        <f t="shared" si="37"/>
        <v>Atrasado</v>
      </c>
      <c r="O101" s="27">
        <f t="shared" si="17"/>
        <v>11</v>
      </c>
      <c r="P101" s="28" t="str">
        <f t="shared" si="28"/>
        <v>On time</v>
      </c>
      <c r="Q101" s="27">
        <f t="shared" si="18"/>
        <v>137</v>
      </c>
      <c r="R101" s="29" t="s">
        <v>329</v>
      </c>
      <c r="S101" s="12" t="s">
        <v>90</v>
      </c>
      <c r="T101" s="35">
        <v>7</v>
      </c>
      <c r="U101" t="s">
        <v>312</v>
      </c>
      <c r="V101" s="27">
        <v>1</v>
      </c>
      <c r="W101" s="9">
        <v>705</v>
      </c>
      <c r="X101" s="9">
        <f t="shared" si="48"/>
        <v>705</v>
      </c>
      <c r="Y101">
        <v>165</v>
      </c>
      <c r="Z101" s="10">
        <v>46077</v>
      </c>
      <c r="AA101" s="10">
        <v>46096</v>
      </c>
      <c r="AB101" s="10">
        <v>46106</v>
      </c>
      <c r="AC101" s="10">
        <v>46194</v>
      </c>
      <c r="AD101" s="31">
        <f t="shared" ca="1" si="49"/>
        <v>39</v>
      </c>
      <c r="AE101" s="55">
        <v>1</v>
      </c>
      <c r="AF101" t="s">
        <v>155</v>
      </c>
      <c r="AG101" s="10" t="s">
        <v>78</v>
      </c>
      <c r="AH101" t="s">
        <v>78</v>
      </c>
      <c r="AI101" s="9" t="s">
        <v>53</v>
      </c>
      <c r="AJ101" s="10">
        <v>46135</v>
      </c>
      <c r="AK101" s="10">
        <v>46179</v>
      </c>
      <c r="AL101" t="s">
        <v>2062</v>
      </c>
      <c r="AM101" s="27" t="str">
        <f t="shared" si="50"/>
        <v>On time</v>
      </c>
      <c r="AN101" s="27" t="str">
        <f t="shared" ca="1" si="26"/>
        <v>Crítico</v>
      </c>
      <c r="AO101" s="27" t="str">
        <f t="shared" ca="1" si="27"/>
        <v>Embarcado</v>
      </c>
      <c r="AP101" t="s">
        <v>202</v>
      </c>
    </row>
    <row r="102" spans="1:42" hidden="1">
      <c r="A102">
        <v>506736</v>
      </c>
      <c r="B102">
        <v>24</v>
      </c>
      <c r="C102" t="s">
        <v>305</v>
      </c>
      <c r="D102" t="s">
        <v>313</v>
      </c>
      <c r="E102" s="23" t="s">
        <v>1974</v>
      </c>
      <c r="F102" s="24">
        <v>2</v>
      </c>
      <c r="G102" s="25">
        <v>5435.75</v>
      </c>
      <c r="H102" s="25">
        <f t="shared" si="38"/>
        <v>10871.5</v>
      </c>
      <c r="I102" s="26">
        <v>46202</v>
      </c>
      <c r="J102" s="10">
        <v>46065</v>
      </c>
      <c r="K102" s="10">
        <v>46065</v>
      </c>
      <c r="L102" s="27" t="str">
        <f t="shared" si="39"/>
        <v>On time</v>
      </c>
      <c r="M102" s="58">
        <v>46076</v>
      </c>
      <c r="N102" s="27" t="str">
        <f t="shared" si="37"/>
        <v>Atrasado</v>
      </c>
      <c r="O102" s="27">
        <f t="shared" si="17"/>
        <v>11</v>
      </c>
      <c r="P102" s="28" t="str">
        <f t="shared" si="28"/>
        <v>On time</v>
      </c>
      <c r="Q102" s="27">
        <f t="shared" si="18"/>
        <v>137</v>
      </c>
      <c r="R102" s="29" t="s">
        <v>329</v>
      </c>
      <c r="S102" s="12" t="s">
        <v>90</v>
      </c>
      <c r="T102" s="35">
        <v>8</v>
      </c>
      <c r="U102" t="s">
        <v>313</v>
      </c>
      <c r="V102" s="27">
        <v>2</v>
      </c>
      <c r="W102" s="9">
        <v>415.86</v>
      </c>
      <c r="X102" s="9">
        <f t="shared" si="48"/>
        <v>831.72</v>
      </c>
      <c r="Y102">
        <v>90</v>
      </c>
      <c r="Z102" s="10">
        <v>46077</v>
      </c>
      <c r="AA102" s="10">
        <v>46096</v>
      </c>
      <c r="AB102" s="10">
        <v>46106</v>
      </c>
      <c r="AC102" s="10">
        <v>46194</v>
      </c>
      <c r="AD102" s="31">
        <f t="shared" ca="1" si="49"/>
        <v>39</v>
      </c>
      <c r="AE102" s="55">
        <v>1</v>
      </c>
      <c r="AF102" t="s">
        <v>155</v>
      </c>
      <c r="AG102" s="10" t="s">
        <v>78</v>
      </c>
      <c r="AH102" t="s">
        <v>78</v>
      </c>
      <c r="AI102" s="9" t="s">
        <v>53</v>
      </c>
      <c r="AJ102" s="10">
        <v>46135</v>
      </c>
      <c r="AK102" s="10">
        <v>46179</v>
      </c>
      <c r="AL102" t="s">
        <v>2062</v>
      </c>
      <c r="AM102" s="27" t="str">
        <f t="shared" si="50"/>
        <v>On time</v>
      </c>
      <c r="AN102" s="27" t="str">
        <f t="shared" ca="1" si="26"/>
        <v>Crítico</v>
      </c>
      <c r="AO102" s="27" t="str">
        <f t="shared" ca="1" si="27"/>
        <v>Embarcado</v>
      </c>
      <c r="AP102" t="s">
        <v>202</v>
      </c>
    </row>
    <row r="103" spans="1:42" hidden="1">
      <c r="A103">
        <v>506736</v>
      </c>
      <c r="B103">
        <v>43</v>
      </c>
      <c r="C103" t="s">
        <v>305</v>
      </c>
      <c r="D103" t="s">
        <v>314</v>
      </c>
      <c r="E103" s="23" t="s">
        <v>325</v>
      </c>
      <c r="F103" s="24">
        <v>2</v>
      </c>
      <c r="G103" s="25">
        <v>12042.35</v>
      </c>
      <c r="H103" s="25">
        <f t="shared" si="38"/>
        <v>24084.7</v>
      </c>
      <c r="I103" s="26">
        <v>46202</v>
      </c>
      <c r="J103" s="10">
        <v>46065</v>
      </c>
      <c r="K103" s="10">
        <v>46065</v>
      </c>
      <c r="L103" s="27" t="str">
        <f t="shared" si="39"/>
        <v>On time</v>
      </c>
      <c r="M103" s="58">
        <v>46076</v>
      </c>
      <c r="N103" s="27" t="str">
        <f t="shared" si="37"/>
        <v>Atrasado</v>
      </c>
      <c r="O103" s="27">
        <f t="shared" si="17"/>
        <v>11</v>
      </c>
      <c r="P103" s="28" t="str">
        <f t="shared" si="28"/>
        <v>On time</v>
      </c>
      <c r="Q103" s="27">
        <f t="shared" si="18"/>
        <v>137</v>
      </c>
      <c r="R103" s="29" t="s">
        <v>329</v>
      </c>
      <c r="S103" s="12" t="s">
        <v>90</v>
      </c>
      <c r="T103" s="35">
        <v>9</v>
      </c>
      <c r="U103" t="s">
        <v>314</v>
      </c>
      <c r="V103" s="27">
        <v>2</v>
      </c>
      <c r="W103" s="9">
        <v>880.74</v>
      </c>
      <c r="X103" s="9">
        <f t="shared" si="48"/>
        <v>1761.48</v>
      </c>
      <c r="Y103">
        <v>282</v>
      </c>
      <c r="Z103" s="10">
        <v>46077</v>
      </c>
      <c r="AA103" s="10">
        <v>46096</v>
      </c>
      <c r="AB103" s="10">
        <v>46106</v>
      </c>
      <c r="AC103" s="10">
        <v>46194</v>
      </c>
      <c r="AD103" s="31">
        <f t="shared" ca="1" si="49"/>
        <v>39</v>
      </c>
      <c r="AE103" s="55">
        <v>1</v>
      </c>
      <c r="AF103" t="s">
        <v>155</v>
      </c>
      <c r="AG103" s="10" t="s">
        <v>78</v>
      </c>
      <c r="AH103" t="s">
        <v>78</v>
      </c>
      <c r="AI103" s="9" t="s">
        <v>53</v>
      </c>
      <c r="AJ103" s="10">
        <v>46135</v>
      </c>
      <c r="AK103" s="10">
        <v>46179</v>
      </c>
      <c r="AL103" t="s">
        <v>2062</v>
      </c>
      <c r="AM103" s="27" t="str">
        <f t="shared" si="50"/>
        <v>On time</v>
      </c>
      <c r="AN103" s="27" t="str">
        <f t="shared" ca="1" si="26"/>
        <v>Crítico</v>
      </c>
      <c r="AO103" s="27" t="str">
        <f t="shared" ca="1" si="27"/>
        <v>Embarcado</v>
      </c>
      <c r="AP103" t="s">
        <v>202</v>
      </c>
    </row>
    <row r="104" spans="1:42" hidden="1">
      <c r="A104">
        <v>506736</v>
      </c>
      <c r="B104">
        <v>44</v>
      </c>
      <c r="C104" t="s">
        <v>305</v>
      </c>
      <c r="D104" t="s">
        <v>315</v>
      </c>
      <c r="E104" s="23" t="s">
        <v>326</v>
      </c>
      <c r="F104" s="24">
        <v>6</v>
      </c>
      <c r="G104" s="25">
        <v>377.46</v>
      </c>
      <c r="H104" s="25">
        <f t="shared" si="38"/>
        <v>2264.7599999999998</v>
      </c>
      <c r="I104" s="26">
        <v>46202</v>
      </c>
      <c r="J104" s="10">
        <v>46065</v>
      </c>
      <c r="K104" s="10">
        <v>46065</v>
      </c>
      <c r="L104" s="27" t="str">
        <f t="shared" si="39"/>
        <v>On time</v>
      </c>
      <c r="M104" s="58">
        <v>46076</v>
      </c>
      <c r="N104" s="27" t="str">
        <f t="shared" si="37"/>
        <v>Atrasado</v>
      </c>
      <c r="O104" s="27">
        <f t="shared" si="17"/>
        <v>11</v>
      </c>
      <c r="P104" s="28" t="str">
        <f t="shared" si="28"/>
        <v>On time</v>
      </c>
      <c r="Q104" s="27">
        <f t="shared" si="18"/>
        <v>137</v>
      </c>
      <c r="R104" s="29" t="s">
        <v>329</v>
      </c>
      <c r="S104" s="12" t="s">
        <v>90</v>
      </c>
      <c r="T104" s="35">
        <v>10</v>
      </c>
      <c r="U104" t="s">
        <v>315</v>
      </c>
      <c r="V104" s="27">
        <v>6</v>
      </c>
      <c r="W104" s="9">
        <v>8.58</v>
      </c>
      <c r="X104" s="9">
        <f t="shared" si="48"/>
        <v>51.480000000000004</v>
      </c>
      <c r="Y104">
        <v>1</v>
      </c>
      <c r="Z104" s="10">
        <v>46077</v>
      </c>
      <c r="AA104" s="10">
        <v>46096</v>
      </c>
      <c r="AB104" s="10">
        <v>46106</v>
      </c>
      <c r="AC104" s="10">
        <v>46194</v>
      </c>
      <c r="AD104" s="31">
        <f t="shared" ca="1" si="49"/>
        <v>39</v>
      </c>
      <c r="AE104" s="55">
        <v>1</v>
      </c>
      <c r="AF104" t="s">
        <v>155</v>
      </c>
      <c r="AG104" s="10" t="s">
        <v>78</v>
      </c>
      <c r="AH104" t="s">
        <v>78</v>
      </c>
      <c r="AI104" s="9" t="s">
        <v>53</v>
      </c>
      <c r="AJ104" s="10">
        <v>46135</v>
      </c>
      <c r="AK104" s="10">
        <v>46179</v>
      </c>
      <c r="AL104" t="s">
        <v>2062</v>
      </c>
      <c r="AM104" s="27" t="str">
        <f t="shared" si="50"/>
        <v>On time</v>
      </c>
      <c r="AN104" s="27" t="str">
        <f t="shared" ca="1" si="26"/>
        <v>Crítico</v>
      </c>
      <c r="AO104" s="27" t="str">
        <f t="shared" ca="1" si="27"/>
        <v>Embarcado</v>
      </c>
      <c r="AP104" t="s">
        <v>202</v>
      </c>
    </row>
    <row r="105" spans="1:42" hidden="1">
      <c r="A105">
        <v>506736</v>
      </c>
      <c r="B105">
        <v>48</v>
      </c>
      <c r="C105" t="s">
        <v>305</v>
      </c>
      <c r="D105" t="s">
        <v>316</v>
      </c>
      <c r="E105" s="23" t="s">
        <v>327</v>
      </c>
      <c r="F105" s="24">
        <v>3</v>
      </c>
      <c r="G105" s="25">
        <v>2964.95</v>
      </c>
      <c r="H105" s="25">
        <f t="shared" si="38"/>
        <v>8894.8499999999985</v>
      </c>
      <c r="I105" s="26">
        <v>46202</v>
      </c>
      <c r="J105" s="10">
        <v>46065</v>
      </c>
      <c r="K105" s="10">
        <v>46065</v>
      </c>
      <c r="L105" s="27" t="str">
        <f t="shared" si="39"/>
        <v>On time</v>
      </c>
      <c r="M105" s="58">
        <v>46076</v>
      </c>
      <c r="N105" s="27" t="str">
        <f t="shared" si="37"/>
        <v>Atrasado</v>
      </c>
      <c r="O105" s="27">
        <f t="shared" si="17"/>
        <v>11</v>
      </c>
      <c r="P105" s="28" t="str">
        <f t="shared" si="28"/>
        <v>On time</v>
      </c>
      <c r="Q105" s="27">
        <f t="shared" si="18"/>
        <v>137</v>
      </c>
      <c r="R105" s="29" t="s">
        <v>329</v>
      </c>
      <c r="S105" s="12" t="s">
        <v>90</v>
      </c>
      <c r="T105" s="35">
        <v>11</v>
      </c>
      <c r="U105" t="s">
        <v>316</v>
      </c>
      <c r="V105" s="27">
        <v>3</v>
      </c>
      <c r="W105" s="9">
        <v>176.15</v>
      </c>
      <c r="X105" s="9">
        <f t="shared" si="48"/>
        <v>528.45000000000005</v>
      </c>
      <c r="Y105">
        <v>35</v>
      </c>
      <c r="Z105" s="10">
        <v>46077</v>
      </c>
      <c r="AA105" s="10">
        <v>46096</v>
      </c>
      <c r="AB105" s="10">
        <v>46106</v>
      </c>
      <c r="AC105" s="10">
        <v>46194</v>
      </c>
      <c r="AD105" s="31">
        <f t="shared" ca="1" si="49"/>
        <v>39</v>
      </c>
      <c r="AE105" s="55">
        <v>1</v>
      </c>
      <c r="AF105" t="s">
        <v>155</v>
      </c>
      <c r="AG105" s="10" t="s">
        <v>78</v>
      </c>
      <c r="AH105" t="s">
        <v>78</v>
      </c>
      <c r="AI105" s="9" t="s">
        <v>53</v>
      </c>
      <c r="AJ105" s="10">
        <v>46135</v>
      </c>
      <c r="AK105" s="10">
        <v>46179</v>
      </c>
      <c r="AL105" t="s">
        <v>2062</v>
      </c>
      <c r="AM105" s="27" t="str">
        <f t="shared" si="50"/>
        <v>On time</v>
      </c>
      <c r="AN105" s="27" t="str">
        <f t="shared" ca="1" si="26"/>
        <v>Crítico</v>
      </c>
      <c r="AO105" s="27" t="str">
        <f t="shared" ca="1" si="27"/>
        <v>Embarcado</v>
      </c>
      <c r="AP105" t="s">
        <v>202</v>
      </c>
    </row>
    <row r="106" spans="1:42" hidden="1">
      <c r="A106">
        <v>506736</v>
      </c>
      <c r="B106">
        <v>56</v>
      </c>
      <c r="C106" t="s">
        <v>305</v>
      </c>
      <c r="D106" t="s">
        <v>317</v>
      </c>
      <c r="E106" s="23" t="s">
        <v>328</v>
      </c>
      <c r="F106" s="24">
        <v>3</v>
      </c>
      <c r="G106" s="25">
        <v>355.85</v>
      </c>
      <c r="H106" s="25">
        <f t="shared" si="38"/>
        <v>1067.5500000000002</v>
      </c>
      <c r="I106" s="26">
        <v>46202</v>
      </c>
      <c r="J106" s="10">
        <v>46065</v>
      </c>
      <c r="K106" s="10">
        <v>46065</v>
      </c>
      <c r="L106" s="27" t="str">
        <f t="shared" si="39"/>
        <v>On time</v>
      </c>
      <c r="M106" s="58">
        <v>46076</v>
      </c>
      <c r="N106" s="27" t="str">
        <f t="shared" si="37"/>
        <v>Atrasado</v>
      </c>
      <c r="O106" s="27">
        <f t="shared" si="17"/>
        <v>11</v>
      </c>
      <c r="P106" s="28" t="str">
        <f t="shared" si="28"/>
        <v>On time</v>
      </c>
      <c r="Q106" s="27">
        <f t="shared" si="18"/>
        <v>137</v>
      </c>
      <c r="R106" s="29" t="s">
        <v>329</v>
      </c>
      <c r="S106" s="12" t="s">
        <v>90</v>
      </c>
      <c r="T106" s="35">
        <v>12</v>
      </c>
      <c r="U106" t="s">
        <v>317</v>
      </c>
      <c r="V106" s="27">
        <v>3</v>
      </c>
      <c r="W106" s="9">
        <v>3.17</v>
      </c>
      <c r="X106" s="9">
        <f t="shared" si="48"/>
        <v>9.51</v>
      </c>
      <c r="Y106">
        <v>1</v>
      </c>
      <c r="Z106" s="10">
        <v>46077</v>
      </c>
      <c r="AA106" s="10">
        <v>46096</v>
      </c>
      <c r="AB106" s="10">
        <v>46106</v>
      </c>
      <c r="AC106" s="10">
        <v>46194</v>
      </c>
      <c r="AD106" s="31">
        <f t="shared" ca="1" si="49"/>
        <v>39</v>
      </c>
      <c r="AE106" s="55">
        <v>1</v>
      </c>
      <c r="AF106" t="s">
        <v>155</v>
      </c>
      <c r="AG106" s="10" t="s">
        <v>78</v>
      </c>
      <c r="AH106" t="s">
        <v>78</v>
      </c>
      <c r="AI106" s="9" t="s">
        <v>53</v>
      </c>
      <c r="AJ106" s="10">
        <v>46135</v>
      </c>
      <c r="AK106" s="10">
        <v>46179</v>
      </c>
      <c r="AL106" t="s">
        <v>2062</v>
      </c>
      <c r="AM106" s="27" t="str">
        <f t="shared" si="50"/>
        <v>On time</v>
      </c>
      <c r="AN106" s="27" t="str">
        <f t="shared" ca="1" si="26"/>
        <v>Crítico</v>
      </c>
      <c r="AO106" s="27" t="str">
        <f t="shared" ca="1" si="27"/>
        <v>Embarcado</v>
      </c>
      <c r="AP106" t="s">
        <v>202</v>
      </c>
    </row>
    <row r="107" spans="1:42" hidden="1">
      <c r="A107">
        <v>508900</v>
      </c>
      <c r="B107">
        <v>2</v>
      </c>
      <c r="C107" t="s">
        <v>25</v>
      </c>
      <c r="D107" t="s">
        <v>375</v>
      </c>
      <c r="E107" s="23" t="s">
        <v>330</v>
      </c>
      <c r="F107" s="24">
        <v>350</v>
      </c>
      <c r="G107" s="25">
        <v>72.040000000000006</v>
      </c>
      <c r="H107" s="25">
        <f t="shared" si="38"/>
        <v>25214.000000000004</v>
      </c>
      <c r="I107" s="26">
        <v>46132</v>
      </c>
      <c r="J107" s="10">
        <v>46035</v>
      </c>
      <c r="K107" s="10">
        <v>46036</v>
      </c>
      <c r="L107" s="27" t="str">
        <f t="shared" si="39"/>
        <v>On time</v>
      </c>
      <c r="M107" s="58">
        <v>46073</v>
      </c>
      <c r="N107" s="27" t="str">
        <f t="shared" si="37"/>
        <v>Atrasado</v>
      </c>
      <c r="O107" s="27">
        <f t="shared" si="17"/>
        <v>38</v>
      </c>
      <c r="P107" s="28" t="str">
        <f t="shared" si="28"/>
        <v>On time</v>
      </c>
      <c r="Q107" s="27">
        <f t="shared" si="18"/>
        <v>97</v>
      </c>
      <c r="R107" s="29" t="s">
        <v>374</v>
      </c>
      <c r="S107" s="12" t="s">
        <v>65</v>
      </c>
      <c r="T107" s="35">
        <v>1</v>
      </c>
      <c r="U107" t="s">
        <v>359</v>
      </c>
      <c r="V107" s="27">
        <v>354</v>
      </c>
      <c r="W107" s="9">
        <v>3.16</v>
      </c>
      <c r="X107" s="9">
        <f t="shared" si="48"/>
        <v>1118.6400000000001</v>
      </c>
      <c r="Y107">
        <v>0.17</v>
      </c>
      <c r="Z107" s="10">
        <v>46080</v>
      </c>
      <c r="AA107" s="10">
        <v>46099</v>
      </c>
      <c r="AB107" s="10">
        <v>46107</v>
      </c>
      <c r="AC107" s="10">
        <v>46129</v>
      </c>
      <c r="AD107" s="31">
        <f t="shared" ca="1" si="49"/>
        <v>36</v>
      </c>
      <c r="AE107" s="55">
        <v>1</v>
      </c>
      <c r="AF107" s="9" t="s">
        <v>155</v>
      </c>
      <c r="AG107" s="10" t="s">
        <v>78</v>
      </c>
      <c r="AH107" s="9" t="s">
        <v>78</v>
      </c>
      <c r="AI107" s="9" t="s">
        <v>57</v>
      </c>
      <c r="AJ107" s="10">
        <v>46118</v>
      </c>
      <c r="AK107" s="10">
        <v>46119</v>
      </c>
      <c r="AL107" t="s">
        <v>905</v>
      </c>
      <c r="AM107" s="27" t="str">
        <f t="shared" si="50"/>
        <v>On time</v>
      </c>
      <c r="AN107" s="27" t="str">
        <f t="shared" ca="1" si="26"/>
        <v>Chegou</v>
      </c>
      <c r="AO107" s="27" t="str">
        <f t="shared" ca="1" si="27"/>
        <v>Chegou HCI</v>
      </c>
    </row>
    <row r="108" spans="1:42" hidden="1">
      <c r="A108">
        <v>508900</v>
      </c>
      <c r="B108">
        <v>5</v>
      </c>
      <c r="C108" t="s">
        <v>25</v>
      </c>
      <c r="D108" t="s">
        <v>345</v>
      </c>
      <c r="E108" s="23" t="s">
        <v>331</v>
      </c>
      <c r="F108" s="24">
        <v>5</v>
      </c>
      <c r="G108" s="25">
        <v>1200.6199999999999</v>
      </c>
      <c r="H108" s="25">
        <f t="shared" si="38"/>
        <v>6003.0999999999995</v>
      </c>
      <c r="I108" s="26">
        <v>46132</v>
      </c>
      <c r="J108" s="10">
        <v>46035</v>
      </c>
      <c r="K108" s="10">
        <v>46036</v>
      </c>
      <c r="L108" s="27" t="str">
        <f t="shared" si="39"/>
        <v>On time</v>
      </c>
      <c r="M108" s="58">
        <v>46073</v>
      </c>
      <c r="N108" s="27" t="str">
        <f t="shared" si="37"/>
        <v>Atrasado</v>
      </c>
      <c r="O108" s="27">
        <f t="shared" si="17"/>
        <v>38</v>
      </c>
      <c r="P108" s="28" t="str">
        <f t="shared" si="28"/>
        <v>On time</v>
      </c>
      <c r="Q108" s="27">
        <f t="shared" si="18"/>
        <v>97</v>
      </c>
      <c r="R108" s="29" t="s">
        <v>374</v>
      </c>
      <c r="S108" s="12" t="s">
        <v>65</v>
      </c>
      <c r="T108" s="35">
        <v>2</v>
      </c>
      <c r="U108" t="s">
        <v>360</v>
      </c>
      <c r="V108" s="27">
        <v>10</v>
      </c>
      <c r="W108" s="9">
        <v>57.63</v>
      </c>
      <c r="X108" s="9">
        <f t="shared" si="48"/>
        <v>576.30000000000007</v>
      </c>
      <c r="Y108">
        <v>0.82</v>
      </c>
      <c r="Z108" s="10">
        <v>46080</v>
      </c>
      <c r="AA108" s="10">
        <v>46099</v>
      </c>
      <c r="AB108" s="10">
        <v>46107</v>
      </c>
      <c r="AC108" s="10">
        <v>46129</v>
      </c>
      <c r="AD108" s="31">
        <f t="shared" ref="AD108:AD123" ca="1" si="51">TODAY()-AA108</f>
        <v>36</v>
      </c>
      <c r="AE108" s="55">
        <v>1</v>
      </c>
      <c r="AF108" s="9" t="s">
        <v>155</v>
      </c>
      <c r="AG108" s="10" t="s">
        <v>78</v>
      </c>
      <c r="AH108" s="9" t="s">
        <v>78</v>
      </c>
      <c r="AI108" s="9" t="s">
        <v>57</v>
      </c>
      <c r="AJ108" s="10">
        <v>46118</v>
      </c>
      <c r="AK108" s="10">
        <v>46119</v>
      </c>
      <c r="AL108" t="s">
        <v>905</v>
      </c>
      <c r="AM108" s="27" t="str">
        <f t="shared" si="50"/>
        <v>On time</v>
      </c>
      <c r="AN108" s="27" t="str">
        <f t="shared" ca="1" si="26"/>
        <v>Chegou</v>
      </c>
      <c r="AO108" s="27" t="str">
        <f t="shared" ca="1" si="27"/>
        <v>Chegou HCI</v>
      </c>
    </row>
    <row r="109" spans="1:42" hidden="1">
      <c r="A109">
        <v>508900</v>
      </c>
      <c r="B109">
        <v>20</v>
      </c>
      <c r="C109" t="s">
        <v>25</v>
      </c>
      <c r="D109" t="s">
        <v>346</v>
      </c>
      <c r="E109" s="23" t="s">
        <v>332</v>
      </c>
      <c r="F109" s="24">
        <v>10</v>
      </c>
      <c r="G109" s="25">
        <v>189.5</v>
      </c>
      <c r="H109" s="25">
        <f t="shared" si="38"/>
        <v>1895</v>
      </c>
      <c r="I109" s="26">
        <v>46132</v>
      </c>
      <c r="J109" s="10">
        <v>46035</v>
      </c>
      <c r="K109" s="10">
        <v>46036</v>
      </c>
      <c r="L109" s="27" t="str">
        <f t="shared" si="39"/>
        <v>On time</v>
      </c>
      <c r="M109" s="58">
        <v>46073</v>
      </c>
      <c r="N109" s="27" t="str">
        <f t="shared" si="37"/>
        <v>Atrasado</v>
      </c>
      <c r="O109" s="27">
        <f t="shared" si="17"/>
        <v>38</v>
      </c>
      <c r="P109" s="28" t="str">
        <f t="shared" si="28"/>
        <v>On time</v>
      </c>
      <c r="Q109" s="27">
        <f t="shared" si="18"/>
        <v>97</v>
      </c>
      <c r="R109" s="29" t="s">
        <v>374</v>
      </c>
      <c r="S109" s="12" t="s">
        <v>65</v>
      </c>
      <c r="T109" s="35">
        <v>3</v>
      </c>
      <c r="U109" t="s">
        <v>361</v>
      </c>
      <c r="V109" s="27">
        <v>10</v>
      </c>
      <c r="W109" s="9">
        <v>9.92</v>
      </c>
      <c r="X109" s="9">
        <f t="shared" si="48"/>
        <v>99.2</v>
      </c>
      <c r="Y109">
        <v>0.62</v>
      </c>
      <c r="Z109" s="10">
        <v>46080</v>
      </c>
      <c r="AA109" s="10">
        <v>46099</v>
      </c>
      <c r="AB109" s="10">
        <v>46107</v>
      </c>
      <c r="AC109" s="10">
        <v>46129</v>
      </c>
      <c r="AD109" s="31">
        <f t="shared" ca="1" si="51"/>
        <v>36</v>
      </c>
      <c r="AE109" s="55">
        <v>1</v>
      </c>
      <c r="AF109" s="9" t="s">
        <v>155</v>
      </c>
      <c r="AG109" s="10" t="s">
        <v>78</v>
      </c>
      <c r="AH109" s="9" t="s">
        <v>78</v>
      </c>
      <c r="AI109" s="9" t="s">
        <v>57</v>
      </c>
      <c r="AJ109" s="10">
        <v>46118</v>
      </c>
      <c r="AK109" s="10">
        <v>46119</v>
      </c>
      <c r="AL109" t="s">
        <v>905</v>
      </c>
      <c r="AM109" s="27" t="str">
        <f t="shared" si="50"/>
        <v>On time</v>
      </c>
      <c r="AN109" s="27" t="str">
        <f t="shared" ca="1" si="26"/>
        <v>Chegou</v>
      </c>
      <c r="AO109" s="27" t="str">
        <f t="shared" ca="1" si="27"/>
        <v>Chegou HCI</v>
      </c>
    </row>
    <row r="110" spans="1:42" hidden="1">
      <c r="A110">
        <v>509403</v>
      </c>
      <c r="B110">
        <v>26</v>
      </c>
      <c r="C110" t="s">
        <v>25</v>
      </c>
      <c r="D110" t="s">
        <v>347</v>
      </c>
      <c r="E110" s="23" t="s">
        <v>333</v>
      </c>
      <c r="F110" s="24">
        <v>2</v>
      </c>
      <c r="G110" s="25">
        <v>1394.42</v>
      </c>
      <c r="H110" s="25">
        <f t="shared" si="38"/>
        <v>2788.84</v>
      </c>
      <c r="I110" s="26">
        <v>46134</v>
      </c>
      <c r="J110" s="10">
        <v>46042</v>
      </c>
      <c r="K110" s="10">
        <v>46043</v>
      </c>
      <c r="L110" s="27" t="str">
        <f t="shared" si="39"/>
        <v>On time</v>
      </c>
      <c r="M110" s="58">
        <v>46073</v>
      </c>
      <c r="N110" s="27" t="str">
        <f t="shared" si="37"/>
        <v>Atrasado</v>
      </c>
      <c r="O110" s="27">
        <f t="shared" si="17"/>
        <v>31</v>
      </c>
      <c r="P110" s="28" t="str">
        <f t="shared" si="28"/>
        <v>On time</v>
      </c>
      <c r="Q110" s="27">
        <f t="shared" si="18"/>
        <v>92</v>
      </c>
      <c r="R110" s="29" t="s">
        <v>374</v>
      </c>
      <c r="S110" s="10" t="s">
        <v>65</v>
      </c>
      <c r="T110" s="57">
        <v>9</v>
      </c>
      <c r="U110" s="55" t="s">
        <v>362</v>
      </c>
      <c r="V110" s="27">
        <v>2</v>
      </c>
      <c r="W110" s="9">
        <v>82.52</v>
      </c>
      <c r="X110" s="9">
        <f t="shared" si="48"/>
        <v>165.04</v>
      </c>
      <c r="Y110">
        <v>11.93</v>
      </c>
      <c r="Z110" s="10">
        <v>46080</v>
      </c>
      <c r="AA110" s="10">
        <v>46099</v>
      </c>
      <c r="AB110" s="10">
        <v>46107</v>
      </c>
      <c r="AC110" s="10">
        <v>46129</v>
      </c>
      <c r="AD110" s="31">
        <f t="shared" ca="1" si="51"/>
        <v>36</v>
      </c>
      <c r="AE110" s="55">
        <v>1</v>
      </c>
      <c r="AF110" s="9" t="s">
        <v>155</v>
      </c>
      <c r="AG110" s="10" t="s">
        <v>78</v>
      </c>
      <c r="AH110" s="9" t="s">
        <v>78</v>
      </c>
      <c r="AI110" s="9" t="s">
        <v>57</v>
      </c>
      <c r="AJ110" s="10">
        <v>46118</v>
      </c>
      <c r="AK110" s="10">
        <v>46119</v>
      </c>
      <c r="AL110" t="s">
        <v>905</v>
      </c>
      <c r="AM110" s="27" t="str">
        <f t="shared" si="50"/>
        <v>On time</v>
      </c>
      <c r="AN110" s="27" t="str">
        <f t="shared" ca="1" si="26"/>
        <v>Chegou</v>
      </c>
      <c r="AO110" s="27" t="str">
        <f t="shared" ca="1" si="27"/>
        <v>Chegou HCI</v>
      </c>
    </row>
    <row r="111" spans="1:42" hidden="1">
      <c r="A111">
        <v>509403</v>
      </c>
      <c r="B111">
        <v>6</v>
      </c>
      <c r="C111" t="s">
        <v>25</v>
      </c>
      <c r="D111" t="s">
        <v>348</v>
      </c>
      <c r="E111" s="23" t="s">
        <v>334</v>
      </c>
      <c r="F111" s="24">
        <v>2</v>
      </c>
      <c r="G111" s="25">
        <v>617.08000000000004</v>
      </c>
      <c r="H111" s="25">
        <f t="shared" si="38"/>
        <v>1234.1600000000001</v>
      </c>
      <c r="I111" s="26">
        <v>46134</v>
      </c>
      <c r="J111" s="10">
        <v>46042</v>
      </c>
      <c r="K111" s="10">
        <v>46043</v>
      </c>
      <c r="L111" s="27" t="str">
        <f t="shared" si="39"/>
        <v>On time</v>
      </c>
      <c r="M111" s="58">
        <v>46073</v>
      </c>
      <c r="N111" s="27" t="str">
        <f t="shared" si="37"/>
        <v>Atrasado</v>
      </c>
      <c r="O111" s="27">
        <f t="shared" si="17"/>
        <v>31</v>
      </c>
      <c r="P111" s="28" t="str">
        <f t="shared" si="28"/>
        <v>On time</v>
      </c>
      <c r="Q111" s="27">
        <f t="shared" si="18"/>
        <v>92</v>
      </c>
      <c r="R111" s="29" t="s">
        <v>374</v>
      </c>
      <c r="S111" s="10" t="s">
        <v>65</v>
      </c>
      <c r="T111" s="84">
        <v>10</v>
      </c>
      <c r="U111" t="s">
        <v>363</v>
      </c>
      <c r="V111" s="79">
        <v>17</v>
      </c>
      <c r="W111" s="70">
        <v>29.58</v>
      </c>
      <c r="X111" s="80">
        <f t="shared" si="48"/>
        <v>502.85999999999996</v>
      </c>
      <c r="Y111" s="82">
        <v>5.84</v>
      </c>
      <c r="Z111" s="10">
        <v>46080</v>
      </c>
      <c r="AA111" s="10">
        <v>46099</v>
      </c>
      <c r="AB111" s="10">
        <v>46107</v>
      </c>
      <c r="AC111" s="10">
        <v>46129</v>
      </c>
      <c r="AD111" s="31">
        <f t="shared" ca="1" si="51"/>
        <v>36</v>
      </c>
      <c r="AE111" s="55">
        <v>1</v>
      </c>
      <c r="AF111" s="9" t="s">
        <v>155</v>
      </c>
      <c r="AG111" s="10" t="s">
        <v>78</v>
      </c>
      <c r="AH111" s="9" t="s">
        <v>78</v>
      </c>
      <c r="AI111" s="9" t="s">
        <v>57</v>
      </c>
      <c r="AJ111" s="10">
        <v>46118</v>
      </c>
      <c r="AK111" s="10">
        <v>46119</v>
      </c>
      <c r="AL111" t="s">
        <v>905</v>
      </c>
      <c r="AM111" s="27" t="str">
        <f t="shared" si="50"/>
        <v>On time</v>
      </c>
      <c r="AN111" s="27" t="str">
        <f t="shared" ca="1" si="26"/>
        <v>Chegou</v>
      </c>
      <c r="AO111" s="27" t="str">
        <f t="shared" ca="1" si="27"/>
        <v>Chegou HCI</v>
      </c>
    </row>
    <row r="112" spans="1:42" hidden="1">
      <c r="A112">
        <v>511679</v>
      </c>
      <c r="B112">
        <v>3</v>
      </c>
      <c r="C112" t="s">
        <v>25</v>
      </c>
      <c r="D112" t="s">
        <v>348</v>
      </c>
      <c r="E112" s="23" t="s">
        <v>334</v>
      </c>
      <c r="F112" s="24">
        <v>15</v>
      </c>
      <c r="G112" s="25">
        <v>617.08000000000004</v>
      </c>
      <c r="H112" s="25">
        <f t="shared" si="38"/>
        <v>9256.2000000000007</v>
      </c>
      <c r="I112" s="26">
        <v>46230</v>
      </c>
      <c r="J112" s="10">
        <v>46078</v>
      </c>
      <c r="K112" s="10">
        <v>46079</v>
      </c>
      <c r="L112" s="27" t="str">
        <f t="shared" si="39"/>
        <v>On time</v>
      </c>
      <c r="M112" s="58">
        <v>46073</v>
      </c>
      <c r="N112" s="27" t="str">
        <f t="shared" si="37"/>
        <v>On time</v>
      </c>
      <c r="O112" s="27">
        <f t="shared" si="17"/>
        <v>-5</v>
      </c>
      <c r="P112" s="28" t="str">
        <f t="shared" si="28"/>
        <v>On time</v>
      </c>
      <c r="Q112" s="27">
        <f t="shared" si="18"/>
        <v>152</v>
      </c>
      <c r="R112" s="29" t="s">
        <v>374</v>
      </c>
      <c r="S112" s="12" t="s">
        <v>65</v>
      </c>
      <c r="T112" s="84"/>
      <c r="U112" t="s">
        <v>363</v>
      </c>
      <c r="V112" s="79"/>
      <c r="W112" s="70">
        <v>29.58</v>
      </c>
      <c r="X112" s="80"/>
      <c r="Y112" s="82"/>
      <c r="Z112" s="10">
        <v>46080</v>
      </c>
      <c r="AA112" s="10">
        <v>46099</v>
      </c>
      <c r="AB112" s="10">
        <v>46107</v>
      </c>
      <c r="AC112" s="10">
        <v>46129</v>
      </c>
      <c r="AD112" s="31">
        <f t="shared" ca="1" si="51"/>
        <v>36</v>
      </c>
      <c r="AE112" s="55">
        <v>1</v>
      </c>
      <c r="AF112" s="9" t="s">
        <v>155</v>
      </c>
      <c r="AG112" s="10" t="s">
        <v>78</v>
      </c>
      <c r="AH112" s="9" t="s">
        <v>78</v>
      </c>
      <c r="AI112" s="9" t="s">
        <v>57</v>
      </c>
      <c r="AJ112" s="10">
        <v>46118</v>
      </c>
      <c r="AK112" s="10">
        <v>46119</v>
      </c>
      <c r="AL112" t="s">
        <v>905</v>
      </c>
      <c r="AM112" s="27" t="str">
        <f t="shared" si="50"/>
        <v>On time</v>
      </c>
      <c r="AN112" s="27" t="str">
        <f t="shared" ca="1" si="26"/>
        <v>Chegou</v>
      </c>
      <c r="AO112" s="27" t="str">
        <f t="shared" ca="1" si="27"/>
        <v>Chegou HCI</v>
      </c>
    </row>
    <row r="113" spans="1:41" hidden="1">
      <c r="A113">
        <v>508900</v>
      </c>
      <c r="B113">
        <v>13</v>
      </c>
      <c r="C113" t="s">
        <v>25</v>
      </c>
      <c r="D113" t="s">
        <v>349</v>
      </c>
      <c r="E113" s="23" t="s">
        <v>335</v>
      </c>
      <c r="F113" s="24">
        <v>5</v>
      </c>
      <c r="G113" s="25">
        <v>376.27</v>
      </c>
      <c r="H113" s="25">
        <f t="shared" si="38"/>
        <v>1881.35</v>
      </c>
      <c r="I113" s="26">
        <v>46132</v>
      </c>
      <c r="J113" s="10">
        <v>46035</v>
      </c>
      <c r="K113" s="10">
        <v>46036</v>
      </c>
      <c r="L113" s="27" t="str">
        <f t="shared" si="39"/>
        <v>On time</v>
      </c>
      <c r="M113" s="58">
        <v>46073</v>
      </c>
      <c r="N113" s="27" t="str">
        <f t="shared" si="37"/>
        <v>Atrasado</v>
      </c>
      <c r="O113" s="27">
        <f t="shared" si="17"/>
        <v>38</v>
      </c>
      <c r="P113" s="28" t="str">
        <f t="shared" si="28"/>
        <v>On time</v>
      </c>
      <c r="Q113" s="27">
        <f t="shared" si="18"/>
        <v>97</v>
      </c>
      <c r="R113" s="29" t="s">
        <v>374</v>
      </c>
      <c r="S113" s="12" t="s">
        <v>65</v>
      </c>
      <c r="T113" s="35">
        <v>12</v>
      </c>
      <c r="U113" t="s">
        <v>364</v>
      </c>
      <c r="V113" s="27">
        <v>5</v>
      </c>
      <c r="W113" s="9">
        <v>14.87</v>
      </c>
      <c r="X113" s="9">
        <f t="shared" si="48"/>
        <v>74.349999999999994</v>
      </c>
      <c r="Y113">
        <v>0.1</v>
      </c>
      <c r="Z113" s="10">
        <v>46080</v>
      </c>
      <c r="AA113" s="10">
        <v>46099</v>
      </c>
      <c r="AB113" s="10">
        <v>46107</v>
      </c>
      <c r="AC113" s="10">
        <v>46129</v>
      </c>
      <c r="AD113" s="31">
        <f t="shared" ca="1" si="51"/>
        <v>36</v>
      </c>
      <c r="AE113" s="55">
        <v>1</v>
      </c>
      <c r="AF113" s="9" t="s">
        <v>155</v>
      </c>
      <c r="AG113" s="10" t="s">
        <v>78</v>
      </c>
      <c r="AH113" s="9" t="s">
        <v>78</v>
      </c>
      <c r="AI113" s="9" t="s">
        <v>57</v>
      </c>
      <c r="AJ113" s="10">
        <v>46118</v>
      </c>
      <c r="AK113" s="10">
        <v>46119</v>
      </c>
      <c r="AL113" t="s">
        <v>905</v>
      </c>
      <c r="AM113" s="27" t="str">
        <f t="shared" si="50"/>
        <v>On time</v>
      </c>
      <c r="AN113" s="27" t="str">
        <f t="shared" ca="1" si="26"/>
        <v>Chegou</v>
      </c>
      <c r="AO113" s="27" t="str">
        <f t="shared" ca="1" si="27"/>
        <v>Chegou HCI</v>
      </c>
    </row>
    <row r="114" spans="1:41" hidden="1">
      <c r="A114">
        <v>508900</v>
      </c>
      <c r="B114">
        <v>15</v>
      </c>
      <c r="C114" t="s">
        <v>25</v>
      </c>
      <c r="D114" t="s">
        <v>350</v>
      </c>
      <c r="E114" s="23" t="s">
        <v>336</v>
      </c>
      <c r="F114" s="24">
        <v>5</v>
      </c>
      <c r="G114" s="25">
        <v>309.79000000000002</v>
      </c>
      <c r="H114" s="25">
        <f t="shared" si="38"/>
        <v>1548.95</v>
      </c>
      <c r="I114" s="26">
        <v>46132</v>
      </c>
      <c r="J114" s="10">
        <v>46035</v>
      </c>
      <c r="K114" s="10">
        <v>46036</v>
      </c>
      <c r="L114" s="27" t="str">
        <f t="shared" si="39"/>
        <v>On time</v>
      </c>
      <c r="M114" s="58">
        <v>46073</v>
      </c>
      <c r="N114" s="27" t="str">
        <f t="shared" si="37"/>
        <v>Atrasado</v>
      </c>
      <c r="O114" s="27">
        <f t="shared" si="17"/>
        <v>38</v>
      </c>
      <c r="P114" s="28" t="str">
        <f t="shared" si="28"/>
        <v>On time</v>
      </c>
      <c r="Q114" s="27">
        <f t="shared" si="18"/>
        <v>97</v>
      </c>
      <c r="R114" s="29" t="s">
        <v>374</v>
      </c>
      <c r="S114" s="12" t="s">
        <v>65</v>
      </c>
      <c r="T114" s="35">
        <v>13</v>
      </c>
      <c r="U114" t="s">
        <v>365</v>
      </c>
      <c r="V114" s="27">
        <v>5</v>
      </c>
      <c r="W114" s="9">
        <v>14.87</v>
      </c>
      <c r="X114" s="9">
        <f t="shared" si="48"/>
        <v>74.349999999999994</v>
      </c>
      <c r="Y114">
        <v>0.1</v>
      </c>
      <c r="Z114" s="10">
        <v>46080</v>
      </c>
      <c r="AA114" s="10">
        <v>46099</v>
      </c>
      <c r="AB114" s="10">
        <v>46107</v>
      </c>
      <c r="AC114" s="10">
        <v>46129</v>
      </c>
      <c r="AD114" s="31">
        <f t="shared" ca="1" si="51"/>
        <v>36</v>
      </c>
      <c r="AE114" s="55">
        <v>1</v>
      </c>
      <c r="AF114" s="9" t="s">
        <v>155</v>
      </c>
      <c r="AG114" s="10" t="s">
        <v>78</v>
      </c>
      <c r="AH114" s="9" t="s">
        <v>78</v>
      </c>
      <c r="AI114" s="9" t="s">
        <v>57</v>
      </c>
      <c r="AJ114" s="10">
        <v>46118</v>
      </c>
      <c r="AK114" s="10">
        <v>46119</v>
      </c>
      <c r="AL114" t="s">
        <v>905</v>
      </c>
      <c r="AM114" s="27" t="str">
        <f t="shared" si="50"/>
        <v>On time</v>
      </c>
      <c r="AN114" s="27" t="str">
        <f t="shared" ca="1" si="26"/>
        <v>Chegou</v>
      </c>
      <c r="AO114" s="27" t="str">
        <f t="shared" ca="1" si="27"/>
        <v>Chegou HCI</v>
      </c>
    </row>
    <row r="115" spans="1:41" hidden="1">
      <c r="A115">
        <v>508900</v>
      </c>
      <c r="B115">
        <v>17</v>
      </c>
      <c r="C115" t="s">
        <v>25</v>
      </c>
      <c r="D115" t="s">
        <v>351</v>
      </c>
      <c r="E115" s="23" t="s">
        <v>337</v>
      </c>
      <c r="F115" s="24">
        <v>5</v>
      </c>
      <c r="G115" s="25">
        <v>348.54</v>
      </c>
      <c r="H115" s="25">
        <f t="shared" si="38"/>
        <v>1742.7</v>
      </c>
      <c r="I115" s="26">
        <v>46132</v>
      </c>
      <c r="J115" s="10">
        <v>46035</v>
      </c>
      <c r="K115" s="10">
        <v>46036</v>
      </c>
      <c r="L115" s="27" t="str">
        <f t="shared" si="39"/>
        <v>On time</v>
      </c>
      <c r="M115" s="58">
        <v>46073</v>
      </c>
      <c r="N115" s="27" t="str">
        <f t="shared" si="37"/>
        <v>Atrasado</v>
      </c>
      <c r="O115" s="27">
        <f t="shared" ref="O115:O178" si="52">M115-J115</f>
        <v>38</v>
      </c>
      <c r="P115" s="28" t="str">
        <f t="shared" si="28"/>
        <v>On time</v>
      </c>
      <c r="Q115" s="27">
        <f t="shared" ref="Q115:Q178" si="53">I115-J115</f>
        <v>97</v>
      </c>
      <c r="R115" s="29" t="s">
        <v>374</v>
      </c>
      <c r="S115" s="12" t="s">
        <v>65</v>
      </c>
      <c r="T115" s="35">
        <v>14</v>
      </c>
      <c r="U115" t="s">
        <v>366</v>
      </c>
      <c r="V115" s="27">
        <v>5</v>
      </c>
      <c r="W115" s="9">
        <v>16.73</v>
      </c>
      <c r="X115" s="9">
        <f t="shared" si="48"/>
        <v>83.65</v>
      </c>
      <c r="Y115">
        <v>0.12</v>
      </c>
      <c r="Z115" s="10">
        <v>46080</v>
      </c>
      <c r="AA115" s="10">
        <v>46099</v>
      </c>
      <c r="AB115" s="10">
        <v>46107</v>
      </c>
      <c r="AC115" s="10">
        <v>46129</v>
      </c>
      <c r="AD115" s="31">
        <f t="shared" ca="1" si="51"/>
        <v>36</v>
      </c>
      <c r="AE115" s="55">
        <v>1</v>
      </c>
      <c r="AF115" s="9" t="s">
        <v>155</v>
      </c>
      <c r="AG115" s="10" t="s">
        <v>78</v>
      </c>
      <c r="AH115" s="9" t="s">
        <v>78</v>
      </c>
      <c r="AI115" s="9" t="s">
        <v>57</v>
      </c>
      <c r="AJ115" s="10">
        <v>46118</v>
      </c>
      <c r="AK115" s="10">
        <v>46119</v>
      </c>
      <c r="AL115" t="s">
        <v>905</v>
      </c>
      <c r="AM115" s="27" t="str">
        <f t="shared" si="50"/>
        <v>On time</v>
      </c>
      <c r="AN115" s="27" t="str">
        <f t="shared" ca="1" si="26"/>
        <v>Chegou</v>
      </c>
      <c r="AO115" s="27" t="str">
        <f t="shared" ca="1" si="27"/>
        <v>Chegou HCI</v>
      </c>
    </row>
    <row r="116" spans="1:41" hidden="1">
      <c r="A116">
        <v>508900</v>
      </c>
      <c r="B116">
        <v>16</v>
      </c>
      <c r="C116" t="s">
        <v>25</v>
      </c>
      <c r="D116" t="s">
        <v>352</v>
      </c>
      <c r="E116" s="23" t="s">
        <v>338</v>
      </c>
      <c r="F116" s="24">
        <v>10</v>
      </c>
      <c r="G116" s="25">
        <v>387.3</v>
      </c>
      <c r="H116" s="25">
        <f t="shared" si="38"/>
        <v>3873</v>
      </c>
      <c r="I116" s="26">
        <v>46132</v>
      </c>
      <c r="J116" s="10">
        <v>46035</v>
      </c>
      <c r="K116" s="10">
        <v>46036</v>
      </c>
      <c r="L116" s="27" t="str">
        <f t="shared" si="39"/>
        <v>On time</v>
      </c>
      <c r="M116" s="58">
        <v>46073</v>
      </c>
      <c r="N116" s="27" t="str">
        <f t="shared" si="37"/>
        <v>Atrasado</v>
      </c>
      <c r="O116" s="27">
        <f t="shared" si="52"/>
        <v>38</v>
      </c>
      <c r="P116" s="28" t="str">
        <f t="shared" si="28"/>
        <v>On time</v>
      </c>
      <c r="Q116" s="27">
        <f t="shared" si="53"/>
        <v>97</v>
      </c>
      <c r="R116" s="29" t="s">
        <v>374</v>
      </c>
      <c r="S116" s="12" t="s">
        <v>65</v>
      </c>
      <c r="T116" s="35">
        <v>15</v>
      </c>
      <c r="U116" t="s">
        <v>367</v>
      </c>
      <c r="V116" s="27">
        <v>10</v>
      </c>
      <c r="W116" s="9">
        <v>18.59</v>
      </c>
      <c r="X116" s="9">
        <f t="shared" si="48"/>
        <v>185.9</v>
      </c>
      <c r="Y116">
        <v>0.15</v>
      </c>
      <c r="Z116" s="10">
        <v>46080</v>
      </c>
      <c r="AA116" s="10">
        <v>46099</v>
      </c>
      <c r="AB116" s="10">
        <v>46107</v>
      </c>
      <c r="AC116" s="10">
        <v>46129</v>
      </c>
      <c r="AD116" s="31">
        <f t="shared" ca="1" si="51"/>
        <v>36</v>
      </c>
      <c r="AE116" s="55">
        <v>1</v>
      </c>
      <c r="AF116" s="9" t="s">
        <v>155</v>
      </c>
      <c r="AG116" s="10" t="s">
        <v>78</v>
      </c>
      <c r="AH116" s="9" t="s">
        <v>78</v>
      </c>
      <c r="AI116" s="9" t="s">
        <v>57</v>
      </c>
      <c r="AJ116" s="10">
        <v>46118</v>
      </c>
      <c r="AK116" s="10">
        <v>46119</v>
      </c>
      <c r="AL116" t="s">
        <v>905</v>
      </c>
      <c r="AM116" s="27" t="str">
        <f t="shared" si="50"/>
        <v>On time</v>
      </c>
      <c r="AN116" s="27" t="str">
        <f t="shared" ca="1" si="26"/>
        <v>Chegou</v>
      </c>
      <c r="AO116" s="27" t="str">
        <f t="shared" ca="1" si="27"/>
        <v>Chegou HCI</v>
      </c>
    </row>
    <row r="117" spans="1:41" hidden="1">
      <c r="A117">
        <v>508662</v>
      </c>
      <c r="B117">
        <v>20</v>
      </c>
      <c r="C117" t="s">
        <v>25</v>
      </c>
      <c r="D117" t="s">
        <v>353</v>
      </c>
      <c r="E117" s="23" t="s">
        <v>339</v>
      </c>
      <c r="F117" s="24">
        <v>1</v>
      </c>
      <c r="G117" s="25">
        <v>32.29</v>
      </c>
      <c r="H117" s="25">
        <f t="shared" si="38"/>
        <v>32.29</v>
      </c>
      <c r="I117" s="26">
        <v>46125</v>
      </c>
      <c r="J117" s="10">
        <v>46030</v>
      </c>
      <c r="K117" s="10">
        <v>46031</v>
      </c>
      <c r="L117" s="27" t="str">
        <f t="shared" si="39"/>
        <v>On time</v>
      </c>
      <c r="M117" s="58">
        <v>46073</v>
      </c>
      <c r="N117" s="27" t="str">
        <f t="shared" si="37"/>
        <v>Atrasado</v>
      </c>
      <c r="O117" s="27">
        <f t="shared" si="52"/>
        <v>43</v>
      </c>
      <c r="P117" s="28" t="str">
        <f t="shared" si="28"/>
        <v>On time</v>
      </c>
      <c r="Q117" s="27">
        <f t="shared" si="53"/>
        <v>95</v>
      </c>
      <c r="R117" s="29" t="s">
        <v>374</v>
      </c>
      <c r="S117" s="12" t="s">
        <v>65</v>
      </c>
      <c r="T117" s="35">
        <v>16</v>
      </c>
      <c r="U117" t="s">
        <v>368</v>
      </c>
      <c r="V117" s="27">
        <v>1</v>
      </c>
      <c r="W117" s="9">
        <v>1.55</v>
      </c>
      <c r="X117" s="9">
        <f t="shared" si="48"/>
        <v>1.55</v>
      </c>
      <c r="Y117">
        <v>0.3</v>
      </c>
      <c r="Z117" s="10">
        <v>46080</v>
      </c>
      <c r="AA117" s="10">
        <v>46099</v>
      </c>
      <c r="AB117" s="10">
        <v>46107</v>
      </c>
      <c r="AC117" s="10">
        <v>46129</v>
      </c>
      <c r="AD117" s="31">
        <f t="shared" ca="1" si="51"/>
        <v>36</v>
      </c>
      <c r="AE117" s="55">
        <v>1</v>
      </c>
      <c r="AF117" s="9" t="s">
        <v>155</v>
      </c>
      <c r="AG117" s="10" t="s">
        <v>78</v>
      </c>
      <c r="AH117" s="9" t="s">
        <v>78</v>
      </c>
      <c r="AI117" s="9" t="s">
        <v>57</v>
      </c>
      <c r="AJ117" s="10">
        <v>46118</v>
      </c>
      <c r="AK117" s="10">
        <v>46119</v>
      </c>
      <c r="AL117" t="s">
        <v>905</v>
      </c>
      <c r="AM117" s="27" t="str">
        <f t="shared" si="50"/>
        <v>On time</v>
      </c>
      <c r="AN117" s="27" t="str">
        <f t="shared" ca="1" si="26"/>
        <v>Chegou</v>
      </c>
      <c r="AO117" s="27" t="str">
        <f t="shared" ca="1" si="27"/>
        <v>Chegou HCI</v>
      </c>
    </row>
    <row r="118" spans="1:41" hidden="1">
      <c r="A118">
        <v>508900</v>
      </c>
      <c r="B118">
        <v>18</v>
      </c>
      <c r="C118" t="s">
        <v>25</v>
      </c>
      <c r="D118" t="s">
        <v>354</v>
      </c>
      <c r="E118" s="23" t="s">
        <v>340</v>
      </c>
      <c r="F118" s="24">
        <v>10</v>
      </c>
      <c r="G118" s="25">
        <v>619.79</v>
      </c>
      <c r="H118" s="25">
        <f t="shared" si="38"/>
        <v>6197.9</v>
      </c>
      <c r="I118" s="26">
        <v>46132</v>
      </c>
      <c r="J118" s="10">
        <v>46035</v>
      </c>
      <c r="K118" s="10">
        <v>46036</v>
      </c>
      <c r="L118" s="27" t="str">
        <f t="shared" si="39"/>
        <v>On time</v>
      </c>
      <c r="M118" s="58">
        <v>46073</v>
      </c>
      <c r="N118" s="27" t="str">
        <f t="shared" si="37"/>
        <v>Atrasado</v>
      </c>
      <c r="O118" s="27">
        <f t="shared" si="52"/>
        <v>38</v>
      </c>
      <c r="P118" s="28" t="str">
        <f t="shared" si="28"/>
        <v>On time</v>
      </c>
      <c r="Q118" s="27">
        <f t="shared" si="53"/>
        <v>97</v>
      </c>
      <c r="R118" s="29" t="s">
        <v>374</v>
      </c>
      <c r="S118" s="12" t="s">
        <v>65</v>
      </c>
      <c r="T118" s="35">
        <v>18</v>
      </c>
      <c r="U118" t="s">
        <v>369</v>
      </c>
      <c r="V118" s="27">
        <v>10</v>
      </c>
      <c r="W118" s="9">
        <v>29.75</v>
      </c>
      <c r="X118" s="9">
        <f t="shared" si="48"/>
        <v>297.5</v>
      </c>
      <c r="Y118">
        <v>0.34</v>
      </c>
      <c r="Z118" s="10">
        <v>46080</v>
      </c>
      <c r="AA118" s="10">
        <v>46099</v>
      </c>
      <c r="AB118" s="10">
        <v>46107</v>
      </c>
      <c r="AC118" s="10">
        <v>46129</v>
      </c>
      <c r="AD118" s="31">
        <f t="shared" ca="1" si="51"/>
        <v>36</v>
      </c>
      <c r="AE118" s="55">
        <v>1</v>
      </c>
      <c r="AF118" s="9" t="s">
        <v>155</v>
      </c>
      <c r="AG118" s="10" t="s">
        <v>78</v>
      </c>
      <c r="AH118" s="9" t="s">
        <v>78</v>
      </c>
      <c r="AI118" s="9" t="s">
        <v>57</v>
      </c>
      <c r="AJ118" s="10">
        <v>46118</v>
      </c>
      <c r="AK118" s="10">
        <v>46119</v>
      </c>
      <c r="AL118" t="s">
        <v>905</v>
      </c>
      <c r="AM118" s="27" t="str">
        <f t="shared" si="50"/>
        <v>On time</v>
      </c>
      <c r="AN118" s="27" t="str">
        <f t="shared" ca="1" si="26"/>
        <v>Chegou</v>
      </c>
      <c r="AO118" s="27" t="str">
        <f t="shared" ca="1" si="27"/>
        <v>Chegou HCI</v>
      </c>
    </row>
    <row r="119" spans="1:41" hidden="1">
      <c r="A119">
        <v>508900</v>
      </c>
      <c r="B119">
        <v>21</v>
      </c>
      <c r="C119" t="s">
        <v>25</v>
      </c>
      <c r="D119" t="s">
        <v>355</v>
      </c>
      <c r="E119" s="23" t="s">
        <v>341</v>
      </c>
      <c r="F119" s="24">
        <v>10</v>
      </c>
      <c r="G119" s="25">
        <v>846.97</v>
      </c>
      <c r="H119" s="25">
        <f t="shared" si="38"/>
        <v>8469.7000000000007</v>
      </c>
      <c r="I119" s="26">
        <v>46132</v>
      </c>
      <c r="J119" s="10">
        <v>46035</v>
      </c>
      <c r="K119" s="10">
        <v>46036</v>
      </c>
      <c r="L119" s="27" t="str">
        <f t="shared" si="39"/>
        <v>On time</v>
      </c>
      <c r="M119" s="58">
        <v>46073</v>
      </c>
      <c r="N119" s="27" t="str">
        <f t="shared" si="37"/>
        <v>Atrasado</v>
      </c>
      <c r="O119" s="27">
        <f t="shared" si="52"/>
        <v>38</v>
      </c>
      <c r="P119" s="28" t="str">
        <f t="shared" si="28"/>
        <v>On time</v>
      </c>
      <c r="Q119" s="27">
        <f t="shared" si="53"/>
        <v>97</v>
      </c>
      <c r="R119" s="29" t="s">
        <v>374</v>
      </c>
      <c r="S119" s="12" t="s">
        <v>65</v>
      </c>
      <c r="T119" s="35">
        <v>19</v>
      </c>
      <c r="U119" t="s">
        <v>370</v>
      </c>
      <c r="V119" s="27">
        <v>10</v>
      </c>
      <c r="W119" s="9">
        <v>37.18</v>
      </c>
      <c r="X119" s="9">
        <f t="shared" si="48"/>
        <v>371.8</v>
      </c>
      <c r="Y119">
        <v>0.42</v>
      </c>
      <c r="Z119" s="10">
        <v>46080</v>
      </c>
      <c r="AA119" s="10">
        <v>46099</v>
      </c>
      <c r="AB119" s="10">
        <v>46107</v>
      </c>
      <c r="AC119" s="10">
        <v>46129</v>
      </c>
      <c r="AD119" s="31">
        <f t="shared" ca="1" si="51"/>
        <v>36</v>
      </c>
      <c r="AE119" s="55">
        <v>1</v>
      </c>
      <c r="AF119" s="9" t="s">
        <v>155</v>
      </c>
      <c r="AG119" s="10" t="s">
        <v>78</v>
      </c>
      <c r="AH119" s="9" t="s">
        <v>78</v>
      </c>
      <c r="AI119" s="9" t="s">
        <v>57</v>
      </c>
      <c r="AJ119" s="10">
        <v>46118</v>
      </c>
      <c r="AK119" s="10">
        <v>46119</v>
      </c>
      <c r="AL119" t="s">
        <v>905</v>
      </c>
      <c r="AM119" s="27" t="str">
        <f t="shared" si="50"/>
        <v>On time</v>
      </c>
      <c r="AN119" s="27" t="str">
        <f t="shared" ca="1" si="26"/>
        <v>Chegou</v>
      </c>
      <c r="AO119" s="27" t="str">
        <f t="shared" ca="1" si="27"/>
        <v>Chegou HCI</v>
      </c>
    </row>
    <row r="120" spans="1:41" hidden="1">
      <c r="A120">
        <v>508900</v>
      </c>
      <c r="B120">
        <v>19</v>
      </c>
      <c r="C120" t="s">
        <v>25</v>
      </c>
      <c r="D120" t="s">
        <v>356</v>
      </c>
      <c r="E120" s="23" t="s">
        <v>342</v>
      </c>
      <c r="F120" s="24">
        <v>4</v>
      </c>
      <c r="G120" s="25">
        <v>1045.83</v>
      </c>
      <c r="H120" s="25">
        <f t="shared" si="38"/>
        <v>4183.32</v>
      </c>
      <c r="I120" s="26">
        <v>46132</v>
      </c>
      <c r="J120" s="10">
        <v>46035</v>
      </c>
      <c r="K120" s="10">
        <v>46036</v>
      </c>
      <c r="L120" s="27" t="str">
        <f t="shared" si="39"/>
        <v>On time</v>
      </c>
      <c r="M120" s="58">
        <v>46073</v>
      </c>
      <c r="N120" s="27" t="str">
        <f t="shared" si="37"/>
        <v>Atrasado</v>
      </c>
      <c r="O120" s="27">
        <f t="shared" si="52"/>
        <v>38</v>
      </c>
      <c r="P120" s="28" t="str">
        <f t="shared" si="28"/>
        <v>On time</v>
      </c>
      <c r="Q120" s="27">
        <f t="shared" si="53"/>
        <v>97</v>
      </c>
      <c r="R120" s="29" t="s">
        <v>374</v>
      </c>
      <c r="S120" s="12" t="s">
        <v>65</v>
      </c>
      <c r="T120" s="35">
        <v>20</v>
      </c>
      <c r="U120" t="s">
        <v>371</v>
      </c>
      <c r="V120" s="27">
        <v>4</v>
      </c>
      <c r="W120" s="9">
        <v>50.2</v>
      </c>
      <c r="X120" s="9">
        <f t="shared" si="48"/>
        <v>200.8</v>
      </c>
      <c r="Y120">
        <v>0.5</v>
      </c>
      <c r="Z120" s="10">
        <v>46080</v>
      </c>
      <c r="AA120" s="10">
        <v>46099</v>
      </c>
      <c r="AB120" s="10">
        <v>46107</v>
      </c>
      <c r="AC120" s="10">
        <v>46129</v>
      </c>
      <c r="AD120" s="31">
        <f t="shared" ca="1" si="51"/>
        <v>36</v>
      </c>
      <c r="AE120" s="55">
        <v>1</v>
      </c>
      <c r="AF120" s="9" t="s">
        <v>155</v>
      </c>
      <c r="AG120" s="10" t="s">
        <v>78</v>
      </c>
      <c r="AH120" s="9" t="s">
        <v>78</v>
      </c>
      <c r="AI120" s="9" t="s">
        <v>57</v>
      </c>
      <c r="AJ120" s="10">
        <v>46118</v>
      </c>
      <c r="AK120" s="10">
        <v>46119</v>
      </c>
      <c r="AL120" t="s">
        <v>905</v>
      </c>
      <c r="AM120" s="27" t="str">
        <f t="shared" si="50"/>
        <v>On time</v>
      </c>
      <c r="AN120" s="27" t="str">
        <f t="shared" ca="1" si="26"/>
        <v>Chegou</v>
      </c>
      <c r="AO120" s="27" t="str">
        <f t="shared" ca="1" si="27"/>
        <v>Chegou HCI</v>
      </c>
    </row>
    <row r="121" spans="1:41" hidden="1">
      <c r="A121">
        <v>509012</v>
      </c>
      <c r="B121">
        <v>1</v>
      </c>
      <c r="C121" t="s">
        <v>25</v>
      </c>
      <c r="D121" t="s">
        <v>357</v>
      </c>
      <c r="E121" s="23" t="s">
        <v>343</v>
      </c>
      <c r="F121" s="24">
        <v>98</v>
      </c>
      <c r="G121" s="25">
        <v>246.17</v>
      </c>
      <c r="H121" s="25">
        <f t="shared" si="38"/>
        <v>24124.66</v>
      </c>
      <c r="I121" s="26">
        <v>46127</v>
      </c>
      <c r="J121" s="10">
        <v>46036</v>
      </c>
      <c r="K121" s="10">
        <v>46037</v>
      </c>
      <c r="L121" s="27" t="str">
        <f t="shared" si="39"/>
        <v>On time</v>
      </c>
      <c r="M121" s="58">
        <v>46073</v>
      </c>
      <c r="N121" s="27" t="str">
        <f t="shared" si="37"/>
        <v>Atrasado</v>
      </c>
      <c r="O121" s="27">
        <f t="shared" si="52"/>
        <v>37</v>
      </c>
      <c r="P121" s="28" t="str">
        <f t="shared" si="28"/>
        <v>On time</v>
      </c>
      <c r="Q121" s="27">
        <f t="shared" si="53"/>
        <v>91</v>
      </c>
      <c r="R121" s="29" t="s">
        <v>374</v>
      </c>
      <c r="S121" s="12" t="s">
        <v>65</v>
      </c>
      <c r="T121" s="35">
        <v>21</v>
      </c>
      <c r="U121" t="s">
        <v>372</v>
      </c>
      <c r="V121" s="27">
        <v>98</v>
      </c>
      <c r="W121" s="9">
        <v>11.8</v>
      </c>
      <c r="X121" s="9">
        <f t="shared" si="48"/>
        <v>1156.4000000000001</v>
      </c>
      <c r="Y121">
        <v>1.58</v>
      </c>
      <c r="Z121" s="10">
        <v>46080</v>
      </c>
      <c r="AA121" s="10">
        <v>46099</v>
      </c>
      <c r="AB121" s="10">
        <v>46107</v>
      </c>
      <c r="AC121" s="10">
        <v>46129</v>
      </c>
      <c r="AD121" s="31">
        <f t="shared" ca="1" si="51"/>
        <v>36</v>
      </c>
      <c r="AE121" s="55">
        <v>1</v>
      </c>
      <c r="AF121" s="9" t="s">
        <v>155</v>
      </c>
      <c r="AG121" s="10" t="s">
        <v>78</v>
      </c>
      <c r="AH121" s="9" t="s">
        <v>78</v>
      </c>
      <c r="AI121" s="9" t="s">
        <v>57</v>
      </c>
      <c r="AJ121" s="10">
        <v>46118</v>
      </c>
      <c r="AK121" s="10">
        <v>46119</v>
      </c>
      <c r="AL121" t="s">
        <v>905</v>
      </c>
      <c r="AM121" s="27" t="str">
        <f t="shared" ref="AM121:AM122" si="54">IF(AB121=0," ",IF(AB121&lt;=AA121+10,"On time","Atrasado"))</f>
        <v>On time</v>
      </c>
      <c r="AN121" s="27" t="str">
        <f t="shared" ca="1" si="26"/>
        <v>Chegou</v>
      </c>
      <c r="AO121" s="27" t="str">
        <f t="shared" ca="1" si="27"/>
        <v>Chegou HCI</v>
      </c>
    </row>
    <row r="122" spans="1:41" hidden="1">
      <c r="A122">
        <v>508654</v>
      </c>
      <c r="B122">
        <v>1</v>
      </c>
      <c r="C122" t="s">
        <v>25</v>
      </c>
      <c r="D122" t="s">
        <v>358</v>
      </c>
      <c r="E122" s="23" t="s">
        <v>344</v>
      </c>
      <c r="F122" s="24">
        <v>7</v>
      </c>
      <c r="G122" s="25">
        <v>692.45</v>
      </c>
      <c r="H122" s="25">
        <f t="shared" si="38"/>
        <v>4847.1500000000005</v>
      </c>
      <c r="I122" s="26">
        <v>46125</v>
      </c>
      <c r="J122" s="10">
        <v>46030</v>
      </c>
      <c r="K122" s="10">
        <v>46031</v>
      </c>
      <c r="L122" s="27" t="str">
        <f t="shared" si="39"/>
        <v>On time</v>
      </c>
      <c r="M122" s="58">
        <v>46073</v>
      </c>
      <c r="N122" s="27" t="str">
        <f t="shared" si="37"/>
        <v>Atrasado</v>
      </c>
      <c r="O122" s="27">
        <f t="shared" si="52"/>
        <v>43</v>
      </c>
      <c r="P122" s="28" t="str">
        <f t="shared" si="28"/>
        <v>On time</v>
      </c>
      <c r="Q122" s="27">
        <f t="shared" si="53"/>
        <v>95</v>
      </c>
      <c r="R122" s="29" t="s">
        <v>374</v>
      </c>
      <c r="S122" s="12" t="s">
        <v>65</v>
      </c>
      <c r="T122" s="35">
        <v>22</v>
      </c>
      <c r="U122" t="s">
        <v>373</v>
      </c>
      <c r="V122" s="27">
        <v>7</v>
      </c>
      <c r="W122" s="9">
        <v>26.59</v>
      </c>
      <c r="X122" s="9">
        <f t="shared" si="48"/>
        <v>186.13</v>
      </c>
      <c r="Y122">
        <v>3.09</v>
      </c>
      <c r="Z122" s="10">
        <v>46080</v>
      </c>
      <c r="AA122" s="10">
        <v>46099</v>
      </c>
      <c r="AB122" s="10">
        <v>46107</v>
      </c>
      <c r="AC122" s="10">
        <v>46129</v>
      </c>
      <c r="AD122" s="31">
        <f t="shared" ca="1" si="51"/>
        <v>36</v>
      </c>
      <c r="AE122" s="55">
        <v>1</v>
      </c>
      <c r="AF122" s="9" t="s">
        <v>155</v>
      </c>
      <c r="AG122" s="10" t="s">
        <v>78</v>
      </c>
      <c r="AH122" s="9" t="s">
        <v>78</v>
      </c>
      <c r="AI122" s="9" t="s">
        <v>57</v>
      </c>
      <c r="AJ122" s="10">
        <v>46118</v>
      </c>
      <c r="AK122" s="10">
        <v>46119</v>
      </c>
      <c r="AL122" t="s">
        <v>905</v>
      </c>
      <c r="AM122" s="27" t="str">
        <f t="shared" si="54"/>
        <v>On time</v>
      </c>
      <c r="AN122" s="27" t="str">
        <f t="shared" ca="1" si="26"/>
        <v>Chegou</v>
      </c>
      <c r="AO122" s="27" t="str">
        <f t="shared" ca="1" si="27"/>
        <v>Chegou HCI</v>
      </c>
    </row>
    <row r="123" spans="1:41" hidden="1">
      <c r="A123">
        <v>513287</v>
      </c>
      <c r="B123">
        <v>1</v>
      </c>
      <c r="C123" t="s">
        <v>25</v>
      </c>
      <c r="D123" t="s">
        <v>376</v>
      </c>
      <c r="E123" s="23" t="s">
        <v>902</v>
      </c>
      <c r="F123" s="24">
        <v>14</v>
      </c>
      <c r="G123" s="25">
        <v>13.47</v>
      </c>
      <c r="H123" s="25">
        <f t="shared" si="38"/>
        <v>188.58</v>
      </c>
      <c r="I123" s="26">
        <v>46251</v>
      </c>
      <c r="J123" s="10">
        <v>46100</v>
      </c>
      <c r="K123" s="10">
        <v>46100</v>
      </c>
      <c r="L123" s="27" t="str">
        <f t="shared" si="39"/>
        <v>On time</v>
      </c>
      <c r="M123" s="58">
        <v>46085</v>
      </c>
      <c r="N123" s="27" t="str">
        <f t="shared" si="37"/>
        <v>On time</v>
      </c>
      <c r="O123" s="27">
        <f t="shared" si="52"/>
        <v>-15</v>
      </c>
      <c r="P123" s="28" t="str">
        <f t="shared" si="28"/>
        <v>On time</v>
      </c>
      <c r="Q123" s="27">
        <f t="shared" si="53"/>
        <v>151</v>
      </c>
      <c r="R123" s="29" t="s">
        <v>428</v>
      </c>
      <c r="S123" s="12" t="s">
        <v>65</v>
      </c>
      <c r="T123" s="35">
        <v>1</v>
      </c>
      <c r="U123" t="s">
        <v>376</v>
      </c>
      <c r="V123" s="27">
        <v>30</v>
      </c>
      <c r="W123" s="9">
        <v>0.95</v>
      </c>
      <c r="X123" s="9">
        <f t="shared" si="48"/>
        <v>28.5</v>
      </c>
      <c r="Y123" s="20">
        <v>0.12</v>
      </c>
      <c r="Z123" s="10">
        <v>46087</v>
      </c>
      <c r="AA123" s="10">
        <v>46106</v>
      </c>
      <c r="AB123" s="10">
        <v>46122</v>
      </c>
      <c r="AC123" s="10">
        <v>46189</v>
      </c>
      <c r="AD123" s="31">
        <f t="shared" ca="1" si="51"/>
        <v>29</v>
      </c>
      <c r="AE123" s="55" t="s">
        <v>247</v>
      </c>
      <c r="AF123" s="63" t="s">
        <v>155</v>
      </c>
      <c r="AG123" s="10" t="s">
        <v>78</v>
      </c>
      <c r="AH123" s="10" t="s">
        <v>78</v>
      </c>
      <c r="AI123" s="9" t="s">
        <v>53</v>
      </c>
      <c r="AJ123" s="10">
        <v>46133</v>
      </c>
      <c r="AK123" s="10">
        <v>46174</v>
      </c>
      <c r="AL123" t="s">
        <v>2028</v>
      </c>
      <c r="AM123" s="27" t="str">
        <f t="shared" ref="AM123" si="55">IF(AB123=0," ",IF(AB123&lt;=AA123+10,"On time","Atrasado"))</f>
        <v>Atrasado</v>
      </c>
      <c r="AN123" s="27" t="str">
        <f t="shared" ca="1" si="26"/>
        <v>No prazo</v>
      </c>
      <c r="AO123" s="27" t="str">
        <f t="shared" ca="1" si="27"/>
        <v>Embarcado</v>
      </c>
    </row>
    <row r="124" spans="1:41" hidden="1">
      <c r="A124">
        <v>510438</v>
      </c>
      <c r="B124">
        <v>1</v>
      </c>
      <c r="C124" t="s">
        <v>25</v>
      </c>
      <c r="D124" t="s">
        <v>429</v>
      </c>
      <c r="E124" s="23" t="s">
        <v>430</v>
      </c>
      <c r="F124" s="24">
        <v>8</v>
      </c>
      <c r="G124" s="62">
        <v>28.56</v>
      </c>
      <c r="H124" s="25">
        <f t="shared" si="38"/>
        <v>228.48</v>
      </c>
      <c r="I124" s="26">
        <v>46209</v>
      </c>
      <c r="J124" s="10">
        <v>46058</v>
      </c>
      <c r="K124" s="10">
        <v>46058</v>
      </c>
      <c r="L124" s="27" t="str">
        <f t="shared" si="39"/>
        <v>On time</v>
      </c>
      <c r="M124" s="58">
        <v>46085</v>
      </c>
      <c r="N124" s="27" t="str">
        <f t="shared" si="37"/>
        <v>Atrasado</v>
      </c>
      <c r="O124" s="27">
        <f t="shared" si="52"/>
        <v>27</v>
      </c>
      <c r="P124" s="28" t="str">
        <f t="shared" si="28"/>
        <v>On time</v>
      </c>
      <c r="Q124" s="27">
        <f t="shared" si="53"/>
        <v>151</v>
      </c>
      <c r="R124" s="29" t="s">
        <v>428</v>
      </c>
      <c r="S124" s="12" t="s">
        <v>65</v>
      </c>
      <c r="T124" s="35">
        <v>2</v>
      </c>
      <c r="U124" t="s">
        <v>377</v>
      </c>
      <c r="V124" s="27">
        <v>20</v>
      </c>
      <c r="W124" s="9">
        <v>1.75</v>
      </c>
      <c r="X124" s="9">
        <f t="shared" si="48"/>
        <v>35</v>
      </c>
      <c r="Y124" s="20">
        <v>0.2</v>
      </c>
      <c r="Z124" s="10">
        <v>46087</v>
      </c>
      <c r="AA124" s="10">
        <v>46106</v>
      </c>
      <c r="AB124" s="10">
        <v>46122</v>
      </c>
      <c r="AC124" s="10">
        <v>46189</v>
      </c>
      <c r="AD124" s="31">
        <f t="shared" ref="AD124:AD187" ca="1" si="56">TODAY()-AA124</f>
        <v>29</v>
      </c>
      <c r="AE124" s="55" t="s">
        <v>247</v>
      </c>
      <c r="AF124" s="63" t="s">
        <v>155</v>
      </c>
      <c r="AG124" s="10" t="s">
        <v>78</v>
      </c>
      <c r="AH124" s="10" t="s">
        <v>78</v>
      </c>
      <c r="AI124" s="9" t="s">
        <v>53</v>
      </c>
      <c r="AJ124" s="10">
        <v>46133</v>
      </c>
      <c r="AK124" s="10">
        <v>46174</v>
      </c>
      <c r="AL124" t="s">
        <v>2028</v>
      </c>
      <c r="AM124" s="27" t="str">
        <f t="shared" ref="AM124:AM187" si="57">IF(AB124=0," ",IF(AB124&lt;=AA124+10,"On time","Atrasado"))</f>
        <v>Atrasado</v>
      </c>
      <c r="AN124" s="27" t="str">
        <f t="shared" ref="AN124:AN187" ca="1" si="58">IF(AND(AC124&lt;&gt;"",AC124&lt;=TODAY()),"Chegou",IF(A124="","Estoque",IF(OR(AC124="",I124=""),"",IF(I124-AC124&lt;=0,"Atrasado",IF(I124-AC124&lt;=9,"Crítico",IF(I124-AC124&lt;=20,"Verificar aéreo",IF(I124-AC124&lt;=25,"Alerta","No prazo")        ))))))</f>
        <v>Verificar aéreo</v>
      </c>
      <c r="AO124" s="27" t="str">
        <f t="shared" ca="1" si="27"/>
        <v>Embarcado</v>
      </c>
    </row>
    <row r="125" spans="1:41" hidden="1">
      <c r="D125" t="s">
        <v>378</v>
      </c>
      <c r="E125" s="23" t="s">
        <v>1341</v>
      </c>
      <c r="F125" s="24"/>
      <c r="G125" s="62"/>
      <c r="I125" s="26"/>
      <c r="J125" s="10"/>
      <c r="K125" s="10"/>
      <c r="L125" s="27" t="str">
        <f t="shared" si="39"/>
        <v xml:space="preserve"> </v>
      </c>
      <c r="M125" s="58"/>
      <c r="N125" s="27" t="str">
        <f t="shared" si="37"/>
        <v xml:space="preserve"> </v>
      </c>
      <c r="O125" s="27">
        <f t="shared" si="52"/>
        <v>0</v>
      </c>
      <c r="P125" s="28" t="str">
        <f t="shared" si="28"/>
        <v>On time</v>
      </c>
      <c r="Q125" s="27">
        <f t="shared" si="53"/>
        <v>0</v>
      </c>
      <c r="R125" s="29" t="s">
        <v>428</v>
      </c>
      <c r="S125" s="12" t="s">
        <v>65</v>
      </c>
      <c r="T125" s="35">
        <v>3</v>
      </c>
      <c r="U125" t="s">
        <v>378</v>
      </c>
      <c r="V125" s="27">
        <v>10</v>
      </c>
      <c r="W125" s="9">
        <v>45.73</v>
      </c>
      <c r="X125" s="9">
        <f t="shared" si="48"/>
        <v>457.29999999999995</v>
      </c>
      <c r="Y125" s="20">
        <v>3.93</v>
      </c>
      <c r="Z125" s="10">
        <v>46087</v>
      </c>
      <c r="AA125" s="10">
        <v>46106</v>
      </c>
      <c r="AB125" s="10">
        <v>46122</v>
      </c>
      <c r="AC125" s="10">
        <v>46189</v>
      </c>
      <c r="AD125" s="31">
        <f t="shared" ca="1" si="56"/>
        <v>29</v>
      </c>
      <c r="AE125" s="55" t="s">
        <v>247</v>
      </c>
      <c r="AF125" s="63" t="s">
        <v>155</v>
      </c>
      <c r="AG125" s="10" t="s">
        <v>78</v>
      </c>
      <c r="AH125" s="10" t="s">
        <v>78</v>
      </c>
      <c r="AI125" s="9" t="s">
        <v>53</v>
      </c>
      <c r="AJ125" s="10">
        <v>46133</v>
      </c>
      <c r="AK125" s="10">
        <v>46174</v>
      </c>
      <c r="AL125" t="s">
        <v>2028</v>
      </c>
      <c r="AM125" s="27" t="str">
        <f t="shared" si="57"/>
        <v>Atrasado</v>
      </c>
      <c r="AN125" s="27" t="str">
        <f t="shared" ca="1" si="58"/>
        <v>Estoque</v>
      </c>
      <c r="AO125" s="27" t="str">
        <f t="shared" ca="1" si="27"/>
        <v>Embarcado</v>
      </c>
    </row>
    <row r="126" spans="1:41" hidden="1">
      <c r="A126">
        <v>510432</v>
      </c>
      <c r="B126">
        <v>2</v>
      </c>
      <c r="C126" t="s">
        <v>25</v>
      </c>
      <c r="D126" t="s">
        <v>431</v>
      </c>
      <c r="E126" s="23" t="s">
        <v>432</v>
      </c>
      <c r="F126" s="24">
        <v>2</v>
      </c>
      <c r="G126" s="25">
        <v>11.52</v>
      </c>
      <c r="H126" s="25">
        <f t="shared" si="38"/>
        <v>23.04</v>
      </c>
      <c r="I126" s="26">
        <v>46209</v>
      </c>
      <c r="J126" s="10">
        <v>46058</v>
      </c>
      <c r="K126" s="10">
        <v>46058</v>
      </c>
      <c r="L126" s="27" t="str">
        <f t="shared" si="39"/>
        <v>On time</v>
      </c>
      <c r="M126" s="58">
        <v>46085</v>
      </c>
      <c r="N126" s="27" t="str">
        <f t="shared" si="37"/>
        <v>Atrasado</v>
      </c>
      <c r="O126" s="27">
        <f t="shared" si="52"/>
        <v>27</v>
      </c>
      <c r="P126" s="28" t="str">
        <f t="shared" si="28"/>
        <v>On time</v>
      </c>
      <c r="Q126" s="27">
        <f t="shared" si="53"/>
        <v>151</v>
      </c>
      <c r="R126" s="29" t="s">
        <v>428</v>
      </c>
      <c r="S126" s="12" t="s">
        <v>65</v>
      </c>
      <c r="T126" s="35">
        <v>4</v>
      </c>
      <c r="U126" t="s">
        <v>379</v>
      </c>
      <c r="V126" s="27">
        <v>20</v>
      </c>
      <c r="W126" s="9">
        <v>0.38</v>
      </c>
      <c r="X126" s="9">
        <f t="shared" si="48"/>
        <v>7.6</v>
      </c>
      <c r="Y126" s="20">
        <v>0.1</v>
      </c>
      <c r="Z126" s="10">
        <v>46087</v>
      </c>
      <c r="AA126" s="10">
        <v>46106</v>
      </c>
      <c r="AB126" s="10">
        <v>46122</v>
      </c>
      <c r="AC126" s="10">
        <v>46189</v>
      </c>
      <c r="AD126" s="31">
        <f t="shared" ca="1" si="56"/>
        <v>29</v>
      </c>
      <c r="AE126" s="55" t="s">
        <v>247</v>
      </c>
      <c r="AF126" s="63" t="s">
        <v>155</v>
      </c>
      <c r="AG126" s="10" t="s">
        <v>78</v>
      </c>
      <c r="AH126" s="10" t="s">
        <v>78</v>
      </c>
      <c r="AI126" s="9" t="s">
        <v>53</v>
      </c>
      <c r="AJ126" s="10">
        <v>46133</v>
      </c>
      <c r="AK126" s="10">
        <v>46174</v>
      </c>
      <c r="AL126" t="s">
        <v>2028</v>
      </c>
      <c r="AM126" s="27" t="str">
        <f t="shared" si="57"/>
        <v>Atrasado</v>
      </c>
      <c r="AN126" s="27" t="str">
        <f t="shared" ca="1" si="58"/>
        <v>Verificar aéreo</v>
      </c>
      <c r="AO126" s="27" t="str">
        <f t="shared" ca="1" si="27"/>
        <v>Embarcado</v>
      </c>
    </row>
    <row r="127" spans="1:41" hidden="1">
      <c r="A127">
        <v>510386</v>
      </c>
      <c r="B127">
        <v>1</v>
      </c>
      <c r="C127" t="s">
        <v>25</v>
      </c>
      <c r="D127" t="s">
        <v>433</v>
      </c>
      <c r="E127" s="23" t="s">
        <v>434</v>
      </c>
      <c r="F127" s="24">
        <v>66</v>
      </c>
      <c r="G127" s="25">
        <v>15.37</v>
      </c>
      <c r="H127" s="25">
        <f t="shared" si="38"/>
        <v>1014.42</v>
      </c>
      <c r="I127" s="26">
        <v>46209</v>
      </c>
      <c r="J127" s="10">
        <v>46058</v>
      </c>
      <c r="K127" s="10">
        <v>46058</v>
      </c>
      <c r="L127" s="27" t="str">
        <f t="shared" si="39"/>
        <v>On time</v>
      </c>
      <c r="M127" s="58">
        <v>46085</v>
      </c>
      <c r="N127" s="27" t="str">
        <f t="shared" si="37"/>
        <v>Atrasado</v>
      </c>
      <c r="O127" s="27">
        <f t="shared" si="52"/>
        <v>27</v>
      </c>
      <c r="P127" s="28" t="str">
        <f t="shared" si="28"/>
        <v>On time</v>
      </c>
      <c r="Q127" s="27">
        <f t="shared" si="53"/>
        <v>151</v>
      </c>
      <c r="R127" s="29" t="s">
        <v>428</v>
      </c>
      <c r="S127" s="12" t="s">
        <v>65</v>
      </c>
      <c r="T127" s="35">
        <v>5</v>
      </c>
      <c r="U127" t="s">
        <v>380</v>
      </c>
      <c r="V127" s="27">
        <v>100</v>
      </c>
      <c r="W127" s="9">
        <v>0.83</v>
      </c>
      <c r="X127" s="9">
        <f t="shared" si="48"/>
        <v>83</v>
      </c>
      <c r="Y127" s="20">
        <v>0.13</v>
      </c>
      <c r="Z127" s="10">
        <v>46087</v>
      </c>
      <c r="AA127" s="10">
        <v>46106</v>
      </c>
      <c r="AB127" s="10">
        <v>46122</v>
      </c>
      <c r="AC127" s="10">
        <v>46189</v>
      </c>
      <c r="AD127" s="31">
        <f t="shared" ca="1" si="56"/>
        <v>29</v>
      </c>
      <c r="AE127" s="55" t="s">
        <v>247</v>
      </c>
      <c r="AF127" s="63" t="s">
        <v>155</v>
      </c>
      <c r="AG127" s="10" t="s">
        <v>78</v>
      </c>
      <c r="AH127" s="10" t="s">
        <v>78</v>
      </c>
      <c r="AI127" s="9" t="s">
        <v>53</v>
      </c>
      <c r="AJ127" s="10">
        <v>46133</v>
      </c>
      <c r="AK127" s="10">
        <v>46174</v>
      </c>
      <c r="AL127" t="s">
        <v>2028</v>
      </c>
      <c r="AM127" s="27" t="str">
        <f t="shared" si="57"/>
        <v>Atrasado</v>
      </c>
      <c r="AN127" s="27" t="str">
        <f t="shared" ca="1" si="58"/>
        <v>Verificar aéreo</v>
      </c>
      <c r="AO127" s="27" t="str">
        <f t="shared" ca="1" si="27"/>
        <v>Embarcado</v>
      </c>
    </row>
    <row r="128" spans="1:41" hidden="1">
      <c r="A128">
        <v>510406</v>
      </c>
      <c r="B128">
        <v>1</v>
      </c>
      <c r="C128" t="s">
        <v>25</v>
      </c>
      <c r="D128" t="s">
        <v>435</v>
      </c>
      <c r="E128" s="23" t="s">
        <v>436</v>
      </c>
      <c r="F128" s="24">
        <v>4</v>
      </c>
      <c r="G128" s="25">
        <v>293.93</v>
      </c>
      <c r="H128" s="25">
        <f t="shared" si="38"/>
        <v>1175.72</v>
      </c>
      <c r="I128" s="26">
        <v>46209</v>
      </c>
      <c r="J128" s="10">
        <v>46058</v>
      </c>
      <c r="K128" s="10">
        <v>46058</v>
      </c>
      <c r="L128" s="27" t="str">
        <f t="shared" si="39"/>
        <v>On time</v>
      </c>
      <c r="M128" s="58">
        <v>46085</v>
      </c>
      <c r="N128" s="27" t="str">
        <f t="shared" si="37"/>
        <v>Atrasado</v>
      </c>
      <c r="O128" s="27">
        <f t="shared" si="52"/>
        <v>27</v>
      </c>
      <c r="P128" s="28" t="str">
        <f t="shared" si="28"/>
        <v>On time</v>
      </c>
      <c r="Q128" s="27">
        <f t="shared" si="53"/>
        <v>151</v>
      </c>
      <c r="R128" s="29" t="s">
        <v>428</v>
      </c>
      <c r="S128" s="12" t="s">
        <v>65</v>
      </c>
      <c r="T128" s="35">
        <v>6</v>
      </c>
      <c r="U128" t="s">
        <v>381</v>
      </c>
      <c r="V128" s="27">
        <v>10</v>
      </c>
      <c r="W128" s="9">
        <v>13.4</v>
      </c>
      <c r="X128" s="9">
        <f t="shared" si="48"/>
        <v>134</v>
      </c>
      <c r="Y128" s="20">
        <v>14.43</v>
      </c>
      <c r="Z128" s="10">
        <v>46087</v>
      </c>
      <c r="AA128" s="10">
        <v>46106</v>
      </c>
      <c r="AB128" s="10">
        <v>46122</v>
      </c>
      <c r="AC128" s="10">
        <v>46189</v>
      </c>
      <c r="AD128" s="31">
        <f t="shared" ca="1" si="56"/>
        <v>29</v>
      </c>
      <c r="AE128" s="55" t="s">
        <v>247</v>
      </c>
      <c r="AF128" s="63" t="s">
        <v>155</v>
      </c>
      <c r="AG128" s="10" t="s">
        <v>78</v>
      </c>
      <c r="AH128" s="10" t="s">
        <v>78</v>
      </c>
      <c r="AI128" s="9" t="s">
        <v>53</v>
      </c>
      <c r="AJ128" s="10">
        <v>46133</v>
      </c>
      <c r="AK128" s="10">
        <v>46174</v>
      </c>
      <c r="AL128" t="s">
        <v>2028</v>
      </c>
      <c r="AM128" s="27" t="str">
        <f t="shared" si="57"/>
        <v>Atrasado</v>
      </c>
      <c r="AN128" s="27" t="str">
        <f t="shared" ca="1" si="58"/>
        <v>Verificar aéreo</v>
      </c>
      <c r="AO128" s="27" t="str">
        <f t="shared" ca="1" si="27"/>
        <v>Embarcado</v>
      </c>
    </row>
    <row r="129" spans="1:41" hidden="1">
      <c r="A129">
        <v>510378</v>
      </c>
      <c r="B129">
        <v>1</v>
      </c>
      <c r="C129" t="s">
        <v>25</v>
      </c>
      <c r="D129" t="s">
        <v>437</v>
      </c>
      <c r="E129" s="23" t="s">
        <v>438</v>
      </c>
      <c r="F129" s="24">
        <v>6</v>
      </c>
      <c r="G129" s="25">
        <v>72.39</v>
      </c>
      <c r="H129" s="25">
        <f t="shared" si="38"/>
        <v>434.34000000000003</v>
      </c>
      <c r="I129" s="26">
        <v>46209</v>
      </c>
      <c r="J129" s="10">
        <v>46058</v>
      </c>
      <c r="K129" s="10">
        <v>46058</v>
      </c>
      <c r="L129" s="27" t="str">
        <f t="shared" si="39"/>
        <v>On time</v>
      </c>
      <c r="M129" s="58">
        <v>46085</v>
      </c>
      <c r="N129" s="27" t="str">
        <f t="shared" si="37"/>
        <v>Atrasado</v>
      </c>
      <c r="O129" s="27">
        <f t="shared" si="52"/>
        <v>27</v>
      </c>
      <c r="P129" s="28" t="str">
        <f t="shared" si="28"/>
        <v>On time</v>
      </c>
      <c r="Q129" s="27">
        <f t="shared" si="53"/>
        <v>151</v>
      </c>
      <c r="R129" s="29" t="s">
        <v>428</v>
      </c>
      <c r="S129" s="12" t="s">
        <v>65</v>
      </c>
      <c r="T129" s="84">
        <v>7</v>
      </c>
      <c r="U129" s="85" t="s">
        <v>382</v>
      </c>
      <c r="V129" s="79">
        <v>20</v>
      </c>
      <c r="W129" s="70">
        <v>3.47</v>
      </c>
      <c r="X129" s="80">
        <f t="shared" si="48"/>
        <v>69.400000000000006</v>
      </c>
      <c r="Y129" s="97">
        <v>0.62</v>
      </c>
      <c r="Z129" s="10">
        <v>46087</v>
      </c>
      <c r="AA129" s="10">
        <v>46106</v>
      </c>
      <c r="AB129" s="10">
        <v>46122</v>
      </c>
      <c r="AC129" s="10">
        <v>46189</v>
      </c>
      <c r="AD129" s="31">
        <f t="shared" ca="1" si="56"/>
        <v>29</v>
      </c>
      <c r="AE129" s="55" t="s">
        <v>247</v>
      </c>
      <c r="AF129" s="63" t="s">
        <v>155</v>
      </c>
      <c r="AG129" s="10" t="s">
        <v>78</v>
      </c>
      <c r="AH129" s="10" t="s">
        <v>78</v>
      </c>
      <c r="AI129" s="9" t="s">
        <v>53</v>
      </c>
      <c r="AJ129" s="10">
        <v>46133</v>
      </c>
      <c r="AK129" s="10">
        <v>46174</v>
      </c>
      <c r="AL129" t="s">
        <v>2028</v>
      </c>
      <c r="AM129" s="27" t="str">
        <f t="shared" si="57"/>
        <v>Atrasado</v>
      </c>
      <c r="AN129" s="27" t="str">
        <f t="shared" ca="1" si="58"/>
        <v>Verificar aéreo</v>
      </c>
      <c r="AO129" s="27" t="str">
        <f t="shared" ca="1" si="27"/>
        <v>Embarcado</v>
      </c>
    </row>
    <row r="130" spans="1:41" hidden="1">
      <c r="A130">
        <v>512171</v>
      </c>
      <c r="B130">
        <v>18</v>
      </c>
      <c r="C130" t="s">
        <v>25</v>
      </c>
      <c r="D130" t="s">
        <v>437</v>
      </c>
      <c r="E130" s="23" t="s">
        <v>438</v>
      </c>
      <c r="F130" s="24">
        <v>2</v>
      </c>
      <c r="G130" s="25">
        <v>72.39</v>
      </c>
      <c r="H130" s="25">
        <f t="shared" si="38"/>
        <v>144.78</v>
      </c>
      <c r="I130" s="26">
        <v>46237</v>
      </c>
      <c r="J130" s="10">
        <v>46084</v>
      </c>
      <c r="K130" s="10">
        <v>46085</v>
      </c>
      <c r="L130" s="27" t="str">
        <f t="shared" si="39"/>
        <v>On time</v>
      </c>
      <c r="M130" s="58">
        <v>46085</v>
      </c>
      <c r="N130" s="27" t="str">
        <f t="shared" si="37"/>
        <v>On time</v>
      </c>
      <c r="O130" s="27">
        <f t="shared" si="52"/>
        <v>1</v>
      </c>
      <c r="P130" s="28" t="str">
        <f t="shared" si="28"/>
        <v>On time</v>
      </c>
      <c r="Q130" s="27">
        <f t="shared" si="53"/>
        <v>153</v>
      </c>
      <c r="R130" s="29" t="s">
        <v>428</v>
      </c>
      <c r="S130" s="12" t="s">
        <v>65</v>
      </c>
      <c r="T130" s="84"/>
      <c r="U130" s="85"/>
      <c r="V130" s="79"/>
      <c r="W130" s="70">
        <v>3.47</v>
      </c>
      <c r="X130" s="80"/>
      <c r="Y130" s="97"/>
      <c r="Z130" s="10">
        <v>46087</v>
      </c>
      <c r="AA130" s="10">
        <v>46106</v>
      </c>
      <c r="AB130" s="10">
        <v>46122</v>
      </c>
      <c r="AC130" s="10">
        <v>46189</v>
      </c>
      <c r="AD130" s="31">
        <f t="shared" ca="1" si="56"/>
        <v>29</v>
      </c>
      <c r="AE130" s="55" t="s">
        <v>247</v>
      </c>
      <c r="AF130" s="63" t="s">
        <v>155</v>
      </c>
      <c r="AG130" s="10" t="s">
        <v>78</v>
      </c>
      <c r="AH130" s="10" t="s">
        <v>78</v>
      </c>
      <c r="AI130" s="9" t="s">
        <v>53</v>
      </c>
      <c r="AJ130" s="10">
        <v>46133</v>
      </c>
      <c r="AK130" s="10">
        <v>46174</v>
      </c>
      <c r="AL130" t="s">
        <v>2028</v>
      </c>
      <c r="AM130" s="27" t="str">
        <f t="shared" si="57"/>
        <v>Atrasado</v>
      </c>
      <c r="AN130" s="27" t="str">
        <f t="shared" ca="1" si="58"/>
        <v>No prazo</v>
      </c>
      <c r="AO130" s="27" t="str">
        <f t="shared" ca="1" si="27"/>
        <v>Embarcado</v>
      </c>
    </row>
    <row r="131" spans="1:41" hidden="1">
      <c r="A131">
        <v>510938</v>
      </c>
      <c r="B131">
        <v>1</v>
      </c>
      <c r="C131" t="s">
        <v>25</v>
      </c>
      <c r="D131" t="s">
        <v>439</v>
      </c>
      <c r="E131" s="23" t="s">
        <v>440</v>
      </c>
      <c r="F131" s="24">
        <v>38</v>
      </c>
      <c r="G131" s="25">
        <v>433.47</v>
      </c>
      <c r="H131" s="25">
        <f t="shared" si="38"/>
        <v>16471.86</v>
      </c>
      <c r="I131" s="26">
        <v>46216</v>
      </c>
      <c r="J131" s="10">
        <v>46064</v>
      </c>
      <c r="K131" s="10">
        <v>46065</v>
      </c>
      <c r="L131" s="27" t="str">
        <f t="shared" si="39"/>
        <v>On time</v>
      </c>
      <c r="M131" s="58">
        <v>46085</v>
      </c>
      <c r="N131" s="27" t="str">
        <f t="shared" si="37"/>
        <v>Atrasado</v>
      </c>
      <c r="O131" s="27">
        <f t="shared" si="52"/>
        <v>21</v>
      </c>
      <c r="P131" s="28" t="str">
        <f t="shared" si="28"/>
        <v>On time</v>
      </c>
      <c r="Q131" s="27">
        <f t="shared" si="53"/>
        <v>152</v>
      </c>
      <c r="R131" s="29" t="s">
        <v>428</v>
      </c>
      <c r="S131" s="12" t="s">
        <v>65</v>
      </c>
      <c r="T131" s="35">
        <v>8</v>
      </c>
      <c r="U131" t="s">
        <v>383</v>
      </c>
      <c r="V131" s="27">
        <v>38</v>
      </c>
      <c r="W131" s="9">
        <v>18.93</v>
      </c>
      <c r="X131" s="9">
        <f t="shared" si="48"/>
        <v>719.34</v>
      </c>
      <c r="Y131" s="20">
        <v>1.63</v>
      </c>
      <c r="Z131" s="10">
        <v>46087</v>
      </c>
      <c r="AA131" s="10">
        <v>46106</v>
      </c>
      <c r="AB131" s="10">
        <v>46122</v>
      </c>
      <c r="AC131" s="10">
        <v>46189</v>
      </c>
      <c r="AD131" s="31">
        <f t="shared" ca="1" si="56"/>
        <v>29</v>
      </c>
      <c r="AE131" s="55" t="s">
        <v>247</v>
      </c>
      <c r="AF131" s="63" t="s">
        <v>155</v>
      </c>
      <c r="AG131" s="10" t="s">
        <v>78</v>
      </c>
      <c r="AH131" s="10" t="s">
        <v>78</v>
      </c>
      <c r="AI131" s="9" t="s">
        <v>53</v>
      </c>
      <c r="AJ131" s="10">
        <v>46133</v>
      </c>
      <c r="AK131" s="10">
        <v>46174</v>
      </c>
      <c r="AL131" t="s">
        <v>2028</v>
      </c>
      <c r="AM131" s="27" t="str">
        <f t="shared" si="57"/>
        <v>Atrasado</v>
      </c>
      <c r="AN131" s="27" t="str">
        <f t="shared" ca="1" si="58"/>
        <v>No prazo</v>
      </c>
      <c r="AO131" s="27" t="str">
        <f t="shared" ca="1" si="27"/>
        <v>Embarcado</v>
      </c>
    </row>
    <row r="132" spans="1:41" hidden="1">
      <c r="A132">
        <v>510967</v>
      </c>
      <c r="B132">
        <v>5</v>
      </c>
      <c r="C132" t="s">
        <v>25</v>
      </c>
      <c r="D132" t="s">
        <v>441</v>
      </c>
      <c r="E132" s="23" t="s">
        <v>442</v>
      </c>
      <c r="F132" s="24">
        <v>16</v>
      </c>
      <c r="G132" s="25">
        <v>46.25</v>
      </c>
      <c r="H132" s="25">
        <f t="shared" si="38"/>
        <v>740</v>
      </c>
      <c r="I132" s="26">
        <v>46216</v>
      </c>
      <c r="J132" s="10">
        <v>46064</v>
      </c>
      <c r="K132" s="10">
        <v>46065</v>
      </c>
      <c r="L132" s="27" t="str">
        <f t="shared" si="39"/>
        <v>On time</v>
      </c>
      <c r="M132" s="58">
        <v>46085</v>
      </c>
      <c r="N132" s="27" t="str">
        <f t="shared" si="37"/>
        <v>Atrasado</v>
      </c>
      <c r="O132" s="27">
        <f t="shared" si="52"/>
        <v>21</v>
      </c>
      <c r="P132" s="28" t="str">
        <f t="shared" si="28"/>
        <v>On time</v>
      </c>
      <c r="Q132" s="27">
        <f t="shared" si="53"/>
        <v>152</v>
      </c>
      <c r="R132" s="29" t="s">
        <v>428</v>
      </c>
      <c r="S132" s="12" t="s">
        <v>65</v>
      </c>
      <c r="T132" s="84">
        <v>9</v>
      </c>
      <c r="U132" s="85" t="s">
        <v>384</v>
      </c>
      <c r="V132" s="79">
        <v>50</v>
      </c>
      <c r="W132" s="70">
        <v>3.85</v>
      </c>
      <c r="X132" s="80">
        <f>W132*V132</f>
        <v>192.5</v>
      </c>
      <c r="Y132" s="97">
        <v>0.41</v>
      </c>
      <c r="Z132" s="10">
        <v>46087</v>
      </c>
      <c r="AA132" s="10">
        <v>46106</v>
      </c>
      <c r="AB132" s="10">
        <v>46122</v>
      </c>
      <c r="AC132" s="10">
        <v>46189</v>
      </c>
      <c r="AD132" s="31">
        <f t="shared" ca="1" si="56"/>
        <v>29</v>
      </c>
      <c r="AE132" s="55" t="s">
        <v>247</v>
      </c>
      <c r="AF132" s="63" t="s">
        <v>155</v>
      </c>
      <c r="AG132" s="10" t="s">
        <v>78</v>
      </c>
      <c r="AH132" s="10" t="s">
        <v>78</v>
      </c>
      <c r="AI132" s="9" t="s">
        <v>53</v>
      </c>
      <c r="AJ132" s="10">
        <v>46133</v>
      </c>
      <c r="AK132" s="10">
        <v>46174</v>
      </c>
      <c r="AL132" t="s">
        <v>2028</v>
      </c>
      <c r="AM132" s="27" t="str">
        <f t="shared" si="57"/>
        <v>Atrasado</v>
      </c>
      <c r="AN132" s="27" t="str">
        <f t="shared" ca="1" si="58"/>
        <v>No prazo</v>
      </c>
      <c r="AO132" s="27" t="str">
        <f t="shared" ref="AO132:AO195" ca="1" si="59">IF(AN132="Chegou","Chegou HCI",IF(AND(AJ132&lt;&gt;"",AK132&lt;&gt;""),IF(TODAY()&gt;=AJ132,"Embarcado","Ag. embarque"),IF(AND(AJ132&lt;&gt;"",AK132=""),"Ag. booking","")))</f>
        <v>Embarcado</v>
      </c>
    </row>
    <row r="133" spans="1:41" hidden="1">
      <c r="A133">
        <v>511357</v>
      </c>
      <c r="B133">
        <v>1</v>
      </c>
      <c r="C133" t="s">
        <v>25</v>
      </c>
      <c r="D133" t="s">
        <v>441</v>
      </c>
      <c r="E133" s="23" t="s">
        <v>442</v>
      </c>
      <c r="F133" s="24">
        <v>20</v>
      </c>
      <c r="G133" s="25">
        <v>46.25</v>
      </c>
      <c r="H133" s="25">
        <f t="shared" si="38"/>
        <v>925</v>
      </c>
      <c r="I133" s="26">
        <v>46223</v>
      </c>
      <c r="J133" s="10">
        <v>46073</v>
      </c>
      <c r="K133" s="10">
        <v>46073</v>
      </c>
      <c r="L133" s="27" t="str">
        <f t="shared" si="39"/>
        <v>On time</v>
      </c>
      <c r="M133" s="58">
        <v>46085</v>
      </c>
      <c r="N133" s="27" t="str">
        <f t="shared" si="37"/>
        <v>Atrasado</v>
      </c>
      <c r="O133" s="27">
        <f t="shared" si="52"/>
        <v>12</v>
      </c>
      <c r="P133" s="28" t="str">
        <f t="shared" ref="P133:P196" si="60">IF(Z133=0," ",IF(M133&gt;=Z133+6,"Atrasado","On time"))</f>
        <v>On time</v>
      </c>
      <c r="Q133" s="27">
        <f t="shared" si="53"/>
        <v>150</v>
      </c>
      <c r="R133" s="29" t="s">
        <v>428</v>
      </c>
      <c r="S133" s="12" t="s">
        <v>65</v>
      </c>
      <c r="T133" s="84"/>
      <c r="U133" s="85"/>
      <c r="V133" s="79"/>
      <c r="W133" s="70">
        <v>3.85</v>
      </c>
      <c r="X133" s="80"/>
      <c r="Y133" s="97">
        <v>0.41</v>
      </c>
      <c r="Z133" s="10">
        <v>46087</v>
      </c>
      <c r="AA133" s="10">
        <v>46106</v>
      </c>
      <c r="AB133" s="10">
        <v>46122</v>
      </c>
      <c r="AC133" s="10">
        <v>46189</v>
      </c>
      <c r="AD133" s="31">
        <f t="shared" ca="1" si="56"/>
        <v>29</v>
      </c>
      <c r="AE133" s="55" t="s">
        <v>247</v>
      </c>
      <c r="AF133" s="63" t="s">
        <v>155</v>
      </c>
      <c r="AG133" s="10" t="s">
        <v>78</v>
      </c>
      <c r="AH133" s="10" t="s">
        <v>78</v>
      </c>
      <c r="AI133" s="9" t="s">
        <v>53</v>
      </c>
      <c r="AJ133" s="10">
        <v>46133</v>
      </c>
      <c r="AK133" s="10">
        <v>46174</v>
      </c>
      <c r="AL133" t="s">
        <v>2028</v>
      </c>
      <c r="AM133" s="27" t="str">
        <f t="shared" si="57"/>
        <v>Atrasado</v>
      </c>
      <c r="AN133" s="27" t="str">
        <f t="shared" ca="1" si="58"/>
        <v>No prazo</v>
      </c>
      <c r="AO133" s="27" t="str">
        <f t="shared" ca="1" si="59"/>
        <v>Embarcado</v>
      </c>
    </row>
    <row r="134" spans="1:41" hidden="1">
      <c r="A134">
        <v>511751</v>
      </c>
      <c r="B134">
        <v>5</v>
      </c>
      <c r="C134" t="s">
        <v>25</v>
      </c>
      <c r="D134" t="s">
        <v>441</v>
      </c>
      <c r="E134" s="23" t="s">
        <v>442</v>
      </c>
      <c r="F134" s="24">
        <v>3</v>
      </c>
      <c r="G134" s="25">
        <v>46.25</v>
      </c>
      <c r="H134" s="25">
        <f t="shared" si="38"/>
        <v>138.75</v>
      </c>
      <c r="I134" s="26">
        <v>46227</v>
      </c>
      <c r="J134" s="10">
        <v>46078</v>
      </c>
      <c r="K134" s="10">
        <v>46080</v>
      </c>
      <c r="L134" s="27" t="str">
        <f t="shared" si="39"/>
        <v>On time</v>
      </c>
      <c r="M134" s="58">
        <v>46085</v>
      </c>
      <c r="N134" s="27" t="str">
        <f t="shared" si="37"/>
        <v>Atrasado</v>
      </c>
      <c r="O134" s="27">
        <f t="shared" si="52"/>
        <v>7</v>
      </c>
      <c r="P134" s="28" t="str">
        <f t="shared" si="60"/>
        <v>On time</v>
      </c>
      <c r="Q134" s="27">
        <f t="shared" si="53"/>
        <v>149</v>
      </c>
      <c r="R134" s="29" t="s">
        <v>428</v>
      </c>
      <c r="S134" s="12" t="s">
        <v>65</v>
      </c>
      <c r="T134" s="84"/>
      <c r="U134" s="85"/>
      <c r="V134" s="79"/>
      <c r="W134" s="70">
        <v>3.85</v>
      </c>
      <c r="X134" s="80"/>
      <c r="Y134" s="97">
        <v>0.41</v>
      </c>
      <c r="Z134" s="10">
        <v>46087</v>
      </c>
      <c r="AA134" s="10">
        <v>46106</v>
      </c>
      <c r="AB134" s="10">
        <v>46122</v>
      </c>
      <c r="AC134" s="10">
        <v>46189</v>
      </c>
      <c r="AD134" s="31">
        <f t="shared" ca="1" si="56"/>
        <v>29</v>
      </c>
      <c r="AE134" s="55" t="s">
        <v>247</v>
      </c>
      <c r="AF134" s="63" t="s">
        <v>155</v>
      </c>
      <c r="AG134" s="10" t="s">
        <v>78</v>
      </c>
      <c r="AH134" s="10" t="s">
        <v>78</v>
      </c>
      <c r="AI134" s="9" t="s">
        <v>53</v>
      </c>
      <c r="AJ134" s="10">
        <v>46133</v>
      </c>
      <c r="AK134" s="10">
        <v>46174</v>
      </c>
      <c r="AL134" t="s">
        <v>2028</v>
      </c>
      <c r="AM134" s="27" t="str">
        <f t="shared" si="57"/>
        <v>Atrasado</v>
      </c>
      <c r="AN134" s="27" t="str">
        <f t="shared" ca="1" si="58"/>
        <v>No prazo</v>
      </c>
      <c r="AO134" s="27" t="str">
        <f t="shared" ca="1" si="59"/>
        <v>Embarcado</v>
      </c>
    </row>
    <row r="135" spans="1:41" hidden="1">
      <c r="A135">
        <v>510829</v>
      </c>
      <c r="B135">
        <v>1</v>
      </c>
      <c r="C135" t="s">
        <v>25</v>
      </c>
      <c r="D135" t="s">
        <v>443</v>
      </c>
      <c r="E135" s="23" t="s">
        <v>444</v>
      </c>
      <c r="F135" s="24">
        <v>40</v>
      </c>
      <c r="G135" s="25">
        <v>112.08</v>
      </c>
      <c r="H135" s="25">
        <f t="shared" si="38"/>
        <v>4483.2</v>
      </c>
      <c r="I135" s="26">
        <v>46216</v>
      </c>
      <c r="J135" s="10">
        <v>46063</v>
      </c>
      <c r="K135" s="10">
        <v>46064</v>
      </c>
      <c r="L135" s="27" t="str">
        <f t="shared" si="39"/>
        <v>On time</v>
      </c>
      <c r="M135" s="58">
        <v>46085</v>
      </c>
      <c r="N135" s="27" t="str">
        <f t="shared" si="37"/>
        <v>Atrasado</v>
      </c>
      <c r="O135" s="27">
        <f t="shared" si="52"/>
        <v>22</v>
      </c>
      <c r="P135" s="28" t="str">
        <f t="shared" si="60"/>
        <v>On time</v>
      </c>
      <c r="Q135" s="27">
        <f t="shared" si="53"/>
        <v>153</v>
      </c>
      <c r="R135" s="29" t="s">
        <v>428</v>
      </c>
      <c r="S135" s="12" t="s">
        <v>65</v>
      </c>
      <c r="T135" s="35">
        <v>10</v>
      </c>
      <c r="U135" t="s">
        <v>385</v>
      </c>
      <c r="V135" s="27">
        <v>100</v>
      </c>
      <c r="W135" s="9">
        <v>3.67</v>
      </c>
      <c r="X135" s="9">
        <f t="shared" si="48"/>
        <v>367</v>
      </c>
      <c r="Y135" s="20">
        <v>0.17</v>
      </c>
      <c r="Z135" s="10">
        <v>46087</v>
      </c>
      <c r="AA135" s="10">
        <v>46106</v>
      </c>
      <c r="AB135" s="10">
        <v>46122</v>
      </c>
      <c r="AC135" s="10">
        <v>46189</v>
      </c>
      <c r="AD135" s="31">
        <f t="shared" ca="1" si="56"/>
        <v>29</v>
      </c>
      <c r="AE135" s="55" t="s">
        <v>247</v>
      </c>
      <c r="AF135" s="63" t="s">
        <v>155</v>
      </c>
      <c r="AG135" s="10" t="s">
        <v>78</v>
      </c>
      <c r="AH135" s="10" t="s">
        <v>78</v>
      </c>
      <c r="AI135" s="9" t="s">
        <v>53</v>
      </c>
      <c r="AJ135" s="10">
        <v>46133</v>
      </c>
      <c r="AK135" s="10">
        <v>46174</v>
      </c>
      <c r="AL135" t="s">
        <v>2028</v>
      </c>
      <c r="AM135" s="27" t="str">
        <f t="shared" si="57"/>
        <v>Atrasado</v>
      </c>
      <c r="AN135" s="27" t="str">
        <f t="shared" ca="1" si="58"/>
        <v>No prazo</v>
      </c>
      <c r="AO135" s="27" t="str">
        <f t="shared" ca="1" si="59"/>
        <v>Embarcado</v>
      </c>
    </row>
    <row r="136" spans="1:41" hidden="1">
      <c r="A136">
        <v>510829</v>
      </c>
      <c r="B136">
        <v>2</v>
      </c>
      <c r="C136" t="s">
        <v>25</v>
      </c>
      <c r="D136" t="s">
        <v>445</v>
      </c>
      <c r="E136" s="23" t="s">
        <v>446</v>
      </c>
      <c r="F136" s="24">
        <v>28</v>
      </c>
      <c r="G136" s="25">
        <v>81.41</v>
      </c>
      <c r="H136" s="25">
        <f t="shared" si="38"/>
        <v>2279.48</v>
      </c>
      <c r="I136" s="26">
        <v>46216</v>
      </c>
      <c r="J136" s="10">
        <v>46063</v>
      </c>
      <c r="K136" s="10">
        <v>46064</v>
      </c>
      <c r="L136" s="27" t="str">
        <f t="shared" si="39"/>
        <v>On time</v>
      </c>
      <c r="M136" s="58">
        <v>46085</v>
      </c>
      <c r="N136" s="27" t="str">
        <f t="shared" si="37"/>
        <v>Atrasado</v>
      </c>
      <c r="O136" s="27">
        <f t="shared" si="52"/>
        <v>22</v>
      </c>
      <c r="P136" s="28" t="str">
        <f t="shared" si="60"/>
        <v>On time</v>
      </c>
      <c r="Q136" s="27">
        <f t="shared" si="53"/>
        <v>153</v>
      </c>
      <c r="R136" s="29" t="s">
        <v>428</v>
      </c>
      <c r="S136" s="12" t="s">
        <v>65</v>
      </c>
      <c r="T136" s="35">
        <v>11</v>
      </c>
      <c r="U136" t="s">
        <v>386</v>
      </c>
      <c r="V136" s="27">
        <v>28</v>
      </c>
      <c r="W136" s="9">
        <v>2.42</v>
      </c>
      <c r="X136" s="9">
        <f t="shared" si="48"/>
        <v>67.759999999999991</v>
      </c>
      <c r="Y136" s="20">
        <v>0.11</v>
      </c>
      <c r="Z136" s="10">
        <v>46087</v>
      </c>
      <c r="AA136" s="10">
        <v>46106</v>
      </c>
      <c r="AB136" s="10">
        <v>46122</v>
      </c>
      <c r="AC136" s="10">
        <v>46189</v>
      </c>
      <c r="AD136" s="31">
        <f t="shared" ca="1" si="56"/>
        <v>29</v>
      </c>
      <c r="AE136" s="55" t="s">
        <v>247</v>
      </c>
      <c r="AF136" s="63" t="s">
        <v>155</v>
      </c>
      <c r="AG136" s="10" t="s">
        <v>78</v>
      </c>
      <c r="AH136" s="10" t="s">
        <v>78</v>
      </c>
      <c r="AI136" s="9" t="s">
        <v>53</v>
      </c>
      <c r="AJ136" s="10">
        <v>46133</v>
      </c>
      <c r="AK136" s="10">
        <v>46174</v>
      </c>
      <c r="AL136" t="s">
        <v>2028</v>
      </c>
      <c r="AM136" s="27" t="str">
        <f t="shared" si="57"/>
        <v>Atrasado</v>
      </c>
      <c r="AN136" s="27" t="str">
        <f t="shared" ca="1" si="58"/>
        <v>No prazo</v>
      </c>
      <c r="AO136" s="27" t="str">
        <f t="shared" ca="1" si="59"/>
        <v>Embarcado</v>
      </c>
    </row>
    <row r="137" spans="1:41" hidden="1">
      <c r="A137">
        <v>510825</v>
      </c>
      <c r="B137">
        <v>2</v>
      </c>
      <c r="C137" t="s">
        <v>25</v>
      </c>
      <c r="D137" t="s">
        <v>447</v>
      </c>
      <c r="E137" s="23" t="s">
        <v>448</v>
      </c>
      <c r="F137" s="24">
        <v>4</v>
      </c>
      <c r="G137" s="25">
        <v>90.64</v>
      </c>
      <c r="H137" s="25">
        <f t="shared" si="38"/>
        <v>362.56</v>
      </c>
      <c r="I137" s="26">
        <v>46216</v>
      </c>
      <c r="J137" s="10">
        <v>46063</v>
      </c>
      <c r="K137" s="10">
        <v>46064</v>
      </c>
      <c r="L137" s="27" t="str">
        <f t="shared" si="39"/>
        <v>On time</v>
      </c>
      <c r="M137" s="58">
        <v>46085</v>
      </c>
      <c r="N137" s="27" t="str">
        <f t="shared" si="37"/>
        <v>Atrasado</v>
      </c>
      <c r="O137" s="27">
        <f t="shared" si="52"/>
        <v>22</v>
      </c>
      <c r="P137" s="28" t="str">
        <f t="shared" si="60"/>
        <v>On time</v>
      </c>
      <c r="Q137" s="27">
        <f t="shared" si="53"/>
        <v>153</v>
      </c>
      <c r="R137" s="29" t="s">
        <v>428</v>
      </c>
      <c r="S137" s="12" t="s">
        <v>65</v>
      </c>
      <c r="T137" s="35">
        <v>12</v>
      </c>
      <c r="U137" t="s">
        <v>387</v>
      </c>
      <c r="V137" s="27">
        <v>4</v>
      </c>
      <c r="W137" s="9">
        <v>5.67</v>
      </c>
      <c r="X137" s="9">
        <f t="shared" si="48"/>
        <v>22.68</v>
      </c>
      <c r="Y137" s="20">
        <v>0.65</v>
      </c>
      <c r="Z137" s="10">
        <v>46087</v>
      </c>
      <c r="AA137" s="10">
        <v>46106</v>
      </c>
      <c r="AB137" s="10">
        <v>46122</v>
      </c>
      <c r="AC137" s="10">
        <v>46189</v>
      </c>
      <c r="AD137" s="31">
        <f t="shared" ca="1" si="56"/>
        <v>29</v>
      </c>
      <c r="AE137" s="55" t="s">
        <v>247</v>
      </c>
      <c r="AF137" s="63" t="s">
        <v>155</v>
      </c>
      <c r="AG137" s="10" t="s">
        <v>78</v>
      </c>
      <c r="AH137" s="10" t="s">
        <v>78</v>
      </c>
      <c r="AI137" s="9" t="s">
        <v>53</v>
      </c>
      <c r="AJ137" s="10">
        <v>46133</v>
      </c>
      <c r="AK137" s="10">
        <v>46174</v>
      </c>
      <c r="AL137" t="s">
        <v>2028</v>
      </c>
      <c r="AM137" s="27" t="str">
        <f t="shared" si="57"/>
        <v>Atrasado</v>
      </c>
      <c r="AN137" s="27" t="str">
        <f t="shared" ca="1" si="58"/>
        <v>No prazo</v>
      </c>
      <c r="AO137" s="27" t="str">
        <f t="shared" ca="1" si="59"/>
        <v>Embarcado</v>
      </c>
    </row>
    <row r="138" spans="1:41" hidden="1">
      <c r="A138">
        <v>510825</v>
      </c>
      <c r="B138">
        <v>3</v>
      </c>
      <c r="C138" t="s">
        <v>25</v>
      </c>
      <c r="D138" t="s">
        <v>449</v>
      </c>
      <c r="E138" s="23" t="s">
        <v>450</v>
      </c>
      <c r="F138" s="24">
        <v>1</v>
      </c>
      <c r="G138" s="25">
        <v>171.35</v>
      </c>
      <c r="H138" s="25">
        <f t="shared" si="38"/>
        <v>171.35</v>
      </c>
      <c r="I138" s="26">
        <v>46216</v>
      </c>
      <c r="J138" s="10">
        <v>46063</v>
      </c>
      <c r="K138" s="10">
        <v>46064</v>
      </c>
      <c r="L138" s="27" t="str">
        <f t="shared" si="39"/>
        <v>On time</v>
      </c>
      <c r="M138" s="58">
        <v>46085</v>
      </c>
      <c r="N138" s="27" t="str">
        <f t="shared" ref="N138:N201" si="61">IF(J138=0," ",IF(M138&lt;=J138+6,"On time","Atrasado"))</f>
        <v>Atrasado</v>
      </c>
      <c r="O138" s="27">
        <f t="shared" si="52"/>
        <v>22</v>
      </c>
      <c r="P138" s="28" t="str">
        <f t="shared" si="60"/>
        <v>On time</v>
      </c>
      <c r="Q138" s="27">
        <f t="shared" si="53"/>
        <v>153</v>
      </c>
      <c r="R138" s="29" t="s">
        <v>428</v>
      </c>
      <c r="S138" s="12" t="s">
        <v>65</v>
      </c>
      <c r="T138" s="35">
        <v>13</v>
      </c>
      <c r="U138" t="s">
        <v>388</v>
      </c>
      <c r="V138" s="27">
        <v>1</v>
      </c>
      <c r="W138" s="9">
        <v>6.17</v>
      </c>
      <c r="X138" s="9">
        <f t="shared" si="48"/>
        <v>6.17</v>
      </c>
      <c r="Y138" s="20">
        <v>0.56999999999999995</v>
      </c>
      <c r="Z138" s="10">
        <v>46087</v>
      </c>
      <c r="AA138" s="10">
        <v>46106</v>
      </c>
      <c r="AB138" s="10">
        <v>46122</v>
      </c>
      <c r="AC138" s="10">
        <v>46189</v>
      </c>
      <c r="AD138" s="31">
        <f t="shared" ca="1" si="56"/>
        <v>29</v>
      </c>
      <c r="AE138" s="55" t="s">
        <v>247</v>
      </c>
      <c r="AF138" s="63" t="s">
        <v>155</v>
      </c>
      <c r="AG138" s="10" t="s">
        <v>78</v>
      </c>
      <c r="AH138" s="10" t="s">
        <v>78</v>
      </c>
      <c r="AI138" s="9" t="s">
        <v>53</v>
      </c>
      <c r="AJ138" s="10">
        <v>46133</v>
      </c>
      <c r="AK138" s="10">
        <v>46174</v>
      </c>
      <c r="AL138" t="s">
        <v>2028</v>
      </c>
      <c r="AM138" s="27" t="str">
        <f t="shared" si="57"/>
        <v>Atrasado</v>
      </c>
      <c r="AN138" s="27" t="str">
        <f t="shared" ca="1" si="58"/>
        <v>No prazo</v>
      </c>
      <c r="AO138" s="27" t="str">
        <f t="shared" ca="1" si="59"/>
        <v>Embarcado</v>
      </c>
    </row>
    <row r="139" spans="1:41" hidden="1">
      <c r="A139">
        <v>510825</v>
      </c>
      <c r="B139">
        <v>4</v>
      </c>
      <c r="C139" t="s">
        <v>25</v>
      </c>
      <c r="D139" t="s">
        <v>451</v>
      </c>
      <c r="E139" s="23" t="s">
        <v>452</v>
      </c>
      <c r="F139" s="24">
        <v>1</v>
      </c>
      <c r="G139" s="25">
        <v>837.17</v>
      </c>
      <c r="H139" s="25">
        <f t="shared" si="38"/>
        <v>837.17</v>
      </c>
      <c r="I139" s="26">
        <v>46216</v>
      </c>
      <c r="J139" s="10">
        <v>46063</v>
      </c>
      <c r="K139" s="10">
        <v>46064</v>
      </c>
      <c r="L139" s="27" t="str">
        <f t="shared" ref="L139:L202" si="62">IF(J139=0," ",IF(K139&lt;=J139+6,"On time","Atrasado"))</f>
        <v>On time</v>
      </c>
      <c r="M139" s="58">
        <v>46085</v>
      </c>
      <c r="N139" s="27" t="str">
        <f t="shared" si="61"/>
        <v>Atrasado</v>
      </c>
      <c r="O139" s="27">
        <f t="shared" si="52"/>
        <v>22</v>
      </c>
      <c r="P139" s="28" t="str">
        <f t="shared" si="60"/>
        <v>On time</v>
      </c>
      <c r="Q139" s="27">
        <f t="shared" si="53"/>
        <v>153</v>
      </c>
      <c r="R139" s="29" t="s">
        <v>428</v>
      </c>
      <c r="S139" s="12" t="s">
        <v>65</v>
      </c>
      <c r="T139" s="35">
        <v>14</v>
      </c>
      <c r="U139" t="s">
        <v>389</v>
      </c>
      <c r="V139" s="27">
        <v>1</v>
      </c>
      <c r="W139" s="9">
        <v>34.57</v>
      </c>
      <c r="X139" s="9">
        <f t="shared" si="48"/>
        <v>34.57</v>
      </c>
      <c r="Y139" s="20">
        <v>7.67</v>
      </c>
      <c r="Z139" s="10">
        <v>46087</v>
      </c>
      <c r="AA139" s="10">
        <v>46106</v>
      </c>
      <c r="AB139" s="10">
        <v>46122</v>
      </c>
      <c r="AC139" s="10">
        <v>46189</v>
      </c>
      <c r="AD139" s="31">
        <f t="shared" ca="1" si="56"/>
        <v>29</v>
      </c>
      <c r="AE139" s="55" t="s">
        <v>247</v>
      </c>
      <c r="AF139" s="63" t="s">
        <v>155</v>
      </c>
      <c r="AG139" s="10" t="s">
        <v>78</v>
      </c>
      <c r="AH139" s="10" t="s">
        <v>78</v>
      </c>
      <c r="AI139" s="9" t="s">
        <v>53</v>
      </c>
      <c r="AJ139" s="10">
        <v>46133</v>
      </c>
      <c r="AK139" s="10">
        <v>46174</v>
      </c>
      <c r="AL139" t="s">
        <v>2028</v>
      </c>
      <c r="AM139" s="27" t="str">
        <f t="shared" si="57"/>
        <v>Atrasado</v>
      </c>
      <c r="AN139" s="27" t="str">
        <f t="shared" ca="1" si="58"/>
        <v>No prazo</v>
      </c>
      <c r="AO139" s="27" t="str">
        <f t="shared" ca="1" si="59"/>
        <v>Embarcado</v>
      </c>
    </row>
    <row r="140" spans="1:41" hidden="1">
      <c r="A140">
        <v>511124</v>
      </c>
      <c r="B140">
        <v>3</v>
      </c>
      <c r="C140" t="s">
        <v>25</v>
      </c>
      <c r="D140" t="s">
        <v>453</v>
      </c>
      <c r="E140" s="23" t="s">
        <v>454</v>
      </c>
      <c r="F140" s="24">
        <v>2</v>
      </c>
      <c r="G140" s="25">
        <v>75.62</v>
      </c>
      <c r="H140" s="25">
        <f t="shared" si="38"/>
        <v>151.24</v>
      </c>
      <c r="I140" s="26">
        <v>46216</v>
      </c>
      <c r="J140" s="10">
        <v>46066</v>
      </c>
      <c r="K140" s="10">
        <v>46071</v>
      </c>
      <c r="L140" s="27" t="str">
        <f t="shared" si="62"/>
        <v>On time</v>
      </c>
      <c r="M140" s="58">
        <v>46085</v>
      </c>
      <c r="N140" s="27" t="str">
        <f t="shared" si="61"/>
        <v>Atrasado</v>
      </c>
      <c r="O140" s="27">
        <f t="shared" si="52"/>
        <v>19</v>
      </c>
      <c r="P140" s="28" t="str">
        <f t="shared" si="60"/>
        <v>On time</v>
      </c>
      <c r="Q140" s="27">
        <f t="shared" si="53"/>
        <v>150</v>
      </c>
      <c r="R140" s="29" t="s">
        <v>428</v>
      </c>
      <c r="S140" s="12" t="s">
        <v>65</v>
      </c>
      <c r="T140" s="84">
        <v>15</v>
      </c>
      <c r="U140" s="85" t="s">
        <v>390</v>
      </c>
      <c r="V140" s="79">
        <v>10</v>
      </c>
      <c r="W140" s="70">
        <v>2.94</v>
      </c>
      <c r="X140" s="80">
        <f t="shared" si="48"/>
        <v>29.4</v>
      </c>
      <c r="Y140" s="97">
        <v>0.2</v>
      </c>
      <c r="Z140" s="10">
        <v>46087</v>
      </c>
      <c r="AA140" s="10">
        <v>46106</v>
      </c>
      <c r="AB140" s="10">
        <v>46122</v>
      </c>
      <c r="AC140" s="10">
        <v>46189</v>
      </c>
      <c r="AD140" s="31">
        <f t="shared" ca="1" si="56"/>
        <v>29</v>
      </c>
      <c r="AE140" s="55" t="s">
        <v>247</v>
      </c>
      <c r="AF140" s="63" t="s">
        <v>155</v>
      </c>
      <c r="AG140" s="10" t="s">
        <v>78</v>
      </c>
      <c r="AH140" s="10" t="s">
        <v>78</v>
      </c>
      <c r="AI140" s="9" t="s">
        <v>53</v>
      </c>
      <c r="AJ140" s="10">
        <v>46133</v>
      </c>
      <c r="AK140" s="10">
        <v>46174</v>
      </c>
      <c r="AL140" t="s">
        <v>2028</v>
      </c>
      <c r="AM140" s="27" t="str">
        <f t="shared" si="57"/>
        <v>Atrasado</v>
      </c>
      <c r="AN140" s="27" t="str">
        <f t="shared" ca="1" si="58"/>
        <v>No prazo</v>
      </c>
      <c r="AO140" s="27" t="str">
        <f t="shared" ca="1" si="59"/>
        <v>Embarcado</v>
      </c>
    </row>
    <row r="141" spans="1:41" hidden="1">
      <c r="A141">
        <v>513106</v>
      </c>
      <c r="B141">
        <v>20</v>
      </c>
      <c r="C141" t="s">
        <v>25</v>
      </c>
      <c r="D141" t="s">
        <v>453</v>
      </c>
      <c r="E141" s="23" t="s">
        <v>454</v>
      </c>
      <c r="F141" s="24">
        <v>2</v>
      </c>
      <c r="G141" s="25">
        <v>75.62</v>
      </c>
      <c r="H141" s="25">
        <f t="shared" si="38"/>
        <v>151.24</v>
      </c>
      <c r="I141" s="26">
        <v>46248</v>
      </c>
      <c r="J141" s="10">
        <v>46097</v>
      </c>
      <c r="K141" s="10">
        <v>46098</v>
      </c>
      <c r="L141" s="27" t="str">
        <f t="shared" si="62"/>
        <v>On time</v>
      </c>
      <c r="M141" s="58">
        <v>46085</v>
      </c>
      <c r="N141" s="27" t="str">
        <f t="shared" si="61"/>
        <v>On time</v>
      </c>
      <c r="O141" s="27">
        <f t="shared" si="52"/>
        <v>-12</v>
      </c>
      <c r="P141" s="28" t="str">
        <f t="shared" si="60"/>
        <v>On time</v>
      </c>
      <c r="Q141" s="27">
        <f t="shared" si="53"/>
        <v>151</v>
      </c>
      <c r="R141" s="29" t="s">
        <v>428</v>
      </c>
      <c r="S141" s="12" t="s">
        <v>65</v>
      </c>
      <c r="T141" s="84"/>
      <c r="U141" s="85"/>
      <c r="V141" s="79"/>
      <c r="W141" s="70">
        <v>2.94</v>
      </c>
      <c r="X141" s="80"/>
      <c r="Y141" s="97"/>
      <c r="Z141" s="10">
        <v>46087</v>
      </c>
      <c r="AA141" s="10">
        <v>46106</v>
      </c>
      <c r="AB141" s="10">
        <v>46122</v>
      </c>
      <c r="AC141" s="10">
        <v>46189</v>
      </c>
      <c r="AD141" s="31">
        <f t="shared" ca="1" si="56"/>
        <v>29</v>
      </c>
      <c r="AE141" s="55" t="s">
        <v>247</v>
      </c>
      <c r="AF141" s="63" t="s">
        <v>155</v>
      </c>
      <c r="AG141" s="10" t="s">
        <v>78</v>
      </c>
      <c r="AH141" s="10" t="s">
        <v>78</v>
      </c>
      <c r="AI141" s="9" t="s">
        <v>53</v>
      </c>
      <c r="AJ141" s="10">
        <v>46133</v>
      </c>
      <c r="AK141" s="10">
        <v>46174</v>
      </c>
      <c r="AL141" t="s">
        <v>2028</v>
      </c>
      <c r="AM141" s="27" t="str">
        <f t="shared" si="57"/>
        <v>Atrasado</v>
      </c>
      <c r="AN141" s="27" t="str">
        <f t="shared" ca="1" si="58"/>
        <v>No prazo</v>
      </c>
      <c r="AO141" s="27" t="str">
        <f t="shared" ca="1" si="59"/>
        <v>Embarcado</v>
      </c>
    </row>
    <row r="142" spans="1:41" hidden="1">
      <c r="A142">
        <v>510200</v>
      </c>
      <c r="B142">
        <v>1</v>
      </c>
      <c r="C142" t="s">
        <v>25</v>
      </c>
      <c r="D142" t="s">
        <v>455</v>
      </c>
      <c r="E142" s="23" t="s">
        <v>456</v>
      </c>
      <c r="F142" s="24">
        <v>14</v>
      </c>
      <c r="G142" s="25">
        <v>92.96</v>
      </c>
      <c r="H142" s="25">
        <f t="shared" si="38"/>
        <v>1301.4399999999998</v>
      </c>
      <c r="I142" s="26">
        <v>46202</v>
      </c>
      <c r="J142" s="10">
        <v>46052</v>
      </c>
      <c r="K142" s="10">
        <v>46056</v>
      </c>
      <c r="L142" s="27" t="str">
        <f t="shared" si="62"/>
        <v>On time</v>
      </c>
      <c r="M142" s="58">
        <v>46085</v>
      </c>
      <c r="N142" s="27" t="str">
        <f t="shared" si="61"/>
        <v>Atrasado</v>
      </c>
      <c r="O142" s="27">
        <f t="shared" si="52"/>
        <v>33</v>
      </c>
      <c r="P142" s="28" t="str">
        <f t="shared" si="60"/>
        <v>On time</v>
      </c>
      <c r="Q142" s="27">
        <f t="shared" si="53"/>
        <v>150</v>
      </c>
      <c r="R142" s="29" t="s">
        <v>428</v>
      </c>
      <c r="S142" s="12" t="s">
        <v>65</v>
      </c>
      <c r="T142" s="35">
        <v>16</v>
      </c>
      <c r="U142" t="s">
        <v>391</v>
      </c>
      <c r="V142" s="27">
        <v>14</v>
      </c>
      <c r="W142" s="9">
        <v>4.45</v>
      </c>
      <c r="X142" s="9">
        <f t="shared" si="48"/>
        <v>62.300000000000004</v>
      </c>
      <c r="Y142" s="20">
        <v>0.83</v>
      </c>
      <c r="Z142" s="10">
        <v>46087</v>
      </c>
      <c r="AA142" s="10">
        <v>46106</v>
      </c>
      <c r="AB142" s="10">
        <v>46122</v>
      </c>
      <c r="AC142" s="10">
        <v>46189</v>
      </c>
      <c r="AD142" s="31">
        <f t="shared" ca="1" si="56"/>
        <v>29</v>
      </c>
      <c r="AE142" s="55" t="s">
        <v>247</v>
      </c>
      <c r="AF142" s="63" t="s">
        <v>155</v>
      </c>
      <c r="AG142" s="10" t="s">
        <v>78</v>
      </c>
      <c r="AH142" s="10" t="s">
        <v>78</v>
      </c>
      <c r="AI142" s="9" t="s">
        <v>53</v>
      </c>
      <c r="AJ142" s="10">
        <v>46133</v>
      </c>
      <c r="AK142" s="10">
        <v>46174</v>
      </c>
      <c r="AL142" t="s">
        <v>2028</v>
      </c>
      <c r="AM142" s="27" t="str">
        <f t="shared" si="57"/>
        <v>Atrasado</v>
      </c>
      <c r="AN142" s="27" t="str">
        <f t="shared" ca="1" si="58"/>
        <v>Verificar aéreo</v>
      </c>
      <c r="AO142" s="27" t="str">
        <f t="shared" ca="1" si="59"/>
        <v>Embarcado</v>
      </c>
    </row>
    <row r="143" spans="1:41" hidden="1">
      <c r="A143">
        <v>509738</v>
      </c>
      <c r="B143">
        <v>1</v>
      </c>
      <c r="C143" t="s">
        <v>25</v>
      </c>
      <c r="D143" t="s">
        <v>457</v>
      </c>
      <c r="E143" s="23" t="s">
        <v>458</v>
      </c>
      <c r="F143" s="24">
        <v>14</v>
      </c>
      <c r="G143" s="25">
        <v>145.9</v>
      </c>
      <c r="H143" s="25">
        <f t="shared" si="38"/>
        <v>2042.6000000000001</v>
      </c>
      <c r="I143" s="26">
        <v>46198</v>
      </c>
      <c r="J143" s="10">
        <v>46048</v>
      </c>
      <c r="K143" s="10">
        <v>46048</v>
      </c>
      <c r="L143" s="27" t="str">
        <f t="shared" si="62"/>
        <v>On time</v>
      </c>
      <c r="M143" s="58">
        <v>46085</v>
      </c>
      <c r="N143" s="27" t="str">
        <f t="shared" si="61"/>
        <v>Atrasado</v>
      </c>
      <c r="O143" s="27">
        <f t="shared" si="52"/>
        <v>37</v>
      </c>
      <c r="P143" s="28" t="str">
        <f t="shared" si="60"/>
        <v>On time</v>
      </c>
      <c r="Q143" s="27">
        <f t="shared" si="53"/>
        <v>150</v>
      </c>
      <c r="R143" s="29" t="s">
        <v>428</v>
      </c>
      <c r="S143" s="12" t="s">
        <v>65</v>
      </c>
      <c r="T143" s="84">
        <v>17</v>
      </c>
      <c r="U143" s="79" t="s">
        <v>392</v>
      </c>
      <c r="V143" s="79">
        <v>20</v>
      </c>
      <c r="W143" s="70">
        <v>7.69</v>
      </c>
      <c r="X143" s="80">
        <f t="shared" si="48"/>
        <v>153.80000000000001</v>
      </c>
      <c r="Y143" s="97">
        <v>1.19</v>
      </c>
      <c r="Z143" s="10">
        <v>46087</v>
      </c>
      <c r="AA143" s="10">
        <v>46106</v>
      </c>
      <c r="AB143" s="10">
        <v>46122</v>
      </c>
      <c r="AC143" s="10">
        <v>46189</v>
      </c>
      <c r="AD143" s="31">
        <f t="shared" ca="1" si="56"/>
        <v>29</v>
      </c>
      <c r="AE143" s="55" t="s">
        <v>247</v>
      </c>
      <c r="AF143" s="63" t="s">
        <v>155</v>
      </c>
      <c r="AG143" s="10" t="s">
        <v>78</v>
      </c>
      <c r="AH143" s="10" t="s">
        <v>78</v>
      </c>
      <c r="AI143" s="9" t="s">
        <v>53</v>
      </c>
      <c r="AJ143" s="10">
        <v>46133</v>
      </c>
      <c r="AK143" s="10">
        <v>46174</v>
      </c>
      <c r="AL143" t="s">
        <v>2028</v>
      </c>
      <c r="AM143" s="27" t="str">
        <f t="shared" si="57"/>
        <v>Atrasado</v>
      </c>
      <c r="AN143" s="27" t="str">
        <f t="shared" ca="1" si="58"/>
        <v>Crítico</v>
      </c>
      <c r="AO143" s="27" t="str">
        <f t="shared" ca="1" si="59"/>
        <v>Embarcado</v>
      </c>
    </row>
    <row r="144" spans="1:41" hidden="1">
      <c r="A144">
        <v>511569</v>
      </c>
      <c r="B144">
        <v>1</v>
      </c>
      <c r="C144" t="s">
        <v>25</v>
      </c>
      <c r="D144" t="s">
        <v>457</v>
      </c>
      <c r="E144" s="23" t="s">
        <v>458</v>
      </c>
      <c r="F144" s="24">
        <v>2</v>
      </c>
      <c r="G144" s="25">
        <v>145.9</v>
      </c>
      <c r="H144" s="25">
        <f t="shared" si="38"/>
        <v>291.8</v>
      </c>
      <c r="I144" s="26">
        <v>46227</v>
      </c>
      <c r="J144" s="10">
        <v>46077</v>
      </c>
      <c r="K144" s="10">
        <v>46077</v>
      </c>
      <c r="L144" s="27" t="str">
        <f t="shared" si="62"/>
        <v>On time</v>
      </c>
      <c r="M144" s="58">
        <v>46085</v>
      </c>
      <c r="N144" s="27" t="str">
        <f t="shared" si="61"/>
        <v>Atrasado</v>
      </c>
      <c r="O144" s="27">
        <f t="shared" si="52"/>
        <v>8</v>
      </c>
      <c r="P144" s="28" t="str">
        <f t="shared" si="60"/>
        <v>On time</v>
      </c>
      <c r="Q144" s="27">
        <f t="shared" si="53"/>
        <v>150</v>
      </c>
      <c r="R144" s="29" t="s">
        <v>428</v>
      </c>
      <c r="S144" s="12" t="s">
        <v>65</v>
      </c>
      <c r="T144" s="84"/>
      <c r="U144" s="79"/>
      <c r="V144" s="79"/>
      <c r="W144" s="70">
        <v>7.69</v>
      </c>
      <c r="X144" s="80"/>
      <c r="Y144" s="97"/>
      <c r="Z144" s="10">
        <v>46087</v>
      </c>
      <c r="AA144" s="10">
        <v>46106</v>
      </c>
      <c r="AB144" s="10">
        <v>46122</v>
      </c>
      <c r="AC144" s="10">
        <v>46189</v>
      </c>
      <c r="AD144" s="31">
        <f t="shared" ca="1" si="56"/>
        <v>29</v>
      </c>
      <c r="AE144" s="55" t="s">
        <v>247</v>
      </c>
      <c r="AF144" s="63" t="s">
        <v>155</v>
      </c>
      <c r="AG144" s="10" t="s">
        <v>78</v>
      </c>
      <c r="AH144" s="10" t="s">
        <v>78</v>
      </c>
      <c r="AI144" s="9" t="s">
        <v>53</v>
      </c>
      <c r="AJ144" s="10">
        <v>46133</v>
      </c>
      <c r="AK144" s="10">
        <v>46174</v>
      </c>
      <c r="AL144" t="s">
        <v>2028</v>
      </c>
      <c r="AM144" s="27" t="str">
        <f t="shared" si="57"/>
        <v>Atrasado</v>
      </c>
      <c r="AN144" s="27" t="str">
        <f t="shared" ca="1" si="58"/>
        <v>No prazo</v>
      </c>
      <c r="AO144" s="27" t="str">
        <f t="shared" ca="1" si="59"/>
        <v>Embarcado</v>
      </c>
    </row>
    <row r="145" spans="1:41" hidden="1">
      <c r="A145">
        <v>511569</v>
      </c>
      <c r="B145">
        <v>2</v>
      </c>
      <c r="C145" t="s">
        <v>25</v>
      </c>
      <c r="D145" t="s">
        <v>457</v>
      </c>
      <c r="E145" s="23" t="s">
        <v>458</v>
      </c>
      <c r="F145" s="24">
        <v>4</v>
      </c>
      <c r="G145" s="25">
        <v>145.9</v>
      </c>
      <c r="H145" s="25">
        <f t="shared" si="38"/>
        <v>583.6</v>
      </c>
      <c r="I145" s="26">
        <v>46227</v>
      </c>
      <c r="J145" s="10">
        <v>46077</v>
      </c>
      <c r="K145" s="10">
        <v>46077</v>
      </c>
      <c r="L145" s="27" t="str">
        <f t="shared" si="62"/>
        <v>On time</v>
      </c>
      <c r="M145" s="58">
        <v>46085</v>
      </c>
      <c r="N145" s="27" t="str">
        <f t="shared" si="61"/>
        <v>Atrasado</v>
      </c>
      <c r="O145" s="27">
        <f t="shared" si="52"/>
        <v>8</v>
      </c>
      <c r="P145" s="28" t="str">
        <f t="shared" si="60"/>
        <v>On time</v>
      </c>
      <c r="Q145" s="27">
        <f t="shared" si="53"/>
        <v>150</v>
      </c>
      <c r="R145" s="29" t="s">
        <v>428</v>
      </c>
      <c r="S145" s="12" t="s">
        <v>65</v>
      </c>
      <c r="T145" s="84"/>
      <c r="U145" s="79"/>
      <c r="V145" s="79"/>
      <c r="W145" s="70">
        <v>7.69</v>
      </c>
      <c r="X145" s="80"/>
      <c r="Y145" s="97"/>
      <c r="Z145" s="10">
        <v>46087</v>
      </c>
      <c r="AA145" s="10">
        <v>46106</v>
      </c>
      <c r="AB145" s="10">
        <v>46122</v>
      </c>
      <c r="AC145" s="10">
        <v>46189</v>
      </c>
      <c r="AD145" s="31">
        <f t="shared" ca="1" si="56"/>
        <v>29</v>
      </c>
      <c r="AE145" s="55" t="s">
        <v>247</v>
      </c>
      <c r="AF145" s="63" t="s">
        <v>155</v>
      </c>
      <c r="AG145" s="10" t="s">
        <v>78</v>
      </c>
      <c r="AH145" s="10" t="s">
        <v>78</v>
      </c>
      <c r="AI145" s="9" t="s">
        <v>53</v>
      </c>
      <c r="AJ145" s="10">
        <v>46133</v>
      </c>
      <c r="AK145" s="10">
        <v>46174</v>
      </c>
      <c r="AL145" t="s">
        <v>2028</v>
      </c>
      <c r="AM145" s="27" t="str">
        <f t="shared" si="57"/>
        <v>Atrasado</v>
      </c>
      <c r="AN145" s="27" t="str">
        <f t="shared" ca="1" si="58"/>
        <v>No prazo</v>
      </c>
      <c r="AO145" s="27" t="str">
        <f t="shared" ca="1" si="59"/>
        <v>Embarcado</v>
      </c>
    </row>
    <row r="146" spans="1:41" hidden="1">
      <c r="A146">
        <v>509739</v>
      </c>
      <c r="B146">
        <v>1</v>
      </c>
      <c r="C146" t="s">
        <v>25</v>
      </c>
      <c r="D146" t="s">
        <v>459</v>
      </c>
      <c r="E146" s="23" t="s">
        <v>460</v>
      </c>
      <c r="F146" s="24">
        <v>76</v>
      </c>
      <c r="G146" s="25">
        <v>26.44</v>
      </c>
      <c r="H146" s="25">
        <f t="shared" ref="H146:H218" si="63">G146*F146</f>
        <v>2009.44</v>
      </c>
      <c r="I146" s="26">
        <v>46198</v>
      </c>
      <c r="J146" s="10">
        <v>46048</v>
      </c>
      <c r="K146" s="10">
        <v>46048</v>
      </c>
      <c r="L146" s="27" t="str">
        <f t="shared" si="62"/>
        <v>On time</v>
      </c>
      <c r="M146" s="58">
        <v>46085</v>
      </c>
      <c r="N146" s="27" t="str">
        <f t="shared" si="61"/>
        <v>Atrasado</v>
      </c>
      <c r="O146" s="27">
        <f t="shared" si="52"/>
        <v>37</v>
      </c>
      <c r="P146" s="28" t="str">
        <f t="shared" si="60"/>
        <v>On time</v>
      </c>
      <c r="Q146" s="27">
        <f t="shared" si="53"/>
        <v>150</v>
      </c>
      <c r="R146" s="29" t="s">
        <v>428</v>
      </c>
      <c r="S146" s="12" t="s">
        <v>65</v>
      </c>
      <c r="T146" s="35">
        <v>18</v>
      </c>
      <c r="U146" t="s">
        <v>393</v>
      </c>
      <c r="V146" s="27">
        <v>76</v>
      </c>
      <c r="W146" s="9">
        <v>1.64</v>
      </c>
      <c r="X146" s="9">
        <f t="shared" ref="X146:X218" si="64">W146*V146</f>
        <v>124.63999999999999</v>
      </c>
      <c r="Y146" s="20">
        <v>0.02</v>
      </c>
      <c r="Z146" s="10">
        <v>46087</v>
      </c>
      <c r="AA146" s="10">
        <v>46106</v>
      </c>
      <c r="AB146" s="10">
        <v>46122</v>
      </c>
      <c r="AC146" s="10">
        <v>46189</v>
      </c>
      <c r="AD146" s="31">
        <f t="shared" ca="1" si="56"/>
        <v>29</v>
      </c>
      <c r="AE146" s="55" t="s">
        <v>247</v>
      </c>
      <c r="AF146" s="63" t="s">
        <v>155</v>
      </c>
      <c r="AG146" s="10" t="s">
        <v>78</v>
      </c>
      <c r="AH146" s="10" t="s">
        <v>78</v>
      </c>
      <c r="AI146" s="9" t="s">
        <v>53</v>
      </c>
      <c r="AJ146" s="10">
        <v>46133</v>
      </c>
      <c r="AK146" s="10">
        <v>46174</v>
      </c>
      <c r="AL146" t="s">
        <v>2028</v>
      </c>
      <c r="AM146" s="27" t="str">
        <f t="shared" si="57"/>
        <v>Atrasado</v>
      </c>
      <c r="AN146" s="27" t="str">
        <f t="shared" ca="1" si="58"/>
        <v>Crítico</v>
      </c>
      <c r="AO146" s="27" t="str">
        <f t="shared" ca="1" si="59"/>
        <v>Embarcado</v>
      </c>
    </row>
    <row r="147" spans="1:41" hidden="1">
      <c r="A147">
        <v>508674</v>
      </c>
      <c r="B147">
        <v>1</v>
      </c>
      <c r="C147" t="s">
        <v>25</v>
      </c>
      <c r="D147" t="s">
        <v>461</v>
      </c>
      <c r="E147" s="23" t="s">
        <v>462</v>
      </c>
      <c r="F147" s="24">
        <v>100</v>
      </c>
      <c r="G147" s="25">
        <v>154.59</v>
      </c>
      <c r="H147" s="25">
        <f t="shared" si="63"/>
        <v>15459</v>
      </c>
      <c r="I147" s="26">
        <v>46125</v>
      </c>
      <c r="J147" s="10">
        <v>46030</v>
      </c>
      <c r="K147" s="10">
        <v>46031</v>
      </c>
      <c r="L147" s="27" t="str">
        <f t="shared" si="62"/>
        <v>On time</v>
      </c>
      <c r="M147" s="58">
        <v>46085</v>
      </c>
      <c r="N147" s="27" t="str">
        <f t="shared" si="61"/>
        <v>Atrasado</v>
      </c>
      <c r="O147" s="27">
        <f t="shared" si="52"/>
        <v>55</v>
      </c>
      <c r="P147" s="28" t="str">
        <f t="shared" si="60"/>
        <v>On time</v>
      </c>
      <c r="Q147" s="27">
        <f t="shared" si="53"/>
        <v>95</v>
      </c>
      <c r="R147" s="29" t="s">
        <v>428</v>
      </c>
      <c r="S147" s="12" t="s">
        <v>65</v>
      </c>
      <c r="T147" s="35">
        <v>19</v>
      </c>
      <c r="U147" t="s">
        <v>394</v>
      </c>
      <c r="V147" s="27">
        <v>100</v>
      </c>
      <c r="W147" s="9">
        <v>6.09</v>
      </c>
      <c r="X147" s="9">
        <f t="shared" si="64"/>
        <v>609</v>
      </c>
      <c r="Y147" s="20">
        <v>0.71</v>
      </c>
      <c r="Z147" s="10">
        <v>46087</v>
      </c>
      <c r="AA147" s="10">
        <v>46106</v>
      </c>
      <c r="AB147" s="10">
        <v>46122</v>
      </c>
      <c r="AC147" s="10">
        <v>46189</v>
      </c>
      <c r="AD147" s="31">
        <f t="shared" ca="1" si="56"/>
        <v>29</v>
      </c>
      <c r="AE147" s="55" t="s">
        <v>247</v>
      </c>
      <c r="AF147" s="63" t="s">
        <v>155</v>
      </c>
      <c r="AG147" s="10" t="s">
        <v>78</v>
      </c>
      <c r="AH147" s="10" t="s">
        <v>78</v>
      </c>
      <c r="AI147" s="9" t="s">
        <v>53</v>
      </c>
      <c r="AJ147" s="10">
        <v>46133</v>
      </c>
      <c r="AK147" s="10">
        <v>46174</v>
      </c>
      <c r="AL147" t="s">
        <v>2028</v>
      </c>
      <c r="AM147" s="27" t="str">
        <f t="shared" si="57"/>
        <v>Atrasado</v>
      </c>
      <c r="AN147" s="27" t="str">
        <f t="shared" ca="1" si="58"/>
        <v>Atrasado</v>
      </c>
      <c r="AO147" s="27" t="str">
        <f t="shared" ca="1" si="59"/>
        <v>Embarcado</v>
      </c>
    </row>
    <row r="148" spans="1:41" hidden="1">
      <c r="A148">
        <v>513106</v>
      </c>
      <c r="B148">
        <v>16</v>
      </c>
      <c r="C148" t="s">
        <v>25</v>
      </c>
      <c r="D148" t="s">
        <v>826</v>
      </c>
      <c r="E148" s="23" t="s">
        <v>827</v>
      </c>
      <c r="F148" s="24">
        <v>30</v>
      </c>
      <c r="G148" s="25">
        <v>277.45</v>
      </c>
      <c r="H148" s="25">
        <f t="shared" si="63"/>
        <v>8323.5</v>
      </c>
      <c r="I148" s="26">
        <v>46248</v>
      </c>
      <c r="J148" s="10">
        <v>46097</v>
      </c>
      <c r="K148" s="10">
        <v>46098</v>
      </c>
      <c r="L148" s="27" t="str">
        <f t="shared" si="62"/>
        <v>On time</v>
      </c>
      <c r="M148" s="58">
        <v>46085</v>
      </c>
      <c r="N148" s="27" t="str">
        <f t="shared" si="61"/>
        <v>On time</v>
      </c>
      <c r="O148" s="27">
        <f t="shared" si="52"/>
        <v>-12</v>
      </c>
      <c r="P148" s="28" t="str">
        <f t="shared" si="60"/>
        <v>On time</v>
      </c>
      <c r="Q148" s="27">
        <f t="shared" si="53"/>
        <v>151</v>
      </c>
      <c r="R148" s="29" t="s">
        <v>428</v>
      </c>
      <c r="S148" s="12" t="s">
        <v>65</v>
      </c>
      <c r="T148" s="35">
        <v>20</v>
      </c>
      <c r="U148" t="s">
        <v>395</v>
      </c>
      <c r="V148" s="27">
        <v>30</v>
      </c>
      <c r="W148" s="9">
        <v>7.87</v>
      </c>
      <c r="X148" s="9">
        <f t="shared" si="64"/>
        <v>236.1</v>
      </c>
      <c r="Y148" s="20">
        <v>0.82</v>
      </c>
      <c r="Z148" s="10">
        <v>46087</v>
      </c>
      <c r="AA148" s="10">
        <v>46106</v>
      </c>
      <c r="AB148" s="10">
        <v>46122</v>
      </c>
      <c r="AC148" s="10">
        <v>46189</v>
      </c>
      <c r="AD148" s="31">
        <f t="shared" ca="1" si="56"/>
        <v>29</v>
      </c>
      <c r="AE148" s="55" t="s">
        <v>247</v>
      </c>
      <c r="AF148" s="63" t="s">
        <v>155</v>
      </c>
      <c r="AG148" s="10" t="s">
        <v>78</v>
      </c>
      <c r="AH148" s="10" t="s">
        <v>78</v>
      </c>
      <c r="AI148" s="9" t="s">
        <v>53</v>
      </c>
      <c r="AJ148" s="10">
        <v>46133</v>
      </c>
      <c r="AK148" s="10">
        <v>46174</v>
      </c>
      <c r="AL148" t="s">
        <v>2028</v>
      </c>
      <c r="AM148" s="27" t="str">
        <f t="shared" si="57"/>
        <v>Atrasado</v>
      </c>
      <c r="AN148" s="27" t="str">
        <f t="shared" ca="1" si="58"/>
        <v>No prazo</v>
      </c>
      <c r="AO148" s="27" t="str">
        <f t="shared" ca="1" si="59"/>
        <v>Embarcado</v>
      </c>
    </row>
    <row r="149" spans="1:41" hidden="1">
      <c r="A149">
        <v>511579</v>
      </c>
      <c r="B149">
        <v>3</v>
      </c>
      <c r="C149" t="s">
        <v>25</v>
      </c>
      <c r="D149" t="s">
        <v>463</v>
      </c>
      <c r="E149" s="23" t="s">
        <v>464</v>
      </c>
      <c r="F149" s="24">
        <v>4</v>
      </c>
      <c r="G149" s="25">
        <v>1600.9</v>
      </c>
      <c r="H149" s="25">
        <f t="shared" si="63"/>
        <v>6403.6</v>
      </c>
      <c r="I149" s="26">
        <v>46226</v>
      </c>
      <c r="J149" s="10">
        <v>46077</v>
      </c>
      <c r="K149" s="10">
        <v>46077</v>
      </c>
      <c r="L149" s="27" t="str">
        <f t="shared" si="62"/>
        <v>On time</v>
      </c>
      <c r="M149" s="58">
        <v>46085</v>
      </c>
      <c r="N149" s="27" t="str">
        <f t="shared" si="61"/>
        <v>Atrasado</v>
      </c>
      <c r="O149" s="27">
        <f t="shared" si="52"/>
        <v>8</v>
      </c>
      <c r="P149" s="28" t="str">
        <f t="shared" si="60"/>
        <v>On time</v>
      </c>
      <c r="Q149" s="27">
        <f t="shared" si="53"/>
        <v>149</v>
      </c>
      <c r="R149" s="29" t="s">
        <v>428</v>
      </c>
      <c r="S149" s="12" t="s">
        <v>65</v>
      </c>
      <c r="T149" s="35">
        <v>21</v>
      </c>
      <c r="U149" t="s">
        <v>396</v>
      </c>
      <c r="V149" s="27">
        <v>6</v>
      </c>
      <c r="W149" s="9">
        <v>59.26</v>
      </c>
      <c r="X149" s="9">
        <f t="shared" si="64"/>
        <v>355.56</v>
      </c>
      <c r="Y149" s="20">
        <v>7.19</v>
      </c>
      <c r="Z149" s="10">
        <v>46087</v>
      </c>
      <c r="AA149" s="10">
        <v>46106</v>
      </c>
      <c r="AB149" s="10">
        <v>46122</v>
      </c>
      <c r="AC149" s="10">
        <v>46189</v>
      </c>
      <c r="AD149" s="31">
        <f t="shared" ca="1" si="56"/>
        <v>29</v>
      </c>
      <c r="AE149" s="55" t="s">
        <v>247</v>
      </c>
      <c r="AF149" s="63" t="s">
        <v>155</v>
      </c>
      <c r="AG149" s="10" t="s">
        <v>78</v>
      </c>
      <c r="AH149" s="10" t="s">
        <v>78</v>
      </c>
      <c r="AI149" s="9" t="s">
        <v>53</v>
      </c>
      <c r="AJ149" s="10">
        <v>46133</v>
      </c>
      <c r="AK149" s="10">
        <v>46174</v>
      </c>
      <c r="AL149" t="s">
        <v>2028</v>
      </c>
      <c r="AM149" s="27" t="str">
        <f t="shared" si="57"/>
        <v>Atrasado</v>
      </c>
      <c r="AN149" s="27" t="str">
        <f t="shared" ca="1" si="58"/>
        <v>No prazo</v>
      </c>
      <c r="AO149" s="27" t="str">
        <f t="shared" ca="1" si="59"/>
        <v>Embarcado</v>
      </c>
    </row>
    <row r="150" spans="1:41" hidden="1">
      <c r="D150" t="s">
        <v>397</v>
      </c>
      <c r="E150" s="23" t="s">
        <v>1342</v>
      </c>
      <c r="F150" s="24"/>
      <c r="I150" s="26"/>
      <c r="J150" s="10"/>
      <c r="K150" s="10"/>
      <c r="L150" s="27" t="str">
        <f t="shared" si="62"/>
        <v xml:space="preserve"> </v>
      </c>
      <c r="M150" s="58"/>
      <c r="N150" s="27" t="str">
        <f t="shared" si="61"/>
        <v xml:space="preserve"> </v>
      </c>
      <c r="O150" s="27">
        <f t="shared" si="52"/>
        <v>0</v>
      </c>
      <c r="P150" s="28" t="str">
        <f t="shared" si="60"/>
        <v>On time</v>
      </c>
      <c r="Q150" s="27">
        <f t="shared" si="53"/>
        <v>0</v>
      </c>
      <c r="R150" s="29" t="s">
        <v>428</v>
      </c>
      <c r="S150" s="12" t="s">
        <v>65</v>
      </c>
      <c r="T150" s="35">
        <v>22</v>
      </c>
      <c r="U150" t="s">
        <v>397</v>
      </c>
      <c r="V150" s="27">
        <v>30</v>
      </c>
      <c r="W150" s="9">
        <v>10.75</v>
      </c>
      <c r="X150" s="9">
        <f t="shared" si="64"/>
        <v>322.5</v>
      </c>
      <c r="Y150" s="20">
        <v>0.87</v>
      </c>
      <c r="Z150" s="10">
        <v>46087</v>
      </c>
      <c r="AA150" s="10">
        <v>46106</v>
      </c>
      <c r="AB150" s="10">
        <v>46122</v>
      </c>
      <c r="AC150" s="10">
        <v>46189</v>
      </c>
      <c r="AD150" s="31">
        <f t="shared" ca="1" si="56"/>
        <v>29</v>
      </c>
      <c r="AE150" s="55" t="s">
        <v>247</v>
      </c>
      <c r="AF150" s="63" t="s">
        <v>155</v>
      </c>
      <c r="AG150" s="10" t="s">
        <v>78</v>
      </c>
      <c r="AH150" s="10" t="s">
        <v>78</v>
      </c>
      <c r="AI150" s="9" t="s">
        <v>53</v>
      </c>
      <c r="AJ150" s="10">
        <v>46133</v>
      </c>
      <c r="AK150" s="10">
        <v>46174</v>
      </c>
      <c r="AL150" t="s">
        <v>2028</v>
      </c>
      <c r="AM150" s="27" t="str">
        <f t="shared" si="57"/>
        <v>Atrasado</v>
      </c>
      <c r="AN150" s="27" t="str">
        <f t="shared" ca="1" si="58"/>
        <v>Estoque</v>
      </c>
      <c r="AO150" s="27" t="str">
        <f t="shared" ca="1" si="59"/>
        <v>Embarcado</v>
      </c>
    </row>
    <row r="151" spans="1:41" hidden="1">
      <c r="A151">
        <v>511602</v>
      </c>
      <c r="B151">
        <v>3</v>
      </c>
      <c r="C151" t="s">
        <v>25</v>
      </c>
      <c r="D151" t="s">
        <v>465</v>
      </c>
      <c r="E151" s="23" t="s">
        <v>466</v>
      </c>
      <c r="F151" s="24">
        <v>1</v>
      </c>
      <c r="G151" s="25">
        <v>2617.96</v>
      </c>
      <c r="H151" s="25">
        <f t="shared" si="63"/>
        <v>2617.96</v>
      </c>
      <c r="I151" s="26">
        <v>46227</v>
      </c>
      <c r="J151" s="10">
        <v>46077</v>
      </c>
      <c r="K151" s="10">
        <v>46078</v>
      </c>
      <c r="L151" s="27" t="str">
        <f t="shared" si="62"/>
        <v>On time</v>
      </c>
      <c r="M151" s="58">
        <v>46085</v>
      </c>
      <c r="N151" s="27" t="str">
        <f t="shared" si="61"/>
        <v>Atrasado</v>
      </c>
      <c r="O151" s="27">
        <f t="shared" si="52"/>
        <v>8</v>
      </c>
      <c r="P151" s="28" t="str">
        <f t="shared" si="60"/>
        <v>On time</v>
      </c>
      <c r="Q151" s="27">
        <f t="shared" si="53"/>
        <v>150</v>
      </c>
      <c r="R151" s="29" t="s">
        <v>428</v>
      </c>
      <c r="S151" s="12" t="s">
        <v>65</v>
      </c>
      <c r="T151" s="35">
        <v>23</v>
      </c>
      <c r="U151" t="s">
        <v>398</v>
      </c>
      <c r="V151" s="27">
        <v>1</v>
      </c>
      <c r="W151" s="9">
        <v>100.39</v>
      </c>
      <c r="X151" s="9">
        <f t="shared" si="64"/>
        <v>100.39</v>
      </c>
      <c r="Y151" s="20">
        <v>5.33</v>
      </c>
      <c r="Z151" s="10">
        <v>46087</v>
      </c>
      <c r="AA151" s="10">
        <v>46106</v>
      </c>
      <c r="AB151" s="10">
        <v>46122</v>
      </c>
      <c r="AC151" s="10">
        <v>46189</v>
      </c>
      <c r="AD151" s="31">
        <f t="shared" ca="1" si="56"/>
        <v>29</v>
      </c>
      <c r="AE151" s="55" t="s">
        <v>247</v>
      </c>
      <c r="AF151" s="63" t="s">
        <v>155</v>
      </c>
      <c r="AG151" s="10" t="s">
        <v>78</v>
      </c>
      <c r="AH151" s="10" t="s">
        <v>78</v>
      </c>
      <c r="AI151" s="9" t="s">
        <v>53</v>
      </c>
      <c r="AJ151" s="10">
        <v>46133</v>
      </c>
      <c r="AK151" s="10">
        <v>46174</v>
      </c>
      <c r="AL151" t="s">
        <v>2028</v>
      </c>
      <c r="AM151" s="27" t="str">
        <f t="shared" si="57"/>
        <v>Atrasado</v>
      </c>
      <c r="AN151" s="27" t="str">
        <f t="shared" ca="1" si="58"/>
        <v>No prazo</v>
      </c>
      <c r="AO151" s="27" t="str">
        <f t="shared" ca="1" si="59"/>
        <v>Embarcado</v>
      </c>
    </row>
    <row r="152" spans="1:41" hidden="1">
      <c r="A152">
        <v>511602</v>
      </c>
      <c r="B152">
        <v>4</v>
      </c>
      <c r="C152" t="s">
        <v>25</v>
      </c>
      <c r="D152" t="s">
        <v>467</v>
      </c>
      <c r="E152" s="23" t="s">
        <v>468</v>
      </c>
      <c r="F152" s="24">
        <v>8</v>
      </c>
      <c r="G152" s="25">
        <v>327.26</v>
      </c>
      <c r="H152" s="25">
        <f t="shared" si="63"/>
        <v>2618.08</v>
      </c>
      <c r="I152" s="26">
        <v>46227</v>
      </c>
      <c r="J152" s="10">
        <v>46077</v>
      </c>
      <c r="K152" s="10">
        <v>46078</v>
      </c>
      <c r="L152" s="27" t="str">
        <f t="shared" si="62"/>
        <v>On time</v>
      </c>
      <c r="M152" s="58">
        <v>46085</v>
      </c>
      <c r="N152" s="27" t="str">
        <f t="shared" si="61"/>
        <v>Atrasado</v>
      </c>
      <c r="O152" s="27">
        <f t="shared" si="52"/>
        <v>8</v>
      </c>
      <c r="P152" s="28" t="str">
        <f t="shared" si="60"/>
        <v>On time</v>
      </c>
      <c r="Q152" s="27">
        <f t="shared" si="53"/>
        <v>150</v>
      </c>
      <c r="R152" s="29" t="s">
        <v>428</v>
      </c>
      <c r="S152" s="12" t="s">
        <v>65</v>
      </c>
      <c r="T152" s="35">
        <v>24</v>
      </c>
      <c r="U152" t="s">
        <v>399</v>
      </c>
      <c r="V152" s="27">
        <v>20</v>
      </c>
      <c r="W152" s="9">
        <v>12.55</v>
      </c>
      <c r="X152" s="9">
        <f t="shared" si="64"/>
        <v>251</v>
      </c>
      <c r="Y152" s="20">
        <v>0.62</v>
      </c>
      <c r="Z152" s="10">
        <v>46087</v>
      </c>
      <c r="AA152" s="10">
        <v>46106</v>
      </c>
      <c r="AB152" s="10">
        <v>46122</v>
      </c>
      <c r="AC152" s="10">
        <v>46189</v>
      </c>
      <c r="AD152" s="31">
        <f t="shared" ca="1" si="56"/>
        <v>29</v>
      </c>
      <c r="AE152" s="55" t="s">
        <v>247</v>
      </c>
      <c r="AF152" s="63" t="s">
        <v>155</v>
      </c>
      <c r="AG152" s="10" t="s">
        <v>78</v>
      </c>
      <c r="AH152" s="10" t="s">
        <v>78</v>
      </c>
      <c r="AI152" s="9" t="s">
        <v>53</v>
      </c>
      <c r="AJ152" s="10">
        <v>46133</v>
      </c>
      <c r="AK152" s="10">
        <v>46174</v>
      </c>
      <c r="AL152" t="s">
        <v>2028</v>
      </c>
      <c r="AM152" s="27" t="str">
        <f t="shared" si="57"/>
        <v>Atrasado</v>
      </c>
      <c r="AN152" s="27" t="str">
        <f t="shared" ca="1" si="58"/>
        <v>No prazo</v>
      </c>
      <c r="AO152" s="27" t="str">
        <f t="shared" ca="1" si="59"/>
        <v>Embarcado</v>
      </c>
    </row>
    <row r="153" spans="1:41" hidden="1">
      <c r="A153">
        <v>511602</v>
      </c>
      <c r="B153">
        <v>5</v>
      </c>
      <c r="C153" t="s">
        <v>25</v>
      </c>
      <c r="D153" t="s">
        <v>469</v>
      </c>
      <c r="E153" s="23" t="s">
        <v>470</v>
      </c>
      <c r="F153" s="24">
        <v>6</v>
      </c>
      <c r="G153" s="25">
        <v>542.94000000000005</v>
      </c>
      <c r="H153" s="25">
        <f t="shared" si="63"/>
        <v>3257.6400000000003</v>
      </c>
      <c r="I153" s="26">
        <v>46227</v>
      </c>
      <c r="J153" s="10">
        <v>46077</v>
      </c>
      <c r="K153" s="10">
        <v>46078</v>
      </c>
      <c r="L153" s="27" t="str">
        <f t="shared" si="62"/>
        <v>On time</v>
      </c>
      <c r="M153" s="58">
        <v>46085</v>
      </c>
      <c r="N153" s="27" t="str">
        <f t="shared" si="61"/>
        <v>Atrasado</v>
      </c>
      <c r="O153" s="27">
        <f t="shared" si="52"/>
        <v>8</v>
      </c>
      <c r="P153" s="28" t="str">
        <f t="shared" si="60"/>
        <v>On time</v>
      </c>
      <c r="Q153" s="27">
        <f t="shared" si="53"/>
        <v>150</v>
      </c>
      <c r="R153" s="29" t="s">
        <v>428</v>
      </c>
      <c r="S153" s="12" t="s">
        <v>65</v>
      </c>
      <c r="T153" s="35">
        <v>25</v>
      </c>
      <c r="U153" t="s">
        <v>400</v>
      </c>
      <c r="V153" s="27">
        <v>6</v>
      </c>
      <c r="W153" s="9">
        <v>30.21</v>
      </c>
      <c r="X153" s="9">
        <f t="shared" si="64"/>
        <v>181.26</v>
      </c>
      <c r="Y153" s="20">
        <v>1.34</v>
      </c>
      <c r="Z153" s="10">
        <v>46087</v>
      </c>
      <c r="AA153" s="10">
        <v>46106</v>
      </c>
      <c r="AB153" s="10">
        <v>46122</v>
      </c>
      <c r="AC153" s="10">
        <v>46189</v>
      </c>
      <c r="AD153" s="31">
        <f t="shared" ca="1" si="56"/>
        <v>29</v>
      </c>
      <c r="AE153" s="55" t="s">
        <v>247</v>
      </c>
      <c r="AF153" s="63" t="s">
        <v>155</v>
      </c>
      <c r="AG153" s="10" t="s">
        <v>78</v>
      </c>
      <c r="AH153" s="10" t="s">
        <v>78</v>
      </c>
      <c r="AI153" s="9" t="s">
        <v>53</v>
      </c>
      <c r="AJ153" s="10">
        <v>46133</v>
      </c>
      <c r="AK153" s="10">
        <v>46174</v>
      </c>
      <c r="AL153" t="s">
        <v>2028</v>
      </c>
      <c r="AM153" s="27" t="str">
        <f t="shared" si="57"/>
        <v>Atrasado</v>
      </c>
      <c r="AN153" s="27" t="str">
        <f t="shared" ca="1" si="58"/>
        <v>No prazo</v>
      </c>
      <c r="AO153" s="27" t="str">
        <f t="shared" ca="1" si="59"/>
        <v>Embarcado</v>
      </c>
    </row>
    <row r="154" spans="1:41" hidden="1">
      <c r="A154">
        <v>511602</v>
      </c>
      <c r="B154">
        <v>6</v>
      </c>
      <c r="C154" t="s">
        <v>25</v>
      </c>
      <c r="D154" t="s">
        <v>471</v>
      </c>
      <c r="E154" s="23" t="s">
        <v>472</v>
      </c>
      <c r="F154" s="24">
        <v>2</v>
      </c>
      <c r="G154" s="25">
        <v>2920.88</v>
      </c>
      <c r="H154" s="25">
        <f t="shared" si="63"/>
        <v>5841.76</v>
      </c>
      <c r="I154" s="26">
        <v>46227</v>
      </c>
      <c r="J154" s="10">
        <v>46077</v>
      </c>
      <c r="K154" s="10">
        <v>46078</v>
      </c>
      <c r="L154" s="27" t="str">
        <f t="shared" si="62"/>
        <v>On time</v>
      </c>
      <c r="M154" s="58">
        <v>46085</v>
      </c>
      <c r="N154" s="27" t="str">
        <f t="shared" si="61"/>
        <v>Atrasado</v>
      </c>
      <c r="O154" s="27">
        <f t="shared" si="52"/>
        <v>8</v>
      </c>
      <c r="P154" s="28" t="str">
        <f t="shared" si="60"/>
        <v>On time</v>
      </c>
      <c r="Q154" s="27">
        <f t="shared" si="53"/>
        <v>150</v>
      </c>
      <c r="R154" s="29" t="s">
        <v>428</v>
      </c>
      <c r="S154" s="12" t="s">
        <v>65</v>
      </c>
      <c r="T154" s="35">
        <v>26</v>
      </c>
      <c r="U154" t="s">
        <v>401</v>
      </c>
      <c r="V154" s="27">
        <v>2</v>
      </c>
      <c r="W154" s="9">
        <v>171.97</v>
      </c>
      <c r="X154" s="9">
        <f t="shared" si="64"/>
        <v>343.94</v>
      </c>
      <c r="Y154" s="20">
        <v>9</v>
      </c>
      <c r="Z154" s="10">
        <v>46087</v>
      </c>
      <c r="AA154" s="10">
        <v>46106</v>
      </c>
      <c r="AB154" s="10">
        <v>46122</v>
      </c>
      <c r="AC154" s="10">
        <v>46189</v>
      </c>
      <c r="AD154" s="31">
        <f t="shared" ca="1" si="56"/>
        <v>29</v>
      </c>
      <c r="AE154" s="55" t="s">
        <v>247</v>
      </c>
      <c r="AF154" s="63" t="s">
        <v>155</v>
      </c>
      <c r="AG154" s="10" t="s">
        <v>78</v>
      </c>
      <c r="AH154" s="10" t="s">
        <v>78</v>
      </c>
      <c r="AI154" s="9" t="s">
        <v>53</v>
      </c>
      <c r="AJ154" s="10">
        <v>46133</v>
      </c>
      <c r="AK154" s="10">
        <v>46174</v>
      </c>
      <c r="AL154" t="s">
        <v>2028</v>
      </c>
      <c r="AM154" s="27" t="str">
        <f t="shared" si="57"/>
        <v>Atrasado</v>
      </c>
      <c r="AN154" s="27" t="str">
        <f t="shared" ca="1" si="58"/>
        <v>No prazo</v>
      </c>
      <c r="AO154" s="27" t="str">
        <f t="shared" ca="1" si="59"/>
        <v>Embarcado</v>
      </c>
    </row>
    <row r="155" spans="1:41" hidden="1">
      <c r="A155">
        <v>511602</v>
      </c>
      <c r="B155">
        <v>7</v>
      </c>
      <c r="C155" t="s">
        <v>25</v>
      </c>
      <c r="D155" t="s">
        <v>473</v>
      </c>
      <c r="E155" s="23" t="s">
        <v>474</v>
      </c>
      <c r="F155" s="24">
        <v>1</v>
      </c>
      <c r="G155" s="25">
        <v>484.77</v>
      </c>
      <c r="H155" s="25">
        <f t="shared" si="63"/>
        <v>484.77</v>
      </c>
      <c r="I155" s="26">
        <v>46227</v>
      </c>
      <c r="J155" s="10">
        <v>46077</v>
      </c>
      <c r="K155" s="10">
        <v>46078</v>
      </c>
      <c r="L155" s="27" t="str">
        <f t="shared" si="62"/>
        <v>On time</v>
      </c>
      <c r="M155" s="58">
        <v>46085</v>
      </c>
      <c r="N155" s="27" t="str">
        <f t="shared" si="61"/>
        <v>Atrasado</v>
      </c>
      <c r="O155" s="27">
        <f t="shared" si="52"/>
        <v>8</v>
      </c>
      <c r="P155" s="28" t="str">
        <f t="shared" si="60"/>
        <v>On time</v>
      </c>
      <c r="Q155" s="27">
        <f t="shared" si="53"/>
        <v>150</v>
      </c>
      <c r="R155" s="29" t="s">
        <v>428</v>
      </c>
      <c r="S155" s="12" t="s">
        <v>65</v>
      </c>
      <c r="T155" s="35">
        <v>27</v>
      </c>
      <c r="U155" t="s">
        <v>402</v>
      </c>
      <c r="V155" s="27">
        <v>5</v>
      </c>
      <c r="W155" s="9">
        <v>18.79</v>
      </c>
      <c r="X155" s="9">
        <f t="shared" si="64"/>
        <v>93.949999999999989</v>
      </c>
      <c r="Y155" s="20">
        <v>0.87</v>
      </c>
      <c r="Z155" s="10">
        <v>46087</v>
      </c>
      <c r="AA155" s="10">
        <v>46106</v>
      </c>
      <c r="AB155" s="10">
        <v>46122</v>
      </c>
      <c r="AC155" s="10">
        <v>46189</v>
      </c>
      <c r="AD155" s="31">
        <f t="shared" ca="1" si="56"/>
        <v>29</v>
      </c>
      <c r="AE155" s="55" t="s">
        <v>247</v>
      </c>
      <c r="AF155" s="63" t="s">
        <v>155</v>
      </c>
      <c r="AG155" s="10" t="s">
        <v>78</v>
      </c>
      <c r="AH155" s="10" t="s">
        <v>78</v>
      </c>
      <c r="AI155" s="9" t="s">
        <v>53</v>
      </c>
      <c r="AJ155" s="10">
        <v>46133</v>
      </c>
      <c r="AK155" s="10">
        <v>46174</v>
      </c>
      <c r="AL155" t="s">
        <v>2028</v>
      </c>
      <c r="AM155" s="27" t="str">
        <f t="shared" si="57"/>
        <v>Atrasado</v>
      </c>
      <c r="AN155" s="27" t="str">
        <f t="shared" ca="1" si="58"/>
        <v>No prazo</v>
      </c>
      <c r="AO155" s="27" t="str">
        <f t="shared" ca="1" si="59"/>
        <v>Embarcado</v>
      </c>
    </row>
    <row r="156" spans="1:41" hidden="1">
      <c r="A156">
        <v>511602</v>
      </c>
      <c r="B156">
        <v>8</v>
      </c>
      <c r="C156" t="s">
        <v>25</v>
      </c>
      <c r="D156" t="s">
        <v>475</v>
      </c>
      <c r="E156" s="23" t="s">
        <v>476</v>
      </c>
      <c r="F156" s="24">
        <v>1</v>
      </c>
      <c r="G156" s="25">
        <v>1332.32</v>
      </c>
      <c r="H156" s="25">
        <f t="shared" si="63"/>
        <v>1332.32</v>
      </c>
      <c r="I156" s="26">
        <v>46227</v>
      </c>
      <c r="J156" s="10">
        <v>46077</v>
      </c>
      <c r="K156" s="10">
        <v>46078</v>
      </c>
      <c r="L156" s="27" t="str">
        <f t="shared" si="62"/>
        <v>On time</v>
      </c>
      <c r="M156" s="58">
        <v>46085</v>
      </c>
      <c r="N156" s="27" t="str">
        <f t="shared" si="61"/>
        <v>Atrasado</v>
      </c>
      <c r="O156" s="27">
        <f t="shared" si="52"/>
        <v>8</v>
      </c>
      <c r="P156" s="28" t="str">
        <f t="shared" si="60"/>
        <v>On time</v>
      </c>
      <c r="Q156" s="27">
        <f t="shared" si="53"/>
        <v>150</v>
      </c>
      <c r="R156" s="29" t="s">
        <v>428</v>
      </c>
      <c r="S156" s="12" t="s">
        <v>65</v>
      </c>
      <c r="T156" s="35">
        <v>28</v>
      </c>
      <c r="U156" t="s">
        <v>403</v>
      </c>
      <c r="V156" s="27">
        <v>1</v>
      </c>
      <c r="W156" s="9">
        <v>51.13</v>
      </c>
      <c r="X156" s="9">
        <f t="shared" si="64"/>
        <v>51.13</v>
      </c>
      <c r="Y156" s="20">
        <v>2.21</v>
      </c>
      <c r="Z156" s="10">
        <v>46087</v>
      </c>
      <c r="AA156" s="10">
        <v>46106</v>
      </c>
      <c r="AB156" s="10">
        <v>46122</v>
      </c>
      <c r="AC156" s="10">
        <v>46189</v>
      </c>
      <c r="AD156" s="31">
        <f t="shared" ca="1" si="56"/>
        <v>29</v>
      </c>
      <c r="AE156" s="55" t="s">
        <v>247</v>
      </c>
      <c r="AF156" s="63" t="s">
        <v>155</v>
      </c>
      <c r="AG156" s="10" t="s">
        <v>78</v>
      </c>
      <c r="AH156" s="10" t="s">
        <v>78</v>
      </c>
      <c r="AI156" s="9" t="s">
        <v>53</v>
      </c>
      <c r="AJ156" s="10">
        <v>46133</v>
      </c>
      <c r="AK156" s="10">
        <v>46174</v>
      </c>
      <c r="AL156" t="s">
        <v>2028</v>
      </c>
      <c r="AM156" s="27" t="str">
        <f t="shared" si="57"/>
        <v>Atrasado</v>
      </c>
      <c r="AN156" s="27" t="str">
        <f t="shared" ca="1" si="58"/>
        <v>No prazo</v>
      </c>
      <c r="AO156" s="27" t="str">
        <f t="shared" ca="1" si="59"/>
        <v>Embarcado</v>
      </c>
    </row>
    <row r="157" spans="1:41" hidden="1">
      <c r="A157">
        <v>511569</v>
      </c>
      <c r="B157">
        <v>3</v>
      </c>
      <c r="C157" t="s">
        <v>25</v>
      </c>
      <c r="D157" t="s">
        <v>477</v>
      </c>
      <c r="E157" s="23" t="s">
        <v>478</v>
      </c>
      <c r="F157" s="24">
        <v>20</v>
      </c>
      <c r="G157" s="25">
        <v>9.3800000000000008</v>
      </c>
      <c r="H157" s="25">
        <f t="shared" si="63"/>
        <v>187.60000000000002</v>
      </c>
      <c r="I157" s="26">
        <v>46227</v>
      </c>
      <c r="J157" s="10">
        <v>46077</v>
      </c>
      <c r="K157" s="10">
        <v>46077</v>
      </c>
      <c r="L157" s="27" t="str">
        <f t="shared" si="62"/>
        <v>On time</v>
      </c>
      <c r="M157" s="58">
        <v>46085</v>
      </c>
      <c r="N157" s="27" t="str">
        <f t="shared" si="61"/>
        <v>Atrasado</v>
      </c>
      <c r="O157" s="27">
        <f t="shared" si="52"/>
        <v>8</v>
      </c>
      <c r="P157" s="28" t="str">
        <f t="shared" si="60"/>
        <v>On time</v>
      </c>
      <c r="Q157" s="27">
        <f t="shared" si="53"/>
        <v>150</v>
      </c>
      <c r="R157" s="29" t="s">
        <v>428</v>
      </c>
      <c r="S157" s="12" t="s">
        <v>65</v>
      </c>
      <c r="T157" s="35">
        <v>29</v>
      </c>
      <c r="U157" t="s">
        <v>404</v>
      </c>
      <c r="V157" s="27">
        <v>20</v>
      </c>
      <c r="W157" s="9">
        <v>0.31</v>
      </c>
      <c r="X157" s="9">
        <f t="shared" si="64"/>
        <v>6.2</v>
      </c>
      <c r="Y157" s="20">
        <v>0.1</v>
      </c>
      <c r="Z157" s="10">
        <v>46087</v>
      </c>
      <c r="AA157" s="10">
        <v>46106</v>
      </c>
      <c r="AB157" s="10">
        <v>46122</v>
      </c>
      <c r="AC157" s="10">
        <v>46189</v>
      </c>
      <c r="AD157" s="31">
        <f t="shared" ca="1" si="56"/>
        <v>29</v>
      </c>
      <c r="AE157" s="55" t="s">
        <v>247</v>
      </c>
      <c r="AF157" s="63" t="s">
        <v>155</v>
      </c>
      <c r="AG157" s="10" t="s">
        <v>78</v>
      </c>
      <c r="AH157" s="10" t="s">
        <v>78</v>
      </c>
      <c r="AI157" s="9" t="s">
        <v>53</v>
      </c>
      <c r="AJ157" s="10">
        <v>46133</v>
      </c>
      <c r="AK157" s="10">
        <v>46174</v>
      </c>
      <c r="AL157" t="s">
        <v>2028</v>
      </c>
      <c r="AM157" s="27" t="str">
        <f t="shared" si="57"/>
        <v>Atrasado</v>
      </c>
      <c r="AN157" s="27" t="str">
        <f t="shared" ca="1" si="58"/>
        <v>No prazo</v>
      </c>
      <c r="AO157" s="27" t="str">
        <f t="shared" ca="1" si="59"/>
        <v>Embarcado</v>
      </c>
    </row>
    <row r="158" spans="1:41" hidden="1">
      <c r="A158">
        <v>511585</v>
      </c>
      <c r="B158">
        <v>1</v>
      </c>
      <c r="C158" t="s">
        <v>25</v>
      </c>
      <c r="D158" t="s">
        <v>479</v>
      </c>
      <c r="E158" s="23" t="s">
        <v>480</v>
      </c>
      <c r="F158" s="24">
        <v>8</v>
      </c>
      <c r="G158" s="25">
        <v>12.54</v>
      </c>
      <c r="H158" s="25">
        <f t="shared" si="63"/>
        <v>100.32</v>
      </c>
      <c r="I158" s="26">
        <v>46230</v>
      </c>
      <c r="J158" s="10">
        <v>46077</v>
      </c>
      <c r="K158" s="10">
        <v>46077</v>
      </c>
      <c r="L158" s="27" t="str">
        <f t="shared" si="62"/>
        <v>On time</v>
      </c>
      <c r="M158" s="58">
        <v>46085</v>
      </c>
      <c r="N158" s="27" t="str">
        <f t="shared" si="61"/>
        <v>Atrasado</v>
      </c>
      <c r="O158" s="27">
        <f t="shared" si="52"/>
        <v>8</v>
      </c>
      <c r="P158" s="28" t="str">
        <f t="shared" si="60"/>
        <v>On time</v>
      </c>
      <c r="Q158" s="27">
        <f t="shared" si="53"/>
        <v>153</v>
      </c>
      <c r="R158" s="29" t="s">
        <v>428</v>
      </c>
      <c r="S158" s="12" t="s">
        <v>65</v>
      </c>
      <c r="T158" s="35">
        <v>30</v>
      </c>
      <c r="U158" t="s">
        <v>405</v>
      </c>
      <c r="V158" s="27">
        <v>30</v>
      </c>
      <c r="W158" s="9">
        <v>0.83</v>
      </c>
      <c r="X158" s="9">
        <f t="shared" si="64"/>
        <v>24.9</v>
      </c>
      <c r="Y158" s="20">
        <v>0.08</v>
      </c>
      <c r="Z158" s="10">
        <v>46087</v>
      </c>
      <c r="AA158" s="10">
        <v>46106</v>
      </c>
      <c r="AB158" s="10">
        <v>46122</v>
      </c>
      <c r="AC158" s="10">
        <v>46189</v>
      </c>
      <c r="AD158" s="31">
        <f t="shared" ca="1" si="56"/>
        <v>29</v>
      </c>
      <c r="AE158" s="55" t="s">
        <v>247</v>
      </c>
      <c r="AF158" s="63" t="s">
        <v>155</v>
      </c>
      <c r="AG158" s="10" t="s">
        <v>78</v>
      </c>
      <c r="AH158" s="10" t="s">
        <v>78</v>
      </c>
      <c r="AI158" s="9" t="s">
        <v>53</v>
      </c>
      <c r="AJ158" s="10">
        <v>46133</v>
      </c>
      <c r="AK158" s="10">
        <v>46174</v>
      </c>
      <c r="AL158" t="s">
        <v>2028</v>
      </c>
      <c r="AM158" s="27" t="str">
        <f t="shared" si="57"/>
        <v>Atrasado</v>
      </c>
      <c r="AN158" s="27" t="str">
        <f t="shared" ca="1" si="58"/>
        <v>No prazo</v>
      </c>
      <c r="AO158" s="27" t="str">
        <f t="shared" ca="1" si="59"/>
        <v>Embarcado</v>
      </c>
    </row>
    <row r="159" spans="1:41" hidden="1">
      <c r="A159">
        <v>511358</v>
      </c>
      <c r="B159">
        <v>2</v>
      </c>
      <c r="C159" t="s">
        <v>25</v>
      </c>
      <c r="D159" t="s">
        <v>481</v>
      </c>
      <c r="E159" s="23" t="s">
        <v>482</v>
      </c>
      <c r="F159" s="24">
        <v>8</v>
      </c>
      <c r="G159" s="25">
        <v>105.29</v>
      </c>
      <c r="H159" s="25">
        <f t="shared" si="63"/>
        <v>842.32</v>
      </c>
      <c r="I159" s="26">
        <v>46226</v>
      </c>
      <c r="J159" s="10">
        <v>46073</v>
      </c>
      <c r="K159" s="10">
        <v>46073</v>
      </c>
      <c r="L159" s="27" t="str">
        <f t="shared" si="62"/>
        <v>On time</v>
      </c>
      <c r="M159" s="58">
        <v>46085</v>
      </c>
      <c r="N159" s="27" t="str">
        <f t="shared" si="61"/>
        <v>Atrasado</v>
      </c>
      <c r="O159" s="27">
        <f t="shared" si="52"/>
        <v>12</v>
      </c>
      <c r="P159" s="28" t="str">
        <f t="shared" si="60"/>
        <v>On time</v>
      </c>
      <c r="Q159" s="27">
        <f t="shared" si="53"/>
        <v>153</v>
      </c>
      <c r="R159" s="29" t="s">
        <v>428</v>
      </c>
      <c r="S159" s="12" t="s">
        <v>65</v>
      </c>
      <c r="T159" s="84">
        <v>31</v>
      </c>
      <c r="U159" s="85" t="s">
        <v>406</v>
      </c>
      <c r="V159" s="79">
        <v>30</v>
      </c>
      <c r="W159" s="70">
        <v>4.8</v>
      </c>
      <c r="X159" s="80">
        <f t="shared" si="64"/>
        <v>144</v>
      </c>
      <c r="Y159" s="97">
        <v>0.83</v>
      </c>
      <c r="Z159" s="10">
        <v>46087</v>
      </c>
      <c r="AA159" s="10">
        <v>46106</v>
      </c>
      <c r="AB159" s="10">
        <v>46122</v>
      </c>
      <c r="AC159" s="10">
        <v>46189</v>
      </c>
      <c r="AD159" s="31">
        <f t="shared" ca="1" si="56"/>
        <v>29</v>
      </c>
      <c r="AE159" s="55" t="s">
        <v>247</v>
      </c>
      <c r="AF159" s="63" t="s">
        <v>155</v>
      </c>
      <c r="AG159" s="10" t="s">
        <v>78</v>
      </c>
      <c r="AH159" s="10" t="s">
        <v>78</v>
      </c>
      <c r="AI159" s="9" t="s">
        <v>53</v>
      </c>
      <c r="AJ159" s="10">
        <v>46133</v>
      </c>
      <c r="AK159" s="10">
        <v>46174</v>
      </c>
      <c r="AL159" t="s">
        <v>2028</v>
      </c>
      <c r="AM159" s="27" t="str">
        <f t="shared" si="57"/>
        <v>Atrasado</v>
      </c>
      <c r="AN159" s="27" t="str">
        <f t="shared" ca="1" si="58"/>
        <v>No prazo</v>
      </c>
      <c r="AO159" s="27" t="str">
        <f t="shared" ca="1" si="59"/>
        <v>Embarcado</v>
      </c>
    </row>
    <row r="160" spans="1:41" hidden="1">
      <c r="A160">
        <v>511558</v>
      </c>
      <c r="B160">
        <v>2</v>
      </c>
      <c r="C160" t="s">
        <v>25</v>
      </c>
      <c r="D160" t="s">
        <v>481</v>
      </c>
      <c r="E160" s="23" t="s">
        <v>482</v>
      </c>
      <c r="F160" s="24">
        <v>2</v>
      </c>
      <c r="G160" s="25">
        <v>105.29</v>
      </c>
      <c r="H160" s="25">
        <f t="shared" si="63"/>
        <v>210.58</v>
      </c>
      <c r="I160" s="26">
        <v>46227</v>
      </c>
      <c r="J160" s="10">
        <v>46077</v>
      </c>
      <c r="K160" s="10">
        <v>46077</v>
      </c>
      <c r="L160" s="27" t="str">
        <f t="shared" si="62"/>
        <v>On time</v>
      </c>
      <c r="M160" s="58">
        <v>46085</v>
      </c>
      <c r="N160" s="27" t="str">
        <f t="shared" si="61"/>
        <v>Atrasado</v>
      </c>
      <c r="O160" s="27">
        <f t="shared" si="52"/>
        <v>8</v>
      </c>
      <c r="P160" s="28" t="str">
        <f t="shared" si="60"/>
        <v>On time</v>
      </c>
      <c r="Q160" s="27">
        <f t="shared" si="53"/>
        <v>150</v>
      </c>
      <c r="R160" s="29" t="s">
        <v>428</v>
      </c>
      <c r="S160" s="12" t="s">
        <v>65</v>
      </c>
      <c r="T160" s="84"/>
      <c r="U160" s="85"/>
      <c r="V160" s="79"/>
      <c r="W160" s="70">
        <v>4.8</v>
      </c>
      <c r="X160" s="80"/>
      <c r="Y160" s="97"/>
      <c r="Z160" s="10">
        <v>46087</v>
      </c>
      <c r="AA160" s="10">
        <v>46106</v>
      </c>
      <c r="AB160" s="10">
        <v>46122</v>
      </c>
      <c r="AC160" s="10">
        <v>46189</v>
      </c>
      <c r="AD160" s="31">
        <f t="shared" ca="1" si="56"/>
        <v>29</v>
      </c>
      <c r="AE160" s="55" t="s">
        <v>247</v>
      </c>
      <c r="AF160" s="63" t="s">
        <v>155</v>
      </c>
      <c r="AG160" s="10" t="s">
        <v>78</v>
      </c>
      <c r="AH160" s="10" t="s">
        <v>78</v>
      </c>
      <c r="AI160" s="9" t="s">
        <v>53</v>
      </c>
      <c r="AJ160" s="10">
        <v>46133</v>
      </c>
      <c r="AK160" s="10">
        <v>46174</v>
      </c>
      <c r="AL160" t="s">
        <v>2028</v>
      </c>
      <c r="AM160" s="27" t="str">
        <f t="shared" si="57"/>
        <v>Atrasado</v>
      </c>
      <c r="AN160" s="27" t="str">
        <f t="shared" ca="1" si="58"/>
        <v>No prazo</v>
      </c>
      <c r="AO160" s="27" t="str">
        <f t="shared" ca="1" si="59"/>
        <v>Embarcado</v>
      </c>
    </row>
    <row r="161" spans="1:41" hidden="1">
      <c r="A161">
        <v>511590</v>
      </c>
      <c r="B161">
        <v>1</v>
      </c>
      <c r="C161" t="s">
        <v>25</v>
      </c>
      <c r="D161" t="s">
        <v>483</v>
      </c>
      <c r="E161" s="23" t="s">
        <v>484</v>
      </c>
      <c r="F161" s="24">
        <v>5</v>
      </c>
      <c r="G161" s="25">
        <v>2360</v>
      </c>
      <c r="H161" s="25">
        <f t="shared" si="63"/>
        <v>11800</v>
      </c>
      <c r="I161" s="26">
        <v>46226</v>
      </c>
      <c r="J161" s="10">
        <v>46077</v>
      </c>
      <c r="K161" s="10">
        <v>46077</v>
      </c>
      <c r="L161" s="27" t="str">
        <f t="shared" si="62"/>
        <v>On time</v>
      </c>
      <c r="M161" s="58">
        <v>46085</v>
      </c>
      <c r="N161" s="27" t="str">
        <f t="shared" si="61"/>
        <v>Atrasado</v>
      </c>
      <c r="O161" s="27">
        <f t="shared" si="52"/>
        <v>8</v>
      </c>
      <c r="P161" s="28" t="str">
        <f t="shared" si="60"/>
        <v>On time</v>
      </c>
      <c r="Q161" s="27">
        <f t="shared" si="53"/>
        <v>149</v>
      </c>
      <c r="R161" s="29" t="s">
        <v>428</v>
      </c>
      <c r="S161" s="12" t="s">
        <v>65</v>
      </c>
      <c r="T161" s="35">
        <v>32</v>
      </c>
      <c r="U161" t="s">
        <v>407</v>
      </c>
      <c r="V161" s="27">
        <v>5</v>
      </c>
      <c r="W161" s="9">
        <v>79.08</v>
      </c>
      <c r="X161" s="9">
        <f t="shared" si="64"/>
        <v>395.4</v>
      </c>
      <c r="Y161" s="20">
        <v>17.5</v>
      </c>
      <c r="Z161" s="10">
        <v>46087</v>
      </c>
      <c r="AA161" s="10">
        <v>46106</v>
      </c>
      <c r="AB161" s="10">
        <v>46122</v>
      </c>
      <c r="AC161" s="10">
        <v>46189</v>
      </c>
      <c r="AD161" s="31">
        <f t="shared" ca="1" si="56"/>
        <v>29</v>
      </c>
      <c r="AE161" s="55" t="s">
        <v>247</v>
      </c>
      <c r="AF161" s="63" t="s">
        <v>155</v>
      </c>
      <c r="AG161" s="10" t="s">
        <v>78</v>
      </c>
      <c r="AH161" s="10" t="s">
        <v>78</v>
      </c>
      <c r="AI161" s="9" t="s">
        <v>53</v>
      </c>
      <c r="AJ161" s="10">
        <v>46133</v>
      </c>
      <c r="AK161" s="10">
        <v>46174</v>
      </c>
      <c r="AL161" t="s">
        <v>2028</v>
      </c>
      <c r="AM161" s="27" t="str">
        <f t="shared" si="57"/>
        <v>Atrasado</v>
      </c>
      <c r="AN161" s="27" t="str">
        <f t="shared" ca="1" si="58"/>
        <v>No prazo</v>
      </c>
      <c r="AO161" s="27" t="str">
        <f t="shared" ca="1" si="59"/>
        <v>Embarcado</v>
      </c>
    </row>
    <row r="162" spans="1:41" hidden="1">
      <c r="A162">
        <v>511579</v>
      </c>
      <c r="B162">
        <v>1</v>
      </c>
      <c r="C162" t="s">
        <v>25</v>
      </c>
      <c r="D162" t="s">
        <v>485</v>
      </c>
      <c r="E162" s="23" t="s">
        <v>486</v>
      </c>
      <c r="F162" s="24">
        <v>15</v>
      </c>
      <c r="G162" s="25">
        <v>686.78</v>
      </c>
      <c r="H162" s="25">
        <f t="shared" si="63"/>
        <v>10301.699999999999</v>
      </c>
      <c r="I162" s="26">
        <v>46226</v>
      </c>
      <c r="J162" s="10">
        <v>46077</v>
      </c>
      <c r="K162" s="10">
        <v>46077</v>
      </c>
      <c r="L162" s="27" t="str">
        <f t="shared" si="62"/>
        <v>On time</v>
      </c>
      <c r="M162" s="58">
        <v>46085</v>
      </c>
      <c r="N162" s="27" t="str">
        <f t="shared" si="61"/>
        <v>Atrasado</v>
      </c>
      <c r="O162" s="27">
        <f t="shared" si="52"/>
        <v>8</v>
      </c>
      <c r="P162" s="28" t="str">
        <f t="shared" si="60"/>
        <v>On time</v>
      </c>
      <c r="Q162" s="27">
        <f t="shared" si="53"/>
        <v>149</v>
      </c>
      <c r="R162" s="29" t="s">
        <v>428</v>
      </c>
      <c r="S162" s="12" t="s">
        <v>65</v>
      </c>
      <c r="T162" s="35">
        <v>33</v>
      </c>
      <c r="U162" t="s">
        <v>408</v>
      </c>
      <c r="V162" s="27">
        <v>15</v>
      </c>
      <c r="W162" s="9">
        <v>31.74</v>
      </c>
      <c r="X162" s="9">
        <f t="shared" si="64"/>
        <v>476.09999999999997</v>
      </c>
      <c r="Y162" s="20">
        <v>7.55</v>
      </c>
      <c r="Z162" s="10">
        <v>46087</v>
      </c>
      <c r="AA162" s="10">
        <v>46106</v>
      </c>
      <c r="AB162" s="10">
        <v>46122</v>
      </c>
      <c r="AC162" s="10">
        <v>46189</v>
      </c>
      <c r="AD162" s="31">
        <f t="shared" ca="1" si="56"/>
        <v>29</v>
      </c>
      <c r="AE162" s="55" t="s">
        <v>247</v>
      </c>
      <c r="AF162" s="63" t="s">
        <v>155</v>
      </c>
      <c r="AG162" s="10" t="s">
        <v>78</v>
      </c>
      <c r="AH162" s="10" t="s">
        <v>78</v>
      </c>
      <c r="AI162" s="9" t="s">
        <v>53</v>
      </c>
      <c r="AJ162" s="10">
        <v>46133</v>
      </c>
      <c r="AK162" s="10">
        <v>46174</v>
      </c>
      <c r="AL162" t="s">
        <v>2028</v>
      </c>
      <c r="AM162" s="27" t="str">
        <f t="shared" si="57"/>
        <v>Atrasado</v>
      </c>
      <c r="AN162" s="27" t="str">
        <f t="shared" ca="1" si="58"/>
        <v>No prazo</v>
      </c>
      <c r="AO162" s="27" t="str">
        <f t="shared" ca="1" si="59"/>
        <v>Embarcado</v>
      </c>
    </row>
    <row r="163" spans="1:41" hidden="1">
      <c r="A163">
        <v>511579</v>
      </c>
      <c r="B163">
        <v>2</v>
      </c>
      <c r="C163" t="s">
        <v>25</v>
      </c>
      <c r="D163" t="s">
        <v>487</v>
      </c>
      <c r="E163" s="23" t="s">
        <v>488</v>
      </c>
      <c r="F163" s="24">
        <v>2</v>
      </c>
      <c r="G163" s="25">
        <v>201.31</v>
      </c>
      <c r="H163" s="25">
        <f t="shared" si="63"/>
        <v>402.62</v>
      </c>
      <c r="I163" s="26">
        <v>46226</v>
      </c>
      <c r="J163" s="10">
        <v>46077</v>
      </c>
      <c r="K163" s="10">
        <v>46077</v>
      </c>
      <c r="L163" s="27" t="str">
        <f t="shared" si="62"/>
        <v>On time</v>
      </c>
      <c r="M163" s="58">
        <v>46085</v>
      </c>
      <c r="N163" s="27" t="str">
        <f t="shared" si="61"/>
        <v>Atrasado</v>
      </c>
      <c r="O163" s="27">
        <f t="shared" si="52"/>
        <v>8</v>
      </c>
      <c r="P163" s="28" t="str">
        <f t="shared" si="60"/>
        <v>On time</v>
      </c>
      <c r="Q163" s="27">
        <f t="shared" si="53"/>
        <v>149</v>
      </c>
      <c r="R163" s="29" t="s">
        <v>428</v>
      </c>
      <c r="S163" s="12" t="s">
        <v>65</v>
      </c>
      <c r="T163" s="35">
        <v>34</v>
      </c>
      <c r="U163" t="s">
        <v>409</v>
      </c>
      <c r="V163" s="27">
        <v>25</v>
      </c>
      <c r="W163" s="9">
        <v>9.3000000000000007</v>
      </c>
      <c r="X163" s="9">
        <f t="shared" si="64"/>
        <v>232.50000000000003</v>
      </c>
      <c r="Y163" s="20">
        <v>1.58</v>
      </c>
      <c r="Z163" s="10">
        <v>46087</v>
      </c>
      <c r="AA163" s="10">
        <v>46106</v>
      </c>
      <c r="AB163" s="10">
        <v>46122</v>
      </c>
      <c r="AC163" s="10">
        <v>46189</v>
      </c>
      <c r="AD163" s="31">
        <f t="shared" ca="1" si="56"/>
        <v>29</v>
      </c>
      <c r="AE163" s="55" t="s">
        <v>247</v>
      </c>
      <c r="AF163" s="63" t="s">
        <v>155</v>
      </c>
      <c r="AG163" s="10" t="s">
        <v>78</v>
      </c>
      <c r="AH163" s="10" t="s">
        <v>78</v>
      </c>
      <c r="AI163" s="9" t="s">
        <v>53</v>
      </c>
      <c r="AJ163" s="10">
        <v>46133</v>
      </c>
      <c r="AK163" s="10">
        <v>46174</v>
      </c>
      <c r="AL163" t="s">
        <v>2028</v>
      </c>
      <c r="AM163" s="27" t="str">
        <f t="shared" si="57"/>
        <v>Atrasado</v>
      </c>
      <c r="AN163" s="27" t="str">
        <f t="shared" ca="1" si="58"/>
        <v>No prazo</v>
      </c>
      <c r="AO163" s="27" t="str">
        <f t="shared" ca="1" si="59"/>
        <v>Embarcado</v>
      </c>
    </row>
    <row r="164" spans="1:41" hidden="1">
      <c r="D164" t="s">
        <v>410</v>
      </c>
      <c r="E164" s="23" t="s">
        <v>1343</v>
      </c>
      <c r="F164" s="24"/>
      <c r="I164" s="26"/>
      <c r="J164" s="10"/>
      <c r="K164" s="10"/>
      <c r="L164" s="27" t="str">
        <f t="shared" si="62"/>
        <v xml:space="preserve"> </v>
      </c>
      <c r="M164" s="58"/>
      <c r="N164" s="27" t="str">
        <f t="shared" si="61"/>
        <v xml:space="preserve"> </v>
      </c>
      <c r="O164" s="27">
        <f t="shared" si="52"/>
        <v>0</v>
      </c>
      <c r="P164" s="28" t="str">
        <f t="shared" si="60"/>
        <v>On time</v>
      </c>
      <c r="Q164" s="27">
        <f t="shared" si="53"/>
        <v>0</v>
      </c>
      <c r="R164" s="29" t="s">
        <v>428</v>
      </c>
      <c r="S164" s="12" t="s">
        <v>65</v>
      </c>
      <c r="T164" s="35">
        <v>35</v>
      </c>
      <c r="U164" t="s">
        <v>410</v>
      </c>
      <c r="V164" s="27">
        <v>100</v>
      </c>
      <c r="W164" s="9">
        <v>3.27</v>
      </c>
      <c r="X164" s="9">
        <f t="shared" si="64"/>
        <v>327</v>
      </c>
      <c r="Y164" s="20">
        <v>0.3</v>
      </c>
      <c r="Z164" s="10">
        <v>46087</v>
      </c>
      <c r="AA164" s="10">
        <v>46106</v>
      </c>
      <c r="AB164" s="10">
        <v>46122</v>
      </c>
      <c r="AC164" s="10">
        <v>46189</v>
      </c>
      <c r="AD164" s="31">
        <f t="shared" ca="1" si="56"/>
        <v>29</v>
      </c>
      <c r="AE164" s="55" t="s">
        <v>247</v>
      </c>
      <c r="AF164" s="63" t="s">
        <v>155</v>
      </c>
      <c r="AG164" s="10" t="s">
        <v>78</v>
      </c>
      <c r="AH164" s="10" t="s">
        <v>78</v>
      </c>
      <c r="AI164" s="9" t="s">
        <v>53</v>
      </c>
      <c r="AJ164" s="10">
        <v>46133</v>
      </c>
      <c r="AK164" s="10">
        <v>46174</v>
      </c>
      <c r="AL164" t="s">
        <v>2028</v>
      </c>
      <c r="AM164" s="27" t="str">
        <f t="shared" si="57"/>
        <v>Atrasado</v>
      </c>
      <c r="AN164" s="27" t="str">
        <f t="shared" ca="1" si="58"/>
        <v>Estoque</v>
      </c>
      <c r="AO164" s="27" t="str">
        <f t="shared" ca="1" si="59"/>
        <v>Embarcado</v>
      </c>
    </row>
    <row r="165" spans="1:41" hidden="1">
      <c r="A165">
        <v>511587</v>
      </c>
      <c r="B165">
        <v>1</v>
      </c>
      <c r="C165" t="s">
        <v>25</v>
      </c>
      <c r="D165" t="s">
        <v>489</v>
      </c>
      <c r="E165" s="23" t="s">
        <v>490</v>
      </c>
      <c r="F165" s="24">
        <v>1</v>
      </c>
      <c r="G165" s="25">
        <v>207.99</v>
      </c>
      <c r="H165" s="25">
        <f t="shared" si="63"/>
        <v>207.99</v>
      </c>
      <c r="I165" s="26">
        <v>46227</v>
      </c>
      <c r="J165" s="10">
        <v>46077</v>
      </c>
      <c r="K165" s="10">
        <v>46077</v>
      </c>
      <c r="L165" s="27" t="str">
        <f t="shared" si="62"/>
        <v>On time</v>
      </c>
      <c r="M165" s="58">
        <v>46085</v>
      </c>
      <c r="N165" s="27" t="str">
        <f t="shared" si="61"/>
        <v>Atrasado</v>
      </c>
      <c r="O165" s="27">
        <f t="shared" si="52"/>
        <v>8</v>
      </c>
      <c r="P165" s="28" t="str">
        <f t="shared" si="60"/>
        <v>On time</v>
      </c>
      <c r="Q165" s="27">
        <f t="shared" si="53"/>
        <v>150</v>
      </c>
      <c r="R165" s="29" t="s">
        <v>428</v>
      </c>
      <c r="S165" s="12" t="s">
        <v>65</v>
      </c>
      <c r="T165" s="35">
        <v>36</v>
      </c>
      <c r="U165" t="s">
        <v>411</v>
      </c>
      <c r="V165" s="27">
        <v>50</v>
      </c>
      <c r="W165" s="9">
        <v>12.39</v>
      </c>
      <c r="X165" s="9">
        <f t="shared" si="64"/>
        <v>619.5</v>
      </c>
      <c r="Y165" s="20">
        <v>1.89</v>
      </c>
      <c r="Z165" s="10">
        <v>46087</v>
      </c>
      <c r="AA165" s="10">
        <v>46106</v>
      </c>
      <c r="AB165" s="10">
        <v>46122</v>
      </c>
      <c r="AC165" s="10">
        <v>46189</v>
      </c>
      <c r="AD165" s="31">
        <f t="shared" ca="1" si="56"/>
        <v>29</v>
      </c>
      <c r="AE165" s="55" t="s">
        <v>247</v>
      </c>
      <c r="AF165" s="63" t="s">
        <v>155</v>
      </c>
      <c r="AG165" s="10" t="s">
        <v>78</v>
      </c>
      <c r="AH165" s="10" t="s">
        <v>78</v>
      </c>
      <c r="AI165" s="9" t="s">
        <v>53</v>
      </c>
      <c r="AJ165" s="10">
        <v>46133</v>
      </c>
      <c r="AK165" s="10">
        <v>46174</v>
      </c>
      <c r="AL165" t="s">
        <v>2028</v>
      </c>
      <c r="AM165" s="27" t="str">
        <f t="shared" si="57"/>
        <v>Atrasado</v>
      </c>
      <c r="AN165" s="27" t="str">
        <f t="shared" ca="1" si="58"/>
        <v>No prazo</v>
      </c>
      <c r="AO165" s="27" t="str">
        <f t="shared" ca="1" si="59"/>
        <v>Embarcado</v>
      </c>
    </row>
    <row r="166" spans="1:41" hidden="1">
      <c r="A166">
        <v>511587</v>
      </c>
      <c r="B166">
        <v>2</v>
      </c>
      <c r="C166" t="s">
        <v>25</v>
      </c>
      <c r="D166" t="s">
        <v>491</v>
      </c>
      <c r="E166" s="23" t="s">
        <v>492</v>
      </c>
      <c r="F166" s="24">
        <v>2</v>
      </c>
      <c r="G166" s="25">
        <v>369.55</v>
      </c>
      <c r="H166" s="25">
        <f t="shared" si="63"/>
        <v>739.1</v>
      </c>
      <c r="I166" s="26">
        <v>46227</v>
      </c>
      <c r="J166" s="10">
        <v>46077</v>
      </c>
      <c r="K166" s="10">
        <v>46077</v>
      </c>
      <c r="L166" s="27" t="str">
        <f t="shared" si="62"/>
        <v>On time</v>
      </c>
      <c r="M166" s="58">
        <v>46085</v>
      </c>
      <c r="N166" s="27" t="str">
        <f t="shared" si="61"/>
        <v>Atrasado</v>
      </c>
      <c r="O166" s="27">
        <f t="shared" si="52"/>
        <v>8</v>
      </c>
      <c r="P166" s="28" t="str">
        <f t="shared" si="60"/>
        <v>On time</v>
      </c>
      <c r="Q166" s="27">
        <f t="shared" si="53"/>
        <v>150</v>
      </c>
      <c r="R166" s="29" t="s">
        <v>428</v>
      </c>
      <c r="S166" s="12" t="s">
        <v>65</v>
      </c>
      <c r="T166" s="35">
        <v>37</v>
      </c>
      <c r="U166" t="s">
        <v>412</v>
      </c>
      <c r="V166" s="27">
        <v>15</v>
      </c>
      <c r="W166" s="9">
        <v>17.690000000000001</v>
      </c>
      <c r="X166" s="9">
        <f t="shared" si="64"/>
        <v>265.35000000000002</v>
      </c>
      <c r="Y166" s="20">
        <v>4.29</v>
      </c>
      <c r="Z166" s="10">
        <v>46087</v>
      </c>
      <c r="AA166" s="10">
        <v>46106</v>
      </c>
      <c r="AB166" s="10">
        <v>46122</v>
      </c>
      <c r="AC166" s="10">
        <v>46189</v>
      </c>
      <c r="AD166" s="31">
        <f t="shared" ca="1" si="56"/>
        <v>29</v>
      </c>
      <c r="AE166" s="55" t="s">
        <v>247</v>
      </c>
      <c r="AF166" s="63" t="s">
        <v>155</v>
      </c>
      <c r="AG166" s="10" t="s">
        <v>78</v>
      </c>
      <c r="AH166" s="10" t="s">
        <v>78</v>
      </c>
      <c r="AI166" s="9" t="s">
        <v>53</v>
      </c>
      <c r="AJ166" s="10">
        <v>46133</v>
      </c>
      <c r="AK166" s="10">
        <v>46174</v>
      </c>
      <c r="AL166" t="s">
        <v>2028</v>
      </c>
      <c r="AM166" s="27" t="str">
        <f t="shared" si="57"/>
        <v>Atrasado</v>
      </c>
      <c r="AN166" s="27" t="str">
        <f t="shared" ca="1" si="58"/>
        <v>No prazo</v>
      </c>
      <c r="AO166" s="27" t="str">
        <f t="shared" ca="1" si="59"/>
        <v>Embarcado</v>
      </c>
    </row>
    <row r="167" spans="1:41" hidden="1">
      <c r="A167">
        <v>511832</v>
      </c>
      <c r="B167">
        <v>1</v>
      </c>
      <c r="C167" t="s">
        <v>25</v>
      </c>
      <c r="D167" t="s">
        <v>493</v>
      </c>
      <c r="E167" s="23" t="s">
        <v>494</v>
      </c>
      <c r="F167" s="24">
        <v>1</v>
      </c>
      <c r="G167" s="25">
        <v>34.880000000000003</v>
      </c>
      <c r="H167" s="25">
        <f t="shared" si="63"/>
        <v>34.880000000000003</v>
      </c>
      <c r="I167" s="26">
        <v>46206</v>
      </c>
      <c r="J167" s="10">
        <v>46079</v>
      </c>
      <c r="K167" s="10">
        <v>46080</v>
      </c>
      <c r="L167" s="27" t="str">
        <f t="shared" si="62"/>
        <v>On time</v>
      </c>
      <c r="M167" s="58">
        <v>46085</v>
      </c>
      <c r="N167" s="27" t="str">
        <f t="shared" si="61"/>
        <v>On time</v>
      </c>
      <c r="O167" s="27">
        <f t="shared" si="52"/>
        <v>6</v>
      </c>
      <c r="P167" s="28" t="str">
        <f t="shared" si="60"/>
        <v>On time</v>
      </c>
      <c r="Q167" s="27">
        <f t="shared" si="53"/>
        <v>127</v>
      </c>
      <c r="R167" s="29" t="s">
        <v>428</v>
      </c>
      <c r="S167" s="12" t="s">
        <v>65</v>
      </c>
      <c r="T167" s="84">
        <v>38</v>
      </c>
      <c r="U167" s="86" t="s">
        <v>413</v>
      </c>
      <c r="V167" s="79">
        <v>58</v>
      </c>
      <c r="W167" s="70">
        <v>1.67</v>
      </c>
      <c r="X167" s="80">
        <f t="shared" si="64"/>
        <v>96.86</v>
      </c>
      <c r="Y167" s="97">
        <v>0.84</v>
      </c>
      <c r="Z167" s="10">
        <v>46087</v>
      </c>
      <c r="AA167" s="10">
        <v>46106</v>
      </c>
      <c r="AB167" s="10">
        <v>46122</v>
      </c>
      <c r="AC167" s="10">
        <v>46189</v>
      </c>
      <c r="AD167" s="31">
        <f t="shared" ca="1" si="56"/>
        <v>29</v>
      </c>
      <c r="AE167" s="55" t="s">
        <v>247</v>
      </c>
      <c r="AF167" s="63" t="s">
        <v>155</v>
      </c>
      <c r="AG167" s="10" t="s">
        <v>78</v>
      </c>
      <c r="AH167" s="10" t="s">
        <v>78</v>
      </c>
      <c r="AI167" s="9" t="s">
        <v>53</v>
      </c>
      <c r="AJ167" s="10">
        <v>46133</v>
      </c>
      <c r="AK167" s="10">
        <v>46174</v>
      </c>
      <c r="AL167" t="s">
        <v>2028</v>
      </c>
      <c r="AM167" s="27" t="str">
        <f t="shared" si="57"/>
        <v>Atrasado</v>
      </c>
      <c r="AN167" s="27" t="str">
        <f t="shared" ca="1" si="58"/>
        <v>Verificar aéreo</v>
      </c>
      <c r="AO167" s="27" t="str">
        <f t="shared" ca="1" si="59"/>
        <v>Embarcado</v>
      </c>
    </row>
    <row r="168" spans="1:41" hidden="1">
      <c r="A168">
        <v>512171</v>
      </c>
      <c r="B168">
        <v>17</v>
      </c>
      <c r="C168" t="s">
        <v>25</v>
      </c>
      <c r="D168" t="s">
        <v>493</v>
      </c>
      <c r="E168" s="23" t="s">
        <v>494</v>
      </c>
      <c r="F168" s="24">
        <v>1</v>
      </c>
      <c r="G168" s="25">
        <v>34.880000000000003</v>
      </c>
      <c r="H168" s="25">
        <f t="shared" si="63"/>
        <v>34.880000000000003</v>
      </c>
      <c r="I168" s="26">
        <v>46237</v>
      </c>
      <c r="J168" s="10">
        <v>46084</v>
      </c>
      <c r="K168" s="10">
        <v>46085</v>
      </c>
      <c r="L168" s="27" t="str">
        <f t="shared" si="62"/>
        <v>On time</v>
      </c>
      <c r="M168" s="58">
        <v>46085</v>
      </c>
      <c r="N168" s="27" t="str">
        <f t="shared" si="61"/>
        <v>On time</v>
      </c>
      <c r="O168" s="27">
        <f t="shared" si="52"/>
        <v>1</v>
      </c>
      <c r="P168" s="28" t="str">
        <f t="shared" si="60"/>
        <v>On time</v>
      </c>
      <c r="Q168" s="27">
        <f t="shared" si="53"/>
        <v>153</v>
      </c>
      <c r="R168" s="29" t="s">
        <v>428</v>
      </c>
      <c r="S168" s="12" t="s">
        <v>65</v>
      </c>
      <c r="T168" s="84"/>
      <c r="U168" s="86" t="s">
        <v>413</v>
      </c>
      <c r="V168" s="79"/>
      <c r="W168" s="70">
        <v>1.67</v>
      </c>
      <c r="X168" s="80"/>
      <c r="Y168" s="97"/>
      <c r="Z168" s="10">
        <v>46087</v>
      </c>
      <c r="AA168" s="10">
        <v>46106</v>
      </c>
      <c r="AB168" s="10">
        <v>46122</v>
      </c>
      <c r="AC168" s="10">
        <v>46189</v>
      </c>
      <c r="AD168" s="31">
        <f t="shared" ca="1" si="56"/>
        <v>29</v>
      </c>
      <c r="AE168" s="55" t="s">
        <v>247</v>
      </c>
      <c r="AF168" s="63" t="s">
        <v>155</v>
      </c>
      <c r="AG168" s="10" t="s">
        <v>78</v>
      </c>
      <c r="AH168" s="10" t="s">
        <v>78</v>
      </c>
      <c r="AI168" s="9" t="s">
        <v>53</v>
      </c>
      <c r="AJ168" s="10">
        <v>46133</v>
      </c>
      <c r="AK168" s="10">
        <v>46174</v>
      </c>
      <c r="AL168" t="s">
        <v>2028</v>
      </c>
      <c r="AM168" s="27" t="str">
        <f t="shared" si="57"/>
        <v>Atrasado</v>
      </c>
      <c r="AN168" s="27" t="str">
        <f t="shared" ca="1" si="58"/>
        <v>No prazo</v>
      </c>
      <c r="AO168" s="27" t="str">
        <f t="shared" ca="1" si="59"/>
        <v>Embarcado</v>
      </c>
    </row>
    <row r="169" spans="1:41" hidden="1">
      <c r="A169">
        <v>512171</v>
      </c>
      <c r="B169">
        <v>7</v>
      </c>
      <c r="C169" t="s">
        <v>25</v>
      </c>
      <c r="D169" t="s">
        <v>493</v>
      </c>
      <c r="E169" s="23" t="s">
        <v>494</v>
      </c>
      <c r="F169" s="24">
        <v>1</v>
      </c>
      <c r="G169" s="25">
        <v>34.880000000000003</v>
      </c>
      <c r="H169" s="25">
        <f t="shared" si="63"/>
        <v>34.880000000000003</v>
      </c>
      <c r="I169" s="26">
        <v>46237</v>
      </c>
      <c r="J169" s="10">
        <v>46084</v>
      </c>
      <c r="K169" s="10">
        <v>46085</v>
      </c>
      <c r="L169" s="27" t="str">
        <f t="shared" si="62"/>
        <v>On time</v>
      </c>
      <c r="M169" s="58">
        <v>46085</v>
      </c>
      <c r="N169" s="27" t="str">
        <f t="shared" si="61"/>
        <v>On time</v>
      </c>
      <c r="O169" s="27">
        <f t="shared" si="52"/>
        <v>1</v>
      </c>
      <c r="P169" s="28" t="str">
        <f t="shared" si="60"/>
        <v>On time</v>
      </c>
      <c r="Q169" s="27">
        <f t="shared" si="53"/>
        <v>153</v>
      </c>
      <c r="R169" s="29" t="s">
        <v>428</v>
      </c>
      <c r="S169" s="12" t="s">
        <v>65</v>
      </c>
      <c r="T169" s="84"/>
      <c r="U169" s="86" t="s">
        <v>413</v>
      </c>
      <c r="V169" s="79"/>
      <c r="W169" s="70">
        <v>1.67</v>
      </c>
      <c r="X169" s="80"/>
      <c r="Y169" s="97"/>
      <c r="Z169" s="10">
        <v>46087</v>
      </c>
      <c r="AA169" s="10">
        <v>46106</v>
      </c>
      <c r="AB169" s="10">
        <v>46122</v>
      </c>
      <c r="AC169" s="10">
        <v>46189</v>
      </c>
      <c r="AD169" s="31">
        <f t="shared" ca="1" si="56"/>
        <v>29</v>
      </c>
      <c r="AE169" s="55" t="s">
        <v>247</v>
      </c>
      <c r="AF169" s="63" t="s">
        <v>155</v>
      </c>
      <c r="AG169" s="10" t="s">
        <v>78</v>
      </c>
      <c r="AH169" s="10" t="s">
        <v>78</v>
      </c>
      <c r="AI169" s="9" t="s">
        <v>53</v>
      </c>
      <c r="AJ169" s="10">
        <v>46133</v>
      </c>
      <c r="AK169" s="10">
        <v>46174</v>
      </c>
      <c r="AL169" t="s">
        <v>2028</v>
      </c>
      <c r="AM169" s="27" t="str">
        <f t="shared" si="57"/>
        <v>Atrasado</v>
      </c>
      <c r="AN169" s="27" t="str">
        <f t="shared" ca="1" si="58"/>
        <v>No prazo</v>
      </c>
      <c r="AO169" s="27" t="str">
        <f t="shared" ca="1" si="59"/>
        <v>Embarcado</v>
      </c>
    </row>
    <row r="170" spans="1:41" hidden="1">
      <c r="A170">
        <v>511832</v>
      </c>
      <c r="B170">
        <v>4</v>
      </c>
      <c r="C170" t="s">
        <v>25</v>
      </c>
      <c r="D170" t="s">
        <v>495</v>
      </c>
      <c r="E170" s="23" t="s">
        <v>496</v>
      </c>
      <c r="F170" s="24">
        <v>4</v>
      </c>
      <c r="G170" s="25">
        <v>566.94000000000005</v>
      </c>
      <c r="H170" s="25">
        <f t="shared" si="63"/>
        <v>2267.7600000000002</v>
      </c>
      <c r="I170" s="26">
        <v>46230</v>
      </c>
      <c r="J170" s="10">
        <v>46079</v>
      </c>
      <c r="K170" s="10">
        <v>46080</v>
      </c>
      <c r="L170" s="27" t="str">
        <f t="shared" si="62"/>
        <v>On time</v>
      </c>
      <c r="M170" s="58">
        <v>46085</v>
      </c>
      <c r="N170" s="27" t="str">
        <f t="shared" si="61"/>
        <v>On time</v>
      </c>
      <c r="O170" s="27">
        <f t="shared" si="52"/>
        <v>6</v>
      </c>
      <c r="P170" s="28" t="str">
        <f t="shared" si="60"/>
        <v>On time</v>
      </c>
      <c r="Q170" s="27">
        <f t="shared" si="53"/>
        <v>151</v>
      </c>
      <c r="R170" s="29" t="s">
        <v>428</v>
      </c>
      <c r="S170" s="12" t="s">
        <v>65</v>
      </c>
      <c r="T170" s="35">
        <v>39</v>
      </c>
      <c r="U170" t="s">
        <v>414</v>
      </c>
      <c r="V170" s="27">
        <v>15</v>
      </c>
      <c r="W170" s="9">
        <v>28.48</v>
      </c>
      <c r="X170" s="9">
        <f t="shared" si="64"/>
        <v>427.2</v>
      </c>
      <c r="Y170" s="20">
        <v>5.03</v>
      </c>
      <c r="Z170" s="10">
        <v>46087</v>
      </c>
      <c r="AA170" s="10">
        <v>46106</v>
      </c>
      <c r="AB170" s="10">
        <v>46122</v>
      </c>
      <c r="AC170" s="10">
        <v>46189</v>
      </c>
      <c r="AD170" s="31">
        <f t="shared" ca="1" si="56"/>
        <v>29</v>
      </c>
      <c r="AE170" s="55" t="s">
        <v>247</v>
      </c>
      <c r="AF170" s="63" t="s">
        <v>155</v>
      </c>
      <c r="AG170" s="10" t="s">
        <v>78</v>
      </c>
      <c r="AH170" s="10" t="s">
        <v>78</v>
      </c>
      <c r="AI170" s="9" t="s">
        <v>53</v>
      </c>
      <c r="AJ170" s="10">
        <v>46133</v>
      </c>
      <c r="AK170" s="10">
        <v>46174</v>
      </c>
      <c r="AL170" t="s">
        <v>2028</v>
      </c>
      <c r="AM170" s="27" t="str">
        <f t="shared" si="57"/>
        <v>Atrasado</v>
      </c>
      <c r="AN170" s="27" t="str">
        <f t="shared" ca="1" si="58"/>
        <v>No prazo</v>
      </c>
      <c r="AO170" s="27" t="str">
        <f t="shared" ca="1" si="59"/>
        <v>Embarcado</v>
      </c>
    </row>
    <row r="171" spans="1:41" hidden="1">
      <c r="A171">
        <v>511753</v>
      </c>
      <c r="B171">
        <v>1</v>
      </c>
      <c r="C171" t="s">
        <v>25</v>
      </c>
      <c r="D171" t="s">
        <v>497</v>
      </c>
      <c r="E171" s="23" t="s">
        <v>498</v>
      </c>
      <c r="F171" s="24">
        <v>1</v>
      </c>
      <c r="G171" s="25">
        <v>111.03</v>
      </c>
      <c r="H171" s="25">
        <f t="shared" si="63"/>
        <v>111.03</v>
      </c>
      <c r="I171" s="26">
        <v>46230</v>
      </c>
      <c r="J171" s="10">
        <v>46078</v>
      </c>
      <c r="K171" s="10">
        <v>46080</v>
      </c>
      <c r="L171" s="27" t="str">
        <f t="shared" si="62"/>
        <v>On time</v>
      </c>
      <c r="M171" s="58">
        <v>46085</v>
      </c>
      <c r="N171" s="27" t="str">
        <f t="shared" si="61"/>
        <v>Atrasado</v>
      </c>
      <c r="O171" s="27">
        <f t="shared" si="52"/>
        <v>7</v>
      </c>
      <c r="P171" s="28" t="str">
        <f t="shared" si="60"/>
        <v>On time</v>
      </c>
      <c r="Q171" s="27">
        <f t="shared" si="53"/>
        <v>152</v>
      </c>
      <c r="R171" s="29" t="s">
        <v>428</v>
      </c>
      <c r="S171" s="12" t="s">
        <v>65</v>
      </c>
      <c r="T171" s="84">
        <v>40</v>
      </c>
      <c r="U171" s="85" t="s">
        <v>415</v>
      </c>
      <c r="V171" s="79">
        <v>16</v>
      </c>
      <c r="W171" s="70">
        <v>3.59</v>
      </c>
      <c r="X171" s="80">
        <f t="shared" si="64"/>
        <v>57.44</v>
      </c>
      <c r="Y171" s="97">
        <v>0.47</v>
      </c>
      <c r="Z171" s="10">
        <v>46087</v>
      </c>
      <c r="AA171" s="10">
        <v>46106</v>
      </c>
      <c r="AB171" s="10">
        <v>46122</v>
      </c>
      <c r="AC171" s="10">
        <v>46189</v>
      </c>
      <c r="AD171" s="31">
        <f t="shared" ca="1" si="56"/>
        <v>29</v>
      </c>
      <c r="AE171" s="55" t="s">
        <v>247</v>
      </c>
      <c r="AF171" s="63" t="s">
        <v>155</v>
      </c>
      <c r="AG171" s="10" t="s">
        <v>78</v>
      </c>
      <c r="AH171" s="10" t="s">
        <v>78</v>
      </c>
      <c r="AI171" s="9" t="s">
        <v>53</v>
      </c>
      <c r="AJ171" s="10">
        <v>46133</v>
      </c>
      <c r="AK171" s="10">
        <v>46174</v>
      </c>
      <c r="AL171" t="s">
        <v>2028</v>
      </c>
      <c r="AM171" s="27" t="str">
        <f t="shared" si="57"/>
        <v>Atrasado</v>
      </c>
      <c r="AN171" s="27" t="str">
        <f t="shared" ca="1" si="58"/>
        <v>No prazo</v>
      </c>
      <c r="AO171" s="27" t="str">
        <f t="shared" ca="1" si="59"/>
        <v>Embarcado</v>
      </c>
    </row>
    <row r="172" spans="1:41" hidden="1">
      <c r="A172">
        <v>511753</v>
      </c>
      <c r="B172">
        <v>2</v>
      </c>
      <c r="C172" t="s">
        <v>25</v>
      </c>
      <c r="D172" t="s">
        <v>497</v>
      </c>
      <c r="E172" s="23" t="s">
        <v>498</v>
      </c>
      <c r="F172" s="24">
        <v>2</v>
      </c>
      <c r="G172" s="25">
        <v>111.03</v>
      </c>
      <c r="H172" s="25">
        <f t="shared" si="63"/>
        <v>222.06</v>
      </c>
      <c r="I172" s="26">
        <v>46230</v>
      </c>
      <c r="J172" s="10">
        <v>46078</v>
      </c>
      <c r="K172" s="10">
        <v>46080</v>
      </c>
      <c r="L172" s="27" t="str">
        <f t="shared" si="62"/>
        <v>On time</v>
      </c>
      <c r="M172" s="58">
        <v>46085</v>
      </c>
      <c r="N172" s="27" t="str">
        <f t="shared" si="61"/>
        <v>Atrasado</v>
      </c>
      <c r="O172" s="27">
        <f t="shared" si="52"/>
        <v>7</v>
      </c>
      <c r="P172" s="28" t="str">
        <f t="shared" si="60"/>
        <v>On time</v>
      </c>
      <c r="Q172" s="27">
        <f t="shared" si="53"/>
        <v>152</v>
      </c>
      <c r="R172" s="29" t="s">
        <v>428</v>
      </c>
      <c r="S172" s="12" t="s">
        <v>65</v>
      </c>
      <c r="T172" s="84"/>
      <c r="U172" s="85"/>
      <c r="V172" s="79"/>
      <c r="W172" s="70">
        <v>3.59</v>
      </c>
      <c r="X172" s="80"/>
      <c r="Y172" s="97"/>
      <c r="Z172" s="10">
        <v>46087</v>
      </c>
      <c r="AA172" s="10">
        <v>46106</v>
      </c>
      <c r="AB172" s="10">
        <v>46122</v>
      </c>
      <c r="AC172" s="10">
        <v>46189</v>
      </c>
      <c r="AD172" s="31">
        <f t="shared" ca="1" si="56"/>
        <v>29</v>
      </c>
      <c r="AE172" s="55" t="s">
        <v>247</v>
      </c>
      <c r="AF172" s="63" t="s">
        <v>155</v>
      </c>
      <c r="AG172" s="10" t="s">
        <v>78</v>
      </c>
      <c r="AH172" s="10" t="s">
        <v>78</v>
      </c>
      <c r="AI172" s="9" t="s">
        <v>53</v>
      </c>
      <c r="AJ172" s="10">
        <v>46133</v>
      </c>
      <c r="AK172" s="10">
        <v>46174</v>
      </c>
      <c r="AL172" t="s">
        <v>2028</v>
      </c>
      <c r="AM172" s="27" t="str">
        <f t="shared" si="57"/>
        <v>Atrasado</v>
      </c>
      <c r="AN172" s="27" t="str">
        <f t="shared" ca="1" si="58"/>
        <v>No prazo</v>
      </c>
      <c r="AO172" s="27" t="str">
        <f t="shared" ca="1" si="59"/>
        <v>Embarcado</v>
      </c>
    </row>
    <row r="173" spans="1:41" hidden="1">
      <c r="A173">
        <v>511647</v>
      </c>
      <c r="B173">
        <v>2</v>
      </c>
      <c r="C173" t="s">
        <v>25</v>
      </c>
      <c r="D173" t="s">
        <v>499</v>
      </c>
      <c r="E173" s="23" t="s">
        <v>500</v>
      </c>
      <c r="F173" s="24">
        <v>2</v>
      </c>
      <c r="G173" s="25">
        <v>1038.1400000000001</v>
      </c>
      <c r="H173" s="25">
        <f t="shared" si="63"/>
        <v>2076.2800000000002</v>
      </c>
      <c r="I173" s="26">
        <v>46229</v>
      </c>
      <c r="J173" s="10">
        <v>46077</v>
      </c>
      <c r="K173" s="10">
        <v>46079</v>
      </c>
      <c r="L173" s="27" t="str">
        <f t="shared" si="62"/>
        <v>On time</v>
      </c>
      <c r="M173" s="58">
        <v>46085</v>
      </c>
      <c r="N173" s="27" t="str">
        <f t="shared" si="61"/>
        <v>Atrasado</v>
      </c>
      <c r="O173" s="27">
        <f t="shared" si="52"/>
        <v>8</v>
      </c>
      <c r="P173" s="28" t="str">
        <f t="shared" si="60"/>
        <v>On time</v>
      </c>
      <c r="Q173" s="27">
        <f t="shared" si="53"/>
        <v>152</v>
      </c>
      <c r="R173" s="29" t="s">
        <v>428</v>
      </c>
      <c r="S173" s="12" t="s">
        <v>65</v>
      </c>
      <c r="T173" s="35">
        <v>41</v>
      </c>
      <c r="U173" t="s">
        <v>416</v>
      </c>
      <c r="V173" s="27">
        <v>20</v>
      </c>
      <c r="W173" s="9">
        <v>42.26</v>
      </c>
      <c r="X173" s="9">
        <f t="shared" si="64"/>
        <v>845.19999999999993</v>
      </c>
      <c r="Y173" s="20">
        <v>8.1</v>
      </c>
      <c r="Z173" s="10">
        <v>46087</v>
      </c>
      <c r="AA173" s="10">
        <v>46106</v>
      </c>
      <c r="AB173" s="10">
        <v>46122</v>
      </c>
      <c r="AC173" s="10">
        <v>46189</v>
      </c>
      <c r="AD173" s="31">
        <f t="shared" ca="1" si="56"/>
        <v>29</v>
      </c>
      <c r="AE173" s="55" t="s">
        <v>247</v>
      </c>
      <c r="AF173" s="63" t="s">
        <v>155</v>
      </c>
      <c r="AG173" s="10" t="s">
        <v>78</v>
      </c>
      <c r="AH173" s="10" t="s">
        <v>78</v>
      </c>
      <c r="AI173" s="9" t="s">
        <v>53</v>
      </c>
      <c r="AJ173" s="10">
        <v>46133</v>
      </c>
      <c r="AK173" s="10">
        <v>46174</v>
      </c>
      <c r="AL173" t="s">
        <v>2028</v>
      </c>
      <c r="AM173" s="27" t="str">
        <f t="shared" si="57"/>
        <v>Atrasado</v>
      </c>
      <c r="AN173" s="27" t="str">
        <f t="shared" ca="1" si="58"/>
        <v>No prazo</v>
      </c>
      <c r="AO173" s="27" t="str">
        <f t="shared" ca="1" si="59"/>
        <v>Embarcado</v>
      </c>
    </row>
    <row r="174" spans="1:41" hidden="1">
      <c r="A174">
        <v>511751</v>
      </c>
      <c r="B174">
        <v>2</v>
      </c>
      <c r="C174" t="s">
        <v>25</v>
      </c>
      <c r="D174" t="s">
        <v>501</v>
      </c>
      <c r="E174" s="23" t="s">
        <v>502</v>
      </c>
      <c r="F174" s="24">
        <v>2</v>
      </c>
      <c r="G174" s="25">
        <v>162.82</v>
      </c>
      <c r="H174" s="25">
        <f t="shared" si="63"/>
        <v>325.64</v>
      </c>
      <c r="I174" s="26">
        <v>46227</v>
      </c>
      <c r="J174" s="10">
        <v>46078</v>
      </c>
      <c r="K174" s="10">
        <v>46080</v>
      </c>
      <c r="L174" s="27" t="str">
        <f t="shared" si="62"/>
        <v>On time</v>
      </c>
      <c r="M174" s="58">
        <v>46085</v>
      </c>
      <c r="N174" s="27" t="str">
        <f t="shared" si="61"/>
        <v>Atrasado</v>
      </c>
      <c r="O174" s="27">
        <f t="shared" si="52"/>
        <v>7</v>
      </c>
      <c r="P174" s="28" t="str">
        <f t="shared" si="60"/>
        <v>On time</v>
      </c>
      <c r="Q174" s="27">
        <f t="shared" si="53"/>
        <v>149</v>
      </c>
      <c r="R174" s="29" t="s">
        <v>428</v>
      </c>
      <c r="S174" s="12" t="s">
        <v>65</v>
      </c>
      <c r="T174" s="35">
        <v>42</v>
      </c>
      <c r="U174" t="s">
        <v>417</v>
      </c>
      <c r="V174" s="27">
        <v>1</v>
      </c>
      <c r="W174" s="9">
        <v>8.66</v>
      </c>
      <c r="X174" s="9">
        <f t="shared" si="64"/>
        <v>8.66</v>
      </c>
      <c r="Y174" s="20">
        <v>2.5299999999999998</v>
      </c>
      <c r="Z174" s="10">
        <v>46087</v>
      </c>
      <c r="AA174" s="10">
        <v>46106</v>
      </c>
      <c r="AB174" s="10">
        <v>46122</v>
      </c>
      <c r="AC174" s="10">
        <v>46189</v>
      </c>
      <c r="AD174" s="31">
        <f t="shared" ca="1" si="56"/>
        <v>29</v>
      </c>
      <c r="AE174" s="55" t="s">
        <v>247</v>
      </c>
      <c r="AF174" s="63" t="s">
        <v>155</v>
      </c>
      <c r="AG174" s="10" t="s">
        <v>78</v>
      </c>
      <c r="AH174" s="10" t="s">
        <v>78</v>
      </c>
      <c r="AI174" s="9" t="s">
        <v>53</v>
      </c>
      <c r="AJ174" s="10">
        <v>46133</v>
      </c>
      <c r="AK174" s="10">
        <v>46174</v>
      </c>
      <c r="AL174" t="s">
        <v>2028</v>
      </c>
      <c r="AM174" s="27" t="str">
        <f t="shared" si="57"/>
        <v>Atrasado</v>
      </c>
      <c r="AN174" s="27" t="str">
        <f t="shared" ca="1" si="58"/>
        <v>No prazo</v>
      </c>
      <c r="AO174" s="27" t="str">
        <f t="shared" ca="1" si="59"/>
        <v>Embarcado</v>
      </c>
    </row>
    <row r="175" spans="1:41" hidden="1">
      <c r="A175">
        <v>511751</v>
      </c>
      <c r="B175">
        <v>6</v>
      </c>
      <c r="C175" t="s">
        <v>25</v>
      </c>
      <c r="D175" t="s">
        <v>503</v>
      </c>
      <c r="E175" s="23" t="s">
        <v>504</v>
      </c>
      <c r="F175" s="24">
        <v>6</v>
      </c>
      <c r="G175" s="25">
        <v>54.94</v>
      </c>
      <c r="H175" s="25">
        <f t="shared" si="63"/>
        <v>329.64</v>
      </c>
      <c r="I175" s="26">
        <v>46227</v>
      </c>
      <c r="J175" s="10">
        <v>46078</v>
      </c>
      <c r="K175" s="10">
        <v>46080</v>
      </c>
      <c r="L175" s="27" t="str">
        <f t="shared" si="62"/>
        <v>On time</v>
      </c>
      <c r="M175" s="58">
        <v>46085</v>
      </c>
      <c r="N175" s="27" t="str">
        <f t="shared" si="61"/>
        <v>Atrasado</v>
      </c>
      <c r="O175" s="27">
        <f t="shared" si="52"/>
        <v>7</v>
      </c>
      <c r="P175" s="28" t="str">
        <f t="shared" si="60"/>
        <v>On time</v>
      </c>
      <c r="Q175" s="27">
        <f t="shared" si="53"/>
        <v>149</v>
      </c>
      <c r="R175" s="29" t="s">
        <v>428</v>
      </c>
      <c r="S175" s="12" t="s">
        <v>65</v>
      </c>
      <c r="T175" s="35">
        <v>43</v>
      </c>
      <c r="U175" t="s">
        <v>418</v>
      </c>
      <c r="V175" s="27">
        <v>50</v>
      </c>
      <c r="W175" s="9">
        <v>2.63</v>
      </c>
      <c r="X175" s="9">
        <f t="shared" si="64"/>
        <v>131.5</v>
      </c>
      <c r="Y175" s="20">
        <v>0.33</v>
      </c>
      <c r="Z175" s="10">
        <v>46087</v>
      </c>
      <c r="AA175" s="10">
        <v>46106</v>
      </c>
      <c r="AB175" s="10">
        <v>46122</v>
      </c>
      <c r="AC175" s="10">
        <v>46189</v>
      </c>
      <c r="AD175" s="31">
        <f t="shared" ca="1" si="56"/>
        <v>29</v>
      </c>
      <c r="AE175" s="55" t="s">
        <v>247</v>
      </c>
      <c r="AF175" s="63" t="s">
        <v>155</v>
      </c>
      <c r="AG175" s="10" t="s">
        <v>78</v>
      </c>
      <c r="AH175" s="10" t="s">
        <v>78</v>
      </c>
      <c r="AI175" s="9" t="s">
        <v>53</v>
      </c>
      <c r="AJ175" s="10">
        <v>46133</v>
      </c>
      <c r="AK175" s="10">
        <v>46174</v>
      </c>
      <c r="AL175" t="s">
        <v>2028</v>
      </c>
      <c r="AM175" s="27" t="str">
        <f t="shared" si="57"/>
        <v>Atrasado</v>
      </c>
      <c r="AN175" s="27" t="str">
        <f t="shared" ca="1" si="58"/>
        <v>No prazo</v>
      </c>
      <c r="AO175" s="27" t="str">
        <f t="shared" ca="1" si="59"/>
        <v>Embarcado</v>
      </c>
    </row>
    <row r="176" spans="1:41" hidden="1">
      <c r="A176">
        <v>511679</v>
      </c>
      <c r="B176">
        <v>1</v>
      </c>
      <c r="C176" t="s">
        <v>25</v>
      </c>
      <c r="D176" t="s">
        <v>73</v>
      </c>
      <c r="E176" s="23" t="s">
        <v>505</v>
      </c>
      <c r="F176" s="24">
        <v>15</v>
      </c>
      <c r="G176" s="25">
        <v>57.69</v>
      </c>
      <c r="H176" s="25">
        <f t="shared" si="63"/>
        <v>865.34999999999991</v>
      </c>
      <c r="I176" s="26">
        <v>46230</v>
      </c>
      <c r="J176" s="10">
        <v>46078</v>
      </c>
      <c r="K176" s="10">
        <v>46079</v>
      </c>
      <c r="L176" s="27" t="str">
        <f t="shared" si="62"/>
        <v>On time</v>
      </c>
      <c r="M176" s="58">
        <v>46085</v>
      </c>
      <c r="N176" s="27" t="str">
        <f t="shared" si="61"/>
        <v>Atrasado</v>
      </c>
      <c r="O176" s="27">
        <f t="shared" si="52"/>
        <v>7</v>
      </c>
      <c r="P176" s="28" t="str">
        <f t="shared" si="60"/>
        <v>On time</v>
      </c>
      <c r="Q176" s="27">
        <f t="shared" si="53"/>
        <v>152</v>
      </c>
      <c r="R176" s="29" t="s">
        <v>428</v>
      </c>
      <c r="S176" s="12" t="s">
        <v>65</v>
      </c>
      <c r="T176" s="35">
        <v>44</v>
      </c>
      <c r="U176" t="s">
        <v>419</v>
      </c>
      <c r="V176" s="27">
        <v>15</v>
      </c>
      <c r="W176" s="9">
        <v>3.46</v>
      </c>
      <c r="X176" s="9">
        <f t="shared" si="64"/>
        <v>51.9</v>
      </c>
      <c r="Y176" s="20">
        <v>0.42</v>
      </c>
      <c r="Z176" s="10">
        <v>46087</v>
      </c>
      <c r="AA176" s="10">
        <v>46106</v>
      </c>
      <c r="AB176" s="10">
        <v>46122</v>
      </c>
      <c r="AC176" s="10">
        <v>46189</v>
      </c>
      <c r="AD176" s="31">
        <f t="shared" ca="1" si="56"/>
        <v>29</v>
      </c>
      <c r="AE176" s="55" t="s">
        <v>247</v>
      </c>
      <c r="AF176" s="63" t="s">
        <v>155</v>
      </c>
      <c r="AG176" s="10" t="s">
        <v>78</v>
      </c>
      <c r="AH176" s="10" t="s">
        <v>78</v>
      </c>
      <c r="AI176" s="9" t="s">
        <v>53</v>
      </c>
      <c r="AJ176" s="10">
        <v>46133</v>
      </c>
      <c r="AK176" s="10">
        <v>46174</v>
      </c>
      <c r="AL176" t="s">
        <v>2028</v>
      </c>
      <c r="AM176" s="27" t="str">
        <f t="shared" si="57"/>
        <v>Atrasado</v>
      </c>
      <c r="AN176" s="27" t="str">
        <f t="shared" ca="1" si="58"/>
        <v>No prazo</v>
      </c>
      <c r="AO176" s="27" t="str">
        <f t="shared" ca="1" si="59"/>
        <v>Embarcado</v>
      </c>
    </row>
    <row r="177" spans="1:41" hidden="1">
      <c r="A177">
        <v>511679</v>
      </c>
      <c r="B177">
        <v>4</v>
      </c>
      <c r="C177" t="s">
        <v>25</v>
      </c>
      <c r="D177" t="s">
        <v>506</v>
      </c>
      <c r="E177" s="23" t="s">
        <v>507</v>
      </c>
      <c r="F177" s="24">
        <v>4</v>
      </c>
      <c r="G177" s="25">
        <v>362.36</v>
      </c>
      <c r="H177" s="25">
        <f t="shared" si="63"/>
        <v>1449.44</v>
      </c>
      <c r="I177" s="26">
        <v>46230</v>
      </c>
      <c r="J177" s="10">
        <v>46078</v>
      </c>
      <c r="K177" s="10">
        <v>46079</v>
      </c>
      <c r="L177" s="27" t="str">
        <f t="shared" si="62"/>
        <v>On time</v>
      </c>
      <c r="M177" s="58">
        <v>46085</v>
      </c>
      <c r="N177" s="27" t="str">
        <f t="shared" si="61"/>
        <v>Atrasado</v>
      </c>
      <c r="O177" s="27">
        <f t="shared" si="52"/>
        <v>7</v>
      </c>
      <c r="P177" s="28" t="str">
        <f t="shared" si="60"/>
        <v>On time</v>
      </c>
      <c r="Q177" s="27">
        <f t="shared" si="53"/>
        <v>152</v>
      </c>
      <c r="R177" s="29" t="s">
        <v>428</v>
      </c>
      <c r="S177" s="12" t="s">
        <v>65</v>
      </c>
      <c r="T177" s="35">
        <v>45</v>
      </c>
      <c r="U177" t="s">
        <v>420</v>
      </c>
      <c r="V177" s="27">
        <v>15</v>
      </c>
      <c r="W177" s="9">
        <v>17.37</v>
      </c>
      <c r="X177" s="9">
        <f t="shared" si="64"/>
        <v>260.55</v>
      </c>
      <c r="Y177" s="20">
        <v>3.69</v>
      </c>
      <c r="Z177" s="10">
        <v>46087</v>
      </c>
      <c r="AA177" s="10">
        <v>46106</v>
      </c>
      <c r="AB177" s="10">
        <v>46122</v>
      </c>
      <c r="AC177" s="10">
        <v>46189</v>
      </c>
      <c r="AD177" s="31">
        <f t="shared" ca="1" si="56"/>
        <v>29</v>
      </c>
      <c r="AE177" s="55" t="s">
        <v>247</v>
      </c>
      <c r="AF177" s="63" t="s">
        <v>155</v>
      </c>
      <c r="AG177" s="10" t="s">
        <v>78</v>
      </c>
      <c r="AH177" s="10" t="s">
        <v>78</v>
      </c>
      <c r="AI177" s="9" t="s">
        <v>53</v>
      </c>
      <c r="AJ177" s="10">
        <v>46133</v>
      </c>
      <c r="AK177" s="10">
        <v>46174</v>
      </c>
      <c r="AL177" t="s">
        <v>2028</v>
      </c>
      <c r="AM177" s="27" t="str">
        <f t="shared" si="57"/>
        <v>Atrasado</v>
      </c>
      <c r="AN177" s="27" t="str">
        <f t="shared" ca="1" si="58"/>
        <v>No prazo</v>
      </c>
      <c r="AO177" s="27" t="str">
        <f t="shared" ca="1" si="59"/>
        <v>Embarcado</v>
      </c>
    </row>
    <row r="178" spans="1:41" hidden="1">
      <c r="A178">
        <v>511679</v>
      </c>
      <c r="B178">
        <v>5</v>
      </c>
      <c r="C178" t="s">
        <v>25</v>
      </c>
      <c r="D178" t="s">
        <v>508</v>
      </c>
      <c r="E178" s="23" t="s">
        <v>509</v>
      </c>
      <c r="F178" s="24">
        <v>5</v>
      </c>
      <c r="G178" s="25">
        <v>41.94</v>
      </c>
      <c r="H178" s="25">
        <f t="shared" si="63"/>
        <v>209.7</v>
      </c>
      <c r="I178" s="26">
        <v>46230</v>
      </c>
      <c r="J178" s="10">
        <v>46078</v>
      </c>
      <c r="K178" s="10">
        <v>46079</v>
      </c>
      <c r="L178" s="27" t="str">
        <f t="shared" si="62"/>
        <v>On time</v>
      </c>
      <c r="M178" s="58">
        <v>46085</v>
      </c>
      <c r="N178" s="27" t="str">
        <f t="shared" si="61"/>
        <v>Atrasado</v>
      </c>
      <c r="O178" s="27">
        <f t="shared" si="52"/>
        <v>7</v>
      </c>
      <c r="P178" s="28" t="str">
        <f t="shared" si="60"/>
        <v>On time</v>
      </c>
      <c r="Q178" s="27">
        <f t="shared" si="53"/>
        <v>152</v>
      </c>
      <c r="R178" s="29" t="s">
        <v>428</v>
      </c>
      <c r="S178" s="12" t="s">
        <v>65</v>
      </c>
      <c r="T178" s="35">
        <v>46</v>
      </c>
      <c r="U178" t="s">
        <v>421</v>
      </c>
      <c r="V178" s="27">
        <v>15</v>
      </c>
      <c r="W178" s="9">
        <v>2.0099999999999998</v>
      </c>
      <c r="X178" s="9">
        <f t="shared" si="64"/>
        <v>30.15</v>
      </c>
      <c r="Y178" s="20">
        <v>0.17</v>
      </c>
      <c r="Z178" s="10">
        <v>46087</v>
      </c>
      <c r="AA178" s="10">
        <v>46106</v>
      </c>
      <c r="AB178" s="10">
        <v>46122</v>
      </c>
      <c r="AC178" s="10">
        <v>46189</v>
      </c>
      <c r="AD178" s="31">
        <f t="shared" ca="1" si="56"/>
        <v>29</v>
      </c>
      <c r="AE178" s="55" t="s">
        <v>247</v>
      </c>
      <c r="AF178" s="63" t="s">
        <v>155</v>
      </c>
      <c r="AG178" s="10" t="s">
        <v>78</v>
      </c>
      <c r="AH178" s="10" t="s">
        <v>78</v>
      </c>
      <c r="AI178" s="9" t="s">
        <v>53</v>
      </c>
      <c r="AJ178" s="10">
        <v>46133</v>
      </c>
      <c r="AK178" s="10">
        <v>46174</v>
      </c>
      <c r="AL178" t="s">
        <v>2028</v>
      </c>
      <c r="AM178" s="27" t="str">
        <f t="shared" si="57"/>
        <v>Atrasado</v>
      </c>
      <c r="AN178" s="27" t="str">
        <f t="shared" ca="1" si="58"/>
        <v>No prazo</v>
      </c>
      <c r="AO178" s="27" t="str">
        <f t="shared" ca="1" si="59"/>
        <v>Embarcado</v>
      </c>
    </row>
    <row r="179" spans="1:41" hidden="1">
      <c r="A179">
        <v>511679</v>
      </c>
      <c r="B179">
        <v>6</v>
      </c>
      <c r="C179" t="s">
        <v>25</v>
      </c>
      <c r="D179" t="s">
        <v>510</v>
      </c>
      <c r="E179" s="23" t="s">
        <v>511</v>
      </c>
      <c r="F179" s="24">
        <v>6</v>
      </c>
      <c r="G179" s="25">
        <v>354.23</v>
      </c>
      <c r="H179" s="25">
        <f t="shared" si="63"/>
        <v>2125.38</v>
      </c>
      <c r="I179" s="26">
        <v>46230</v>
      </c>
      <c r="J179" s="10">
        <v>46078</v>
      </c>
      <c r="K179" s="10">
        <v>46079</v>
      </c>
      <c r="L179" s="27" t="str">
        <f t="shared" si="62"/>
        <v>On time</v>
      </c>
      <c r="M179" s="58">
        <v>46085</v>
      </c>
      <c r="N179" s="27" t="str">
        <f t="shared" si="61"/>
        <v>Atrasado</v>
      </c>
      <c r="O179" s="27">
        <f t="shared" ref="O179:O242" si="65">M179-J179</f>
        <v>7</v>
      </c>
      <c r="P179" s="28" t="str">
        <f t="shared" si="60"/>
        <v>On time</v>
      </c>
      <c r="Q179" s="27">
        <f t="shared" ref="Q179:Q242" si="66">I179-J179</f>
        <v>152</v>
      </c>
      <c r="R179" s="29" t="s">
        <v>428</v>
      </c>
      <c r="S179" s="12" t="s">
        <v>65</v>
      </c>
      <c r="T179" s="84">
        <v>47</v>
      </c>
      <c r="U179" s="85" t="s">
        <v>422</v>
      </c>
      <c r="V179" s="79">
        <v>10</v>
      </c>
      <c r="W179" s="70">
        <v>16.98</v>
      </c>
      <c r="X179" s="80">
        <f t="shared" si="64"/>
        <v>169.8</v>
      </c>
      <c r="Y179" s="98">
        <v>3.09</v>
      </c>
      <c r="Z179" s="10">
        <v>46087</v>
      </c>
      <c r="AA179" s="10">
        <v>46106</v>
      </c>
      <c r="AB179" s="10">
        <v>46122</v>
      </c>
      <c r="AC179" s="10">
        <v>46189</v>
      </c>
      <c r="AD179" s="31">
        <f t="shared" ca="1" si="56"/>
        <v>29</v>
      </c>
      <c r="AE179" s="55" t="s">
        <v>247</v>
      </c>
      <c r="AF179" s="63" t="s">
        <v>155</v>
      </c>
      <c r="AG179" s="10" t="s">
        <v>78</v>
      </c>
      <c r="AH179" s="10" t="s">
        <v>78</v>
      </c>
      <c r="AI179" s="9" t="s">
        <v>53</v>
      </c>
      <c r="AJ179" s="10">
        <v>46133</v>
      </c>
      <c r="AK179" s="10">
        <v>46174</v>
      </c>
      <c r="AL179" t="s">
        <v>2028</v>
      </c>
      <c r="AM179" s="27" t="str">
        <f t="shared" si="57"/>
        <v>Atrasado</v>
      </c>
      <c r="AN179" s="27" t="str">
        <f t="shared" ca="1" si="58"/>
        <v>No prazo</v>
      </c>
      <c r="AO179" s="27" t="str">
        <f t="shared" ca="1" si="59"/>
        <v>Embarcado</v>
      </c>
    </row>
    <row r="180" spans="1:41" hidden="1">
      <c r="A180">
        <v>513106</v>
      </c>
      <c r="B180">
        <v>9</v>
      </c>
      <c r="C180" t="s">
        <v>25</v>
      </c>
      <c r="D180" t="s">
        <v>510</v>
      </c>
      <c r="E180" s="23" t="s">
        <v>511</v>
      </c>
      <c r="F180" s="24">
        <v>2</v>
      </c>
      <c r="G180" s="25">
        <v>354.23</v>
      </c>
      <c r="H180" s="25">
        <f t="shared" si="63"/>
        <v>708.46</v>
      </c>
      <c r="I180" s="26">
        <v>46248</v>
      </c>
      <c r="J180" s="10">
        <v>46097</v>
      </c>
      <c r="K180" s="10">
        <v>46098</v>
      </c>
      <c r="L180" s="27" t="str">
        <f t="shared" si="62"/>
        <v>On time</v>
      </c>
      <c r="M180" s="58">
        <v>46085</v>
      </c>
      <c r="N180" s="27" t="str">
        <f t="shared" si="61"/>
        <v>On time</v>
      </c>
      <c r="O180" s="27">
        <f t="shared" si="65"/>
        <v>-12</v>
      </c>
      <c r="P180" s="28" t="str">
        <f t="shared" si="60"/>
        <v>On time</v>
      </c>
      <c r="Q180" s="27">
        <f t="shared" si="66"/>
        <v>151</v>
      </c>
      <c r="R180" s="29" t="s">
        <v>428</v>
      </c>
      <c r="S180" s="12" t="s">
        <v>65</v>
      </c>
      <c r="T180" s="84"/>
      <c r="U180" s="85"/>
      <c r="V180" s="79"/>
      <c r="W180" s="70">
        <v>16.98</v>
      </c>
      <c r="X180" s="80"/>
      <c r="Y180" s="98"/>
      <c r="Z180" s="10">
        <v>46087</v>
      </c>
      <c r="AA180" s="10">
        <v>46106</v>
      </c>
      <c r="AB180" s="10">
        <v>46122</v>
      </c>
      <c r="AC180" s="10">
        <v>46189</v>
      </c>
      <c r="AD180" s="31">
        <f t="shared" ca="1" si="56"/>
        <v>29</v>
      </c>
      <c r="AE180" s="55" t="s">
        <v>247</v>
      </c>
      <c r="AF180" s="63" t="s">
        <v>155</v>
      </c>
      <c r="AG180" s="10" t="s">
        <v>78</v>
      </c>
      <c r="AH180" s="10" t="s">
        <v>78</v>
      </c>
      <c r="AI180" s="9" t="s">
        <v>53</v>
      </c>
      <c r="AJ180" s="10">
        <v>46133</v>
      </c>
      <c r="AK180" s="10">
        <v>46174</v>
      </c>
      <c r="AL180" t="s">
        <v>2028</v>
      </c>
      <c r="AM180" s="27" t="str">
        <f t="shared" si="57"/>
        <v>Atrasado</v>
      </c>
      <c r="AN180" s="27" t="str">
        <f t="shared" ca="1" si="58"/>
        <v>No prazo</v>
      </c>
      <c r="AO180" s="27" t="str">
        <f t="shared" ca="1" si="59"/>
        <v>Embarcado</v>
      </c>
    </row>
    <row r="181" spans="1:41" hidden="1">
      <c r="A181">
        <v>511679</v>
      </c>
      <c r="B181">
        <v>7</v>
      </c>
      <c r="C181" t="s">
        <v>25</v>
      </c>
      <c r="D181" t="s">
        <v>512</v>
      </c>
      <c r="E181" s="23" t="s">
        <v>513</v>
      </c>
      <c r="F181" s="24">
        <v>4</v>
      </c>
      <c r="G181" s="25">
        <v>70.19</v>
      </c>
      <c r="H181" s="25">
        <f t="shared" si="63"/>
        <v>280.76</v>
      </c>
      <c r="I181" s="26">
        <v>46230</v>
      </c>
      <c r="J181" s="10">
        <v>46078</v>
      </c>
      <c r="K181" s="10">
        <v>46079</v>
      </c>
      <c r="L181" s="27" t="str">
        <f t="shared" si="62"/>
        <v>On time</v>
      </c>
      <c r="M181" s="58">
        <v>46085</v>
      </c>
      <c r="N181" s="27" t="str">
        <f t="shared" si="61"/>
        <v>Atrasado</v>
      </c>
      <c r="O181" s="27">
        <f t="shared" si="65"/>
        <v>7</v>
      </c>
      <c r="P181" s="28" t="str">
        <f t="shared" si="60"/>
        <v>On time</v>
      </c>
      <c r="Q181" s="27">
        <f t="shared" si="66"/>
        <v>152</v>
      </c>
      <c r="R181" s="29" t="s">
        <v>428</v>
      </c>
      <c r="S181" s="12" t="s">
        <v>65</v>
      </c>
      <c r="T181" s="35">
        <v>48</v>
      </c>
      <c r="U181" t="s">
        <v>423</v>
      </c>
      <c r="V181" s="27">
        <v>20</v>
      </c>
      <c r="W181" s="9">
        <v>3.36</v>
      </c>
      <c r="X181" s="9">
        <f t="shared" si="64"/>
        <v>67.2</v>
      </c>
      <c r="Y181" s="20">
        <v>0.21</v>
      </c>
      <c r="Z181" s="10">
        <v>46087</v>
      </c>
      <c r="AA181" s="10">
        <v>46106</v>
      </c>
      <c r="AB181" s="10">
        <v>46122</v>
      </c>
      <c r="AC181" s="10">
        <v>46189</v>
      </c>
      <c r="AD181" s="31">
        <f t="shared" ca="1" si="56"/>
        <v>29</v>
      </c>
      <c r="AE181" s="55" t="s">
        <v>247</v>
      </c>
      <c r="AF181" s="63" t="s">
        <v>155</v>
      </c>
      <c r="AG181" s="10" t="s">
        <v>78</v>
      </c>
      <c r="AH181" s="10" t="s">
        <v>78</v>
      </c>
      <c r="AI181" s="9" t="s">
        <v>53</v>
      </c>
      <c r="AJ181" s="10">
        <v>46133</v>
      </c>
      <c r="AK181" s="10">
        <v>46174</v>
      </c>
      <c r="AL181" t="s">
        <v>2028</v>
      </c>
      <c r="AM181" s="27" t="str">
        <f t="shared" si="57"/>
        <v>Atrasado</v>
      </c>
      <c r="AN181" s="27" t="str">
        <f t="shared" ca="1" si="58"/>
        <v>No prazo</v>
      </c>
      <c r="AO181" s="27" t="str">
        <f t="shared" ca="1" si="59"/>
        <v>Embarcado</v>
      </c>
    </row>
    <row r="182" spans="1:41" hidden="1">
      <c r="A182">
        <v>511679</v>
      </c>
      <c r="B182">
        <v>8</v>
      </c>
      <c r="C182" t="s">
        <v>25</v>
      </c>
      <c r="D182" t="s">
        <v>514</v>
      </c>
      <c r="E182" s="23" t="s">
        <v>515</v>
      </c>
      <c r="F182" s="24">
        <v>10</v>
      </c>
      <c r="G182" s="25">
        <v>209.22</v>
      </c>
      <c r="H182" s="25">
        <f t="shared" si="63"/>
        <v>2092.1999999999998</v>
      </c>
      <c r="I182" s="26">
        <v>46230</v>
      </c>
      <c r="J182" s="10">
        <v>46078</v>
      </c>
      <c r="K182" s="10">
        <v>46079</v>
      </c>
      <c r="L182" s="27" t="str">
        <f t="shared" si="62"/>
        <v>On time</v>
      </c>
      <c r="M182" s="58">
        <v>46085</v>
      </c>
      <c r="N182" s="27" t="str">
        <f t="shared" si="61"/>
        <v>Atrasado</v>
      </c>
      <c r="O182" s="27">
        <f t="shared" si="65"/>
        <v>7</v>
      </c>
      <c r="P182" s="28" t="str">
        <f t="shared" si="60"/>
        <v>On time</v>
      </c>
      <c r="Q182" s="27">
        <f t="shared" si="66"/>
        <v>152</v>
      </c>
      <c r="R182" s="29" t="s">
        <v>428</v>
      </c>
      <c r="S182" s="12" t="s">
        <v>65</v>
      </c>
      <c r="T182" s="84">
        <v>49</v>
      </c>
      <c r="U182" s="85" t="s">
        <v>424</v>
      </c>
      <c r="V182" s="79">
        <v>30</v>
      </c>
      <c r="W182" s="70">
        <v>13.43</v>
      </c>
      <c r="X182" s="80">
        <f t="shared" si="64"/>
        <v>402.9</v>
      </c>
      <c r="Y182" s="97">
        <v>4.3600000000000003</v>
      </c>
      <c r="Z182" s="10">
        <v>46087</v>
      </c>
      <c r="AA182" s="10">
        <v>46106</v>
      </c>
      <c r="AB182" s="10">
        <v>46122</v>
      </c>
      <c r="AC182" s="10">
        <v>46189</v>
      </c>
      <c r="AD182" s="31">
        <f t="shared" ca="1" si="56"/>
        <v>29</v>
      </c>
      <c r="AE182" s="55" t="s">
        <v>247</v>
      </c>
      <c r="AF182" s="63" t="s">
        <v>155</v>
      </c>
      <c r="AG182" s="10" t="s">
        <v>78</v>
      </c>
      <c r="AH182" s="10" t="s">
        <v>78</v>
      </c>
      <c r="AI182" s="9" t="s">
        <v>53</v>
      </c>
      <c r="AJ182" s="10">
        <v>46133</v>
      </c>
      <c r="AK182" s="10">
        <v>46174</v>
      </c>
      <c r="AL182" t="s">
        <v>2028</v>
      </c>
      <c r="AM182" s="27" t="str">
        <f t="shared" si="57"/>
        <v>Atrasado</v>
      </c>
      <c r="AN182" s="27" t="str">
        <f t="shared" ca="1" si="58"/>
        <v>No prazo</v>
      </c>
      <c r="AO182" s="27" t="str">
        <f t="shared" ca="1" si="59"/>
        <v>Embarcado</v>
      </c>
    </row>
    <row r="183" spans="1:41" hidden="1">
      <c r="A183">
        <v>512171</v>
      </c>
      <c r="B183">
        <v>16</v>
      </c>
      <c r="C183" t="s">
        <v>25</v>
      </c>
      <c r="D183" t="s">
        <v>514</v>
      </c>
      <c r="E183" s="23" t="s">
        <v>515</v>
      </c>
      <c r="F183" s="24">
        <v>10</v>
      </c>
      <c r="G183" s="25">
        <v>209.22</v>
      </c>
      <c r="H183" s="25">
        <f t="shared" si="63"/>
        <v>2092.1999999999998</v>
      </c>
      <c r="I183" s="26">
        <v>46237</v>
      </c>
      <c r="J183" s="10">
        <v>46084</v>
      </c>
      <c r="K183" s="10">
        <v>46085</v>
      </c>
      <c r="L183" s="27" t="str">
        <f t="shared" si="62"/>
        <v>On time</v>
      </c>
      <c r="M183" s="58">
        <v>46085</v>
      </c>
      <c r="N183" s="27" t="str">
        <f t="shared" si="61"/>
        <v>On time</v>
      </c>
      <c r="O183" s="27">
        <f t="shared" si="65"/>
        <v>1</v>
      </c>
      <c r="P183" s="28" t="str">
        <f t="shared" si="60"/>
        <v>On time</v>
      </c>
      <c r="Q183" s="27">
        <f t="shared" si="66"/>
        <v>153</v>
      </c>
      <c r="R183" s="29" t="s">
        <v>428</v>
      </c>
      <c r="S183" s="12" t="s">
        <v>65</v>
      </c>
      <c r="T183" s="84"/>
      <c r="U183" s="85"/>
      <c r="V183" s="79"/>
      <c r="W183" s="70">
        <v>13.43</v>
      </c>
      <c r="X183" s="80"/>
      <c r="Y183" s="97"/>
      <c r="Z183" s="10">
        <v>46087</v>
      </c>
      <c r="AA183" s="10">
        <v>46106</v>
      </c>
      <c r="AB183" s="10">
        <v>46122</v>
      </c>
      <c r="AC183" s="10">
        <v>46189</v>
      </c>
      <c r="AD183" s="31">
        <f t="shared" ca="1" si="56"/>
        <v>29</v>
      </c>
      <c r="AE183" s="55" t="s">
        <v>247</v>
      </c>
      <c r="AF183" s="63" t="s">
        <v>155</v>
      </c>
      <c r="AG183" s="10" t="s">
        <v>78</v>
      </c>
      <c r="AH183" s="10" t="s">
        <v>78</v>
      </c>
      <c r="AI183" s="9" t="s">
        <v>53</v>
      </c>
      <c r="AJ183" s="10">
        <v>46133</v>
      </c>
      <c r="AK183" s="10">
        <v>46174</v>
      </c>
      <c r="AL183" t="s">
        <v>2028</v>
      </c>
      <c r="AM183" s="27" t="str">
        <f t="shared" si="57"/>
        <v>Atrasado</v>
      </c>
      <c r="AN183" s="27" t="str">
        <f t="shared" ca="1" si="58"/>
        <v>No prazo</v>
      </c>
      <c r="AO183" s="27" t="str">
        <f t="shared" ca="1" si="59"/>
        <v>Embarcado</v>
      </c>
    </row>
    <row r="184" spans="1:41" hidden="1">
      <c r="A184">
        <v>512171</v>
      </c>
      <c r="B184">
        <v>9</v>
      </c>
      <c r="C184" t="s">
        <v>25</v>
      </c>
      <c r="D184" t="s">
        <v>514</v>
      </c>
      <c r="E184" s="23" t="s">
        <v>515</v>
      </c>
      <c r="F184" s="24">
        <v>10</v>
      </c>
      <c r="G184" s="25">
        <v>209.22</v>
      </c>
      <c r="H184" s="25">
        <f t="shared" si="63"/>
        <v>2092.1999999999998</v>
      </c>
      <c r="I184" s="26">
        <v>46237</v>
      </c>
      <c r="J184" s="10">
        <v>46084</v>
      </c>
      <c r="K184" s="10">
        <v>46085</v>
      </c>
      <c r="L184" s="27" t="str">
        <f t="shared" si="62"/>
        <v>On time</v>
      </c>
      <c r="M184" s="58">
        <v>46085</v>
      </c>
      <c r="N184" s="27" t="str">
        <f t="shared" si="61"/>
        <v>On time</v>
      </c>
      <c r="O184" s="27">
        <f t="shared" si="65"/>
        <v>1</v>
      </c>
      <c r="P184" s="28" t="str">
        <f t="shared" si="60"/>
        <v>On time</v>
      </c>
      <c r="Q184" s="27">
        <f t="shared" si="66"/>
        <v>153</v>
      </c>
      <c r="R184" s="29" t="s">
        <v>428</v>
      </c>
      <c r="S184" s="12" t="s">
        <v>65</v>
      </c>
      <c r="T184" s="84"/>
      <c r="U184" s="85"/>
      <c r="V184" s="79"/>
      <c r="W184" s="70">
        <v>13.43</v>
      </c>
      <c r="X184" s="80"/>
      <c r="Y184" s="97"/>
      <c r="Z184" s="10">
        <v>46087</v>
      </c>
      <c r="AA184" s="10">
        <v>46106</v>
      </c>
      <c r="AB184" s="10">
        <v>46122</v>
      </c>
      <c r="AC184" s="10">
        <v>46189</v>
      </c>
      <c r="AD184" s="31">
        <f t="shared" ca="1" si="56"/>
        <v>29</v>
      </c>
      <c r="AE184" s="55" t="s">
        <v>247</v>
      </c>
      <c r="AF184" s="63" t="s">
        <v>155</v>
      </c>
      <c r="AG184" s="10" t="s">
        <v>78</v>
      </c>
      <c r="AH184" s="10" t="s">
        <v>78</v>
      </c>
      <c r="AI184" s="9" t="s">
        <v>53</v>
      </c>
      <c r="AJ184" s="10">
        <v>46133</v>
      </c>
      <c r="AK184" s="10">
        <v>46174</v>
      </c>
      <c r="AL184" t="s">
        <v>2028</v>
      </c>
      <c r="AM184" s="27" t="str">
        <f t="shared" si="57"/>
        <v>Atrasado</v>
      </c>
      <c r="AN184" s="27" t="str">
        <f t="shared" ca="1" si="58"/>
        <v>No prazo</v>
      </c>
      <c r="AO184" s="27" t="str">
        <f t="shared" ca="1" si="59"/>
        <v>Embarcado</v>
      </c>
    </row>
    <row r="185" spans="1:41" hidden="1">
      <c r="A185">
        <v>511679</v>
      </c>
      <c r="B185">
        <v>10</v>
      </c>
      <c r="C185" t="s">
        <v>25</v>
      </c>
      <c r="D185" t="s">
        <v>516</v>
      </c>
      <c r="E185" s="23" t="s">
        <v>517</v>
      </c>
      <c r="F185" s="24">
        <v>15</v>
      </c>
      <c r="G185" s="25">
        <v>90.49</v>
      </c>
      <c r="H185" s="25">
        <f t="shared" si="63"/>
        <v>1357.35</v>
      </c>
      <c r="I185" s="26">
        <v>46230</v>
      </c>
      <c r="J185" s="10">
        <v>46078</v>
      </c>
      <c r="K185" s="10">
        <v>46079</v>
      </c>
      <c r="L185" s="27" t="str">
        <f t="shared" si="62"/>
        <v>On time</v>
      </c>
      <c r="M185" s="58">
        <v>46085</v>
      </c>
      <c r="N185" s="27" t="str">
        <f t="shared" si="61"/>
        <v>Atrasado</v>
      </c>
      <c r="O185" s="27">
        <f t="shared" si="65"/>
        <v>7</v>
      </c>
      <c r="P185" s="28" t="str">
        <f t="shared" si="60"/>
        <v>On time</v>
      </c>
      <c r="Q185" s="27">
        <f t="shared" si="66"/>
        <v>152</v>
      </c>
      <c r="R185" s="29" t="s">
        <v>428</v>
      </c>
      <c r="S185" s="12" t="s">
        <v>65</v>
      </c>
      <c r="T185" s="35">
        <v>50</v>
      </c>
      <c r="U185" t="s">
        <v>425</v>
      </c>
      <c r="V185" s="27">
        <v>15</v>
      </c>
      <c r="W185" s="9">
        <v>3.47</v>
      </c>
      <c r="X185" s="9">
        <f t="shared" si="64"/>
        <v>52.050000000000004</v>
      </c>
      <c r="Y185" s="20">
        <v>0.34</v>
      </c>
      <c r="Z185" s="10">
        <v>46087</v>
      </c>
      <c r="AA185" s="10">
        <v>46106</v>
      </c>
      <c r="AB185" s="10">
        <v>46122</v>
      </c>
      <c r="AC185" s="10">
        <v>46189</v>
      </c>
      <c r="AD185" s="31">
        <f t="shared" ca="1" si="56"/>
        <v>29</v>
      </c>
      <c r="AE185" s="55" t="s">
        <v>247</v>
      </c>
      <c r="AF185" s="63" t="s">
        <v>155</v>
      </c>
      <c r="AG185" s="10" t="s">
        <v>78</v>
      </c>
      <c r="AH185" s="10" t="s">
        <v>78</v>
      </c>
      <c r="AI185" s="9" t="s">
        <v>53</v>
      </c>
      <c r="AJ185" s="10">
        <v>46133</v>
      </c>
      <c r="AK185" s="10">
        <v>46174</v>
      </c>
      <c r="AL185" t="s">
        <v>2028</v>
      </c>
      <c r="AM185" s="27" t="str">
        <f t="shared" si="57"/>
        <v>Atrasado</v>
      </c>
      <c r="AN185" s="27" t="str">
        <f t="shared" ca="1" si="58"/>
        <v>No prazo</v>
      </c>
      <c r="AO185" s="27" t="str">
        <f t="shared" ca="1" si="59"/>
        <v>Embarcado</v>
      </c>
    </row>
    <row r="186" spans="1:41" hidden="1">
      <c r="A186">
        <v>511688</v>
      </c>
      <c r="B186">
        <v>3</v>
      </c>
      <c r="C186" t="s">
        <v>25</v>
      </c>
      <c r="D186" t="s">
        <v>518</v>
      </c>
      <c r="E186" s="23" t="s">
        <v>519</v>
      </c>
      <c r="F186" s="24">
        <v>322</v>
      </c>
      <c r="G186" s="25">
        <v>322</v>
      </c>
      <c r="H186" s="25">
        <f t="shared" si="63"/>
        <v>103684</v>
      </c>
      <c r="I186" s="26">
        <v>46230</v>
      </c>
      <c r="J186" s="10">
        <v>46078</v>
      </c>
      <c r="K186" s="10">
        <v>46079</v>
      </c>
      <c r="L186" s="27" t="str">
        <f t="shared" si="62"/>
        <v>On time</v>
      </c>
      <c r="M186" s="58">
        <v>46085</v>
      </c>
      <c r="N186" s="27" t="str">
        <f t="shared" si="61"/>
        <v>Atrasado</v>
      </c>
      <c r="O186" s="27">
        <f t="shared" si="65"/>
        <v>7</v>
      </c>
      <c r="P186" s="28" t="str">
        <f t="shared" si="60"/>
        <v>On time</v>
      </c>
      <c r="Q186" s="27">
        <f t="shared" si="66"/>
        <v>152</v>
      </c>
      <c r="R186" s="29" t="s">
        <v>428</v>
      </c>
      <c r="S186" s="12" t="s">
        <v>65</v>
      </c>
      <c r="T186" s="35">
        <v>51</v>
      </c>
      <c r="U186" t="s">
        <v>426</v>
      </c>
      <c r="V186" s="27">
        <v>322</v>
      </c>
      <c r="W186" s="9">
        <v>2.4700000000000002</v>
      </c>
      <c r="X186" s="9">
        <f t="shared" si="64"/>
        <v>795.34</v>
      </c>
      <c r="Y186" s="20">
        <v>0.03</v>
      </c>
      <c r="Z186" s="10">
        <v>46087</v>
      </c>
      <c r="AA186" s="10">
        <v>46106</v>
      </c>
      <c r="AB186" s="10">
        <v>46122</v>
      </c>
      <c r="AC186" s="10">
        <v>46189</v>
      </c>
      <c r="AD186" s="31">
        <f t="shared" ca="1" si="56"/>
        <v>29</v>
      </c>
      <c r="AE186" s="55" t="s">
        <v>247</v>
      </c>
      <c r="AF186" s="63" t="s">
        <v>155</v>
      </c>
      <c r="AG186" s="10" t="s">
        <v>78</v>
      </c>
      <c r="AH186" s="10" t="s">
        <v>78</v>
      </c>
      <c r="AI186" s="9" t="s">
        <v>53</v>
      </c>
      <c r="AJ186" s="10">
        <v>46133</v>
      </c>
      <c r="AK186" s="10">
        <v>46174</v>
      </c>
      <c r="AL186" t="s">
        <v>2028</v>
      </c>
      <c r="AM186" s="27" t="str">
        <f t="shared" si="57"/>
        <v>Atrasado</v>
      </c>
      <c r="AN186" s="27" t="str">
        <f t="shared" ca="1" si="58"/>
        <v>No prazo</v>
      </c>
      <c r="AO186" s="27" t="str">
        <f t="shared" ca="1" si="59"/>
        <v>Embarcado</v>
      </c>
    </row>
    <row r="187" spans="1:41" hidden="1">
      <c r="A187">
        <v>511688</v>
      </c>
      <c r="B187">
        <v>4</v>
      </c>
      <c r="C187" t="s">
        <v>25</v>
      </c>
      <c r="D187" t="s">
        <v>520</v>
      </c>
      <c r="E187" s="23" t="s">
        <v>521</v>
      </c>
      <c r="F187" s="24">
        <v>2</v>
      </c>
      <c r="G187" s="25">
        <v>29.77</v>
      </c>
      <c r="H187" s="25">
        <f t="shared" si="63"/>
        <v>59.54</v>
      </c>
      <c r="I187" s="26">
        <v>46230</v>
      </c>
      <c r="J187" s="10">
        <v>46078</v>
      </c>
      <c r="K187" s="10">
        <v>46079</v>
      </c>
      <c r="L187" s="27" t="str">
        <f t="shared" si="62"/>
        <v>On time</v>
      </c>
      <c r="M187" s="58">
        <v>46085</v>
      </c>
      <c r="N187" s="27" t="str">
        <f t="shared" si="61"/>
        <v>Atrasado</v>
      </c>
      <c r="O187" s="27">
        <f t="shared" si="65"/>
        <v>7</v>
      </c>
      <c r="P187" s="28" t="str">
        <f t="shared" si="60"/>
        <v>On time</v>
      </c>
      <c r="Q187" s="27">
        <f t="shared" si="66"/>
        <v>152</v>
      </c>
      <c r="R187" s="29" t="s">
        <v>428</v>
      </c>
      <c r="S187" s="12" t="s">
        <v>65</v>
      </c>
      <c r="T187" s="35">
        <v>52</v>
      </c>
      <c r="U187" t="s">
        <v>427</v>
      </c>
      <c r="V187" s="27">
        <v>10</v>
      </c>
      <c r="W187" s="9">
        <v>1.1399999999999999</v>
      </c>
      <c r="X187" s="9">
        <f t="shared" si="64"/>
        <v>11.399999999999999</v>
      </c>
      <c r="Y187" s="20">
        <v>0.19</v>
      </c>
      <c r="Z187" s="10">
        <v>46087</v>
      </c>
      <c r="AA187" s="10">
        <v>46106</v>
      </c>
      <c r="AB187" s="10">
        <v>46122</v>
      </c>
      <c r="AC187" s="10">
        <v>46189</v>
      </c>
      <c r="AD187" s="31">
        <f t="shared" ca="1" si="56"/>
        <v>29</v>
      </c>
      <c r="AE187" s="55" t="s">
        <v>247</v>
      </c>
      <c r="AF187" s="63" t="s">
        <v>155</v>
      </c>
      <c r="AG187" s="10" t="s">
        <v>78</v>
      </c>
      <c r="AH187" s="10" t="s">
        <v>78</v>
      </c>
      <c r="AI187" s="9" t="s">
        <v>53</v>
      </c>
      <c r="AJ187" s="10">
        <v>46133</v>
      </c>
      <c r="AK187" s="10">
        <v>46174</v>
      </c>
      <c r="AL187" t="s">
        <v>2028</v>
      </c>
      <c r="AM187" s="27" t="str">
        <f t="shared" si="57"/>
        <v>Atrasado</v>
      </c>
      <c r="AN187" s="27" t="str">
        <f t="shared" ca="1" si="58"/>
        <v>No prazo</v>
      </c>
      <c r="AO187" s="27" t="str">
        <f t="shared" ca="1" si="59"/>
        <v>Embarcado</v>
      </c>
    </row>
    <row r="188" spans="1:41" hidden="1">
      <c r="A188">
        <v>514393</v>
      </c>
      <c r="B188">
        <v>7</v>
      </c>
      <c r="C188" t="s">
        <v>25</v>
      </c>
      <c r="D188" t="s">
        <v>900</v>
      </c>
      <c r="E188" s="23" t="s">
        <v>901</v>
      </c>
      <c r="F188" s="24">
        <v>100</v>
      </c>
      <c r="G188" s="25">
        <v>20.350000000000001</v>
      </c>
      <c r="H188" s="25">
        <f t="shared" si="63"/>
        <v>2035.0000000000002</v>
      </c>
      <c r="I188" s="26">
        <v>46244</v>
      </c>
      <c r="J188" s="10">
        <v>46112</v>
      </c>
      <c r="K188" s="10">
        <v>46114</v>
      </c>
      <c r="L188" s="27" t="str">
        <f t="shared" si="62"/>
        <v>On time</v>
      </c>
      <c r="M188" s="58">
        <v>46085</v>
      </c>
      <c r="N188" s="27" t="str">
        <f t="shared" si="61"/>
        <v>On time</v>
      </c>
      <c r="O188" s="27">
        <f t="shared" si="65"/>
        <v>-27</v>
      </c>
      <c r="P188" s="28" t="str">
        <f t="shared" si="60"/>
        <v>On time</v>
      </c>
      <c r="Q188" s="27">
        <f t="shared" si="66"/>
        <v>132</v>
      </c>
      <c r="R188" s="29" t="s">
        <v>428</v>
      </c>
      <c r="S188" s="12" t="s">
        <v>65</v>
      </c>
      <c r="T188" s="84">
        <v>53</v>
      </c>
      <c r="U188" s="85" t="s">
        <v>900</v>
      </c>
      <c r="V188" s="79">
        <v>8000</v>
      </c>
      <c r="W188" s="70">
        <v>0.96</v>
      </c>
      <c r="X188" s="80">
        <f t="shared" ref="X188" si="67">W188*V188</f>
        <v>7680</v>
      </c>
      <c r="Y188" s="97">
        <v>0.14000000000000001</v>
      </c>
      <c r="Z188" s="10">
        <v>46087</v>
      </c>
      <c r="AA188" s="10">
        <v>46106</v>
      </c>
      <c r="AB188" s="10">
        <v>46122</v>
      </c>
      <c r="AC188" s="10">
        <v>46189</v>
      </c>
      <c r="AD188" s="31">
        <f t="shared" ref="AD188" ca="1" si="68">TODAY()-AA188</f>
        <v>29</v>
      </c>
      <c r="AE188" s="55" t="s">
        <v>247</v>
      </c>
      <c r="AF188" s="63" t="s">
        <v>155</v>
      </c>
      <c r="AG188" s="10" t="s">
        <v>78</v>
      </c>
      <c r="AH188" s="10" t="s">
        <v>78</v>
      </c>
      <c r="AI188" s="9" t="s">
        <v>53</v>
      </c>
      <c r="AJ188" s="10">
        <v>46133</v>
      </c>
      <c r="AK188" s="10">
        <v>46174</v>
      </c>
      <c r="AL188" t="s">
        <v>2028</v>
      </c>
      <c r="AM188" s="27" t="str">
        <f t="shared" ref="AM188" si="69">IF(AB188=0," ",IF(AB188&lt;=AA188+10,"On time","Atrasado"))</f>
        <v>Atrasado</v>
      </c>
      <c r="AN188" s="27" t="str">
        <f t="shared" ref="AN188" ca="1" si="70">IF(AND(AC188&lt;&gt;"",AC188&lt;=TODAY()),"Chegou",IF(A188="","Estoque",IF(OR(AC188="",I188=""),"",IF(I188-AC188&lt;=0,"Atrasado",IF(I188-AC188&lt;=9,"Crítico",IF(I188-AC188&lt;=20,"Verificar aéreo",IF(I188-AC188&lt;=25,"Alerta","No prazo")        ))))))</f>
        <v>No prazo</v>
      </c>
      <c r="AO188" s="27" t="str">
        <f t="shared" ca="1" si="59"/>
        <v>Embarcado</v>
      </c>
    </row>
    <row r="189" spans="1:41" hidden="1">
      <c r="A189">
        <v>514561</v>
      </c>
      <c r="B189">
        <v>1</v>
      </c>
      <c r="C189" t="s">
        <v>25</v>
      </c>
      <c r="D189" t="s">
        <v>900</v>
      </c>
      <c r="E189" s="23" t="s">
        <v>901</v>
      </c>
      <c r="F189" s="24">
        <v>353</v>
      </c>
      <c r="G189" s="25">
        <v>20.3</v>
      </c>
      <c r="H189" s="25">
        <f t="shared" ref="H189:H193" si="71">G189*F189</f>
        <v>7165.9000000000005</v>
      </c>
      <c r="I189" s="26">
        <v>46248</v>
      </c>
      <c r="J189" s="10">
        <v>46118</v>
      </c>
      <c r="K189" s="10">
        <v>46118</v>
      </c>
      <c r="L189" s="27" t="str">
        <f t="shared" si="62"/>
        <v>On time</v>
      </c>
      <c r="M189" s="58">
        <v>46085</v>
      </c>
      <c r="N189" s="27" t="str">
        <f t="shared" si="61"/>
        <v>On time</v>
      </c>
      <c r="O189" s="27">
        <f t="shared" si="65"/>
        <v>-33</v>
      </c>
      <c r="P189" s="28" t="str">
        <f t="shared" si="60"/>
        <v>On time</v>
      </c>
      <c r="Q189" s="27">
        <f t="shared" si="66"/>
        <v>130</v>
      </c>
      <c r="R189" s="29" t="s">
        <v>428</v>
      </c>
      <c r="S189" s="12" t="s">
        <v>65</v>
      </c>
      <c r="T189" s="84"/>
      <c r="U189" s="85"/>
      <c r="V189" s="79"/>
      <c r="W189" s="70">
        <v>0.96</v>
      </c>
      <c r="X189" s="80"/>
      <c r="Y189" s="97"/>
      <c r="Z189" s="10">
        <v>46087</v>
      </c>
      <c r="AA189" s="10">
        <v>46106</v>
      </c>
      <c r="AB189" s="10">
        <v>46122</v>
      </c>
      <c r="AC189" s="10">
        <v>46189</v>
      </c>
      <c r="AD189" s="31">
        <f t="shared" ref="AD189" ca="1" si="72">TODAY()-AA189</f>
        <v>29</v>
      </c>
      <c r="AE189" s="55" t="s">
        <v>247</v>
      </c>
      <c r="AF189" s="63" t="s">
        <v>155</v>
      </c>
      <c r="AG189" s="10" t="s">
        <v>78</v>
      </c>
      <c r="AH189" s="10" t="s">
        <v>78</v>
      </c>
      <c r="AI189" s="9" t="s">
        <v>53</v>
      </c>
      <c r="AJ189" s="10">
        <v>46133</v>
      </c>
      <c r="AK189" s="10">
        <v>46174</v>
      </c>
      <c r="AL189" t="s">
        <v>2028</v>
      </c>
      <c r="AM189" s="27" t="str">
        <f t="shared" ref="AM189" si="73">IF(AB189=0," ",IF(AB189&lt;=AA189+10,"On time","Atrasado"))</f>
        <v>Atrasado</v>
      </c>
      <c r="AN189" s="27" t="str">
        <f t="shared" ref="AN189" ca="1" si="74">IF(AND(AC189&lt;&gt;"",AC189&lt;=TODAY()),"Chegou",IF(A189="","Estoque",IF(OR(AC189="",I189=""),"",IF(I189-AC189&lt;=0,"Atrasado",IF(I189-AC189&lt;=9,"Crítico",IF(I189-AC189&lt;=20,"Verificar aéreo",IF(I189-AC189&lt;=25,"Alerta","No prazo")        ))))))</f>
        <v>No prazo</v>
      </c>
      <c r="AO189" s="27" t="str">
        <f t="shared" ca="1" si="59"/>
        <v>Embarcado</v>
      </c>
    </row>
    <row r="190" spans="1:41" hidden="1">
      <c r="A190">
        <v>514567</v>
      </c>
      <c r="B190">
        <v>1</v>
      </c>
      <c r="C190" t="s">
        <v>25</v>
      </c>
      <c r="D190" t="s">
        <v>900</v>
      </c>
      <c r="E190" s="23" t="s">
        <v>901</v>
      </c>
      <c r="F190" s="24">
        <v>76</v>
      </c>
      <c r="G190" s="25">
        <v>20.350000000000001</v>
      </c>
      <c r="H190" s="25">
        <f t="shared" si="71"/>
        <v>1546.6000000000001</v>
      </c>
      <c r="I190" s="26">
        <v>46248</v>
      </c>
      <c r="J190" s="10">
        <v>46118</v>
      </c>
      <c r="K190" s="10">
        <v>46118</v>
      </c>
      <c r="L190" s="27" t="str">
        <f t="shared" si="62"/>
        <v>On time</v>
      </c>
      <c r="M190" s="58">
        <v>46085</v>
      </c>
      <c r="N190" s="27" t="str">
        <f t="shared" si="61"/>
        <v>On time</v>
      </c>
      <c r="O190" s="27">
        <f t="shared" si="65"/>
        <v>-33</v>
      </c>
      <c r="P190" s="28" t="str">
        <f t="shared" si="60"/>
        <v>On time</v>
      </c>
      <c r="Q190" s="27">
        <f t="shared" si="66"/>
        <v>130</v>
      </c>
      <c r="R190" s="29" t="s">
        <v>428</v>
      </c>
      <c r="S190" s="12" t="s">
        <v>65</v>
      </c>
      <c r="T190" s="84"/>
      <c r="U190" s="85"/>
      <c r="V190" s="79"/>
      <c r="W190" s="70">
        <v>0.96</v>
      </c>
      <c r="X190" s="80"/>
      <c r="Y190" s="97"/>
      <c r="Z190" s="10">
        <v>46087</v>
      </c>
      <c r="AA190" s="10">
        <v>46106</v>
      </c>
      <c r="AB190" s="10">
        <v>46122</v>
      </c>
      <c r="AC190" s="10">
        <v>46189</v>
      </c>
      <c r="AD190" s="31">
        <f t="shared" ref="AD190:AD193" ca="1" si="75">TODAY()-AA190</f>
        <v>29</v>
      </c>
      <c r="AE190" s="55" t="s">
        <v>247</v>
      </c>
      <c r="AF190" s="63" t="s">
        <v>155</v>
      </c>
      <c r="AG190" s="10" t="s">
        <v>78</v>
      </c>
      <c r="AH190" s="10" t="s">
        <v>78</v>
      </c>
      <c r="AI190" s="9" t="s">
        <v>53</v>
      </c>
      <c r="AJ190" s="10">
        <v>46133</v>
      </c>
      <c r="AK190" s="10">
        <v>46174</v>
      </c>
      <c r="AL190" t="s">
        <v>2028</v>
      </c>
      <c r="AM190" s="27" t="str">
        <f t="shared" ref="AM190:AM193" si="76">IF(AB190=0," ",IF(AB190&lt;=AA190+10,"On time","Atrasado"))</f>
        <v>Atrasado</v>
      </c>
      <c r="AN190" s="27" t="str">
        <f t="shared" ref="AN190:AN193" ca="1" si="77">IF(AND(AC190&lt;&gt;"",AC190&lt;=TODAY()),"Chegou",IF(A190="","Estoque",IF(OR(AC190="",I190=""),"",IF(I190-AC190&lt;=0,"Atrasado",IF(I190-AC190&lt;=9,"Crítico",IF(I190-AC190&lt;=20,"Verificar aéreo",IF(I190-AC190&lt;=25,"Alerta","No prazo")        ))))))</f>
        <v>No prazo</v>
      </c>
      <c r="AO190" s="27" t="str">
        <f t="shared" ca="1" si="59"/>
        <v>Embarcado</v>
      </c>
    </row>
    <row r="191" spans="1:41" hidden="1">
      <c r="A191">
        <v>514570</v>
      </c>
      <c r="B191">
        <v>2</v>
      </c>
      <c r="C191" t="s">
        <v>25</v>
      </c>
      <c r="D191" t="s">
        <v>900</v>
      </c>
      <c r="E191" s="23" t="s">
        <v>901</v>
      </c>
      <c r="F191" s="24">
        <v>482</v>
      </c>
      <c r="G191" s="25">
        <v>20.350000000000001</v>
      </c>
      <c r="H191" s="25">
        <f t="shared" si="71"/>
        <v>9808.7000000000007</v>
      </c>
      <c r="I191" s="26">
        <v>46248</v>
      </c>
      <c r="J191" s="10">
        <v>46118</v>
      </c>
      <c r="K191" s="10">
        <v>46118</v>
      </c>
      <c r="L191" s="27" t="str">
        <f t="shared" si="62"/>
        <v>On time</v>
      </c>
      <c r="M191" s="58">
        <v>46085</v>
      </c>
      <c r="N191" s="27" t="str">
        <f t="shared" si="61"/>
        <v>On time</v>
      </c>
      <c r="O191" s="27">
        <f t="shared" si="65"/>
        <v>-33</v>
      </c>
      <c r="P191" s="28" t="str">
        <f t="shared" si="60"/>
        <v>On time</v>
      </c>
      <c r="Q191" s="27">
        <f t="shared" si="66"/>
        <v>130</v>
      </c>
      <c r="R191" s="29" t="s">
        <v>428</v>
      </c>
      <c r="S191" s="12" t="s">
        <v>65</v>
      </c>
      <c r="T191" s="84"/>
      <c r="U191" s="85"/>
      <c r="V191" s="79"/>
      <c r="W191" s="70">
        <v>0.96</v>
      </c>
      <c r="X191" s="80"/>
      <c r="Y191" s="97"/>
      <c r="Z191" s="10">
        <v>46087</v>
      </c>
      <c r="AA191" s="10">
        <v>46106</v>
      </c>
      <c r="AB191" s="10">
        <v>46122</v>
      </c>
      <c r="AC191" s="10">
        <v>46189</v>
      </c>
      <c r="AD191" s="31">
        <f t="shared" ca="1" si="75"/>
        <v>29</v>
      </c>
      <c r="AE191" s="55" t="s">
        <v>247</v>
      </c>
      <c r="AF191" s="63" t="s">
        <v>155</v>
      </c>
      <c r="AG191" s="10" t="s">
        <v>78</v>
      </c>
      <c r="AH191" s="10" t="s">
        <v>78</v>
      </c>
      <c r="AI191" s="9" t="s">
        <v>53</v>
      </c>
      <c r="AJ191" s="10">
        <v>46133</v>
      </c>
      <c r="AK191" s="10">
        <v>46174</v>
      </c>
      <c r="AL191" t="s">
        <v>2028</v>
      </c>
      <c r="AM191" s="27" t="str">
        <f t="shared" si="76"/>
        <v>Atrasado</v>
      </c>
      <c r="AN191" s="27" t="str">
        <f t="shared" ca="1" si="77"/>
        <v>No prazo</v>
      </c>
      <c r="AO191" s="27" t="str">
        <f t="shared" ca="1" si="59"/>
        <v>Embarcado</v>
      </c>
    </row>
    <row r="192" spans="1:41" hidden="1">
      <c r="A192">
        <v>514573</v>
      </c>
      <c r="B192">
        <v>2</v>
      </c>
      <c r="C192" t="s">
        <v>25</v>
      </c>
      <c r="D192" t="s">
        <v>900</v>
      </c>
      <c r="E192" s="23" t="s">
        <v>901</v>
      </c>
      <c r="F192" s="24">
        <v>100</v>
      </c>
      <c r="G192" s="25">
        <v>20.350000000000001</v>
      </c>
      <c r="H192" s="25">
        <f t="shared" si="71"/>
        <v>2035.0000000000002</v>
      </c>
      <c r="I192" s="26">
        <v>46248</v>
      </c>
      <c r="J192" s="10">
        <v>46118</v>
      </c>
      <c r="K192" s="10">
        <v>46118</v>
      </c>
      <c r="L192" s="27" t="str">
        <f t="shared" si="62"/>
        <v>On time</v>
      </c>
      <c r="M192" s="58">
        <v>46085</v>
      </c>
      <c r="N192" s="27" t="str">
        <f t="shared" si="61"/>
        <v>On time</v>
      </c>
      <c r="O192" s="27">
        <f t="shared" si="65"/>
        <v>-33</v>
      </c>
      <c r="P192" s="28" t="str">
        <f t="shared" si="60"/>
        <v>On time</v>
      </c>
      <c r="Q192" s="27">
        <f t="shared" si="66"/>
        <v>130</v>
      </c>
      <c r="R192" s="29" t="s">
        <v>428</v>
      </c>
      <c r="S192" s="12" t="s">
        <v>65</v>
      </c>
      <c r="T192" s="84"/>
      <c r="U192" s="85"/>
      <c r="V192" s="79"/>
      <c r="W192" s="70">
        <v>0.96</v>
      </c>
      <c r="X192" s="80"/>
      <c r="Y192" s="97"/>
      <c r="Z192" s="10">
        <v>46087</v>
      </c>
      <c r="AA192" s="10">
        <v>46106</v>
      </c>
      <c r="AB192" s="10">
        <v>46122</v>
      </c>
      <c r="AC192" s="10">
        <v>46189</v>
      </c>
      <c r="AD192" s="31">
        <f t="shared" ca="1" si="75"/>
        <v>29</v>
      </c>
      <c r="AE192" s="55" t="s">
        <v>247</v>
      </c>
      <c r="AF192" s="63" t="s">
        <v>155</v>
      </c>
      <c r="AG192" s="10" t="s">
        <v>78</v>
      </c>
      <c r="AH192" s="10" t="s">
        <v>78</v>
      </c>
      <c r="AI192" s="9" t="s">
        <v>53</v>
      </c>
      <c r="AJ192" s="10">
        <v>46133</v>
      </c>
      <c r="AK192" s="10">
        <v>46174</v>
      </c>
      <c r="AL192" t="s">
        <v>2028</v>
      </c>
      <c r="AM192" s="27" t="str">
        <f t="shared" si="76"/>
        <v>Atrasado</v>
      </c>
      <c r="AN192" s="27" t="str">
        <f t="shared" ca="1" si="77"/>
        <v>No prazo</v>
      </c>
      <c r="AO192" s="27" t="str">
        <f t="shared" ca="1" si="59"/>
        <v>Embarcado</v>
      </c>
    </row>
    <row r="193" spans="1:42" hidden="1">
      <c r="A193">
        <v>514575</v>
      </c>
      <c r="B193">
        <v>2</v>
      </c>
      <c r="C193" t="s">
        <v>25</v>
      </c>
      <c r="D193" t="s">
        <v>900</v>
      </c>
      <c r="E193" s="23" t="s">
        <v>901</v>
      </c>
      <c r="F193" s="24">
        <v>53</v>
      </c>
      <c r="G193" s="25">
        <v>24.11</v>
      </c>
      <c r="H193" s="25">
        <f t="shared" si="71"/>
        <v>1277.83</v>
      </c>
      <c r="I193" s="26">
        <v>46248</v>
      </c>
      <c r="J193" s="10">
        <v>46118</v>
      </c>
      <c r="K193" s="10">
        <v>46118</v>
      </c>
      <c r="L193" s="27" t="str">
        <f t="shared" si="62"/>
        <v>On time</v>
      </c>
      <c r="M193" s="58">
        <v>46085</v>
      </c>
      <c r="N193" s="27" t="str">
        <f t="shared" si="61"/>
        <v>On time</v>
      </c>
      <c r="O193" s="27">
        <f t="shared" si="65"/>
        <v>-33</v>
      </c>
      <c r="P193" s="28" t="str">
        <f t="shared" si="60"/>
        <v>On time</v>
      </c>
      <c r="Q193" s="27">
        <f t="shared" si="66"/>
        <v>130</v>
      </c>
      <c r="R193" s="29" t="s">
        <v>428</v>
      </c>
      <c r="S193" s="12" t="s">
        <v>65</v>
      </c>
      <c r="T193" s="84"/>
      <c r="U193" s="85"/>
      <c r="V193" s="79"/>
      <c r="W193" s="70">
        <v>0.96</v>
      </c>
      <c r="X193" s="80"/>
      <c r="Y193" s="97"/>
      <c r="Z193" s="10">
        <v>46087</v>
      </c>
      <c r="AA193" s="10">
        <v>46106</v>
      </c>
      <c r="AB193" s="10">
        <v>46122</v>
      </c>
      <c r="AC193" s="10">
        <v>46189</v>
      </c>
      <c r="AD193" s="31">
        <f t="shared" ca="1" si="75"/>
        <v>29</v>
      </c>
      <c r="AE193" s="55" t="s">
        <v>247</v>
      </c>
      <c r="AF193" s="63" t="s">
        <v>155</v>
      </c>
      <c r="AG193" s="10" t="s">
        <v>78</v>
      </c>
      <c r="AH193" s="10" t="s">
        <v>78</v>
      </c>
      <c r="AI193" s="9" t="s">
        <v>53</v>
      </c>
      <c r="AJ193" s="10">
        <v>46133</v>
      </c>
      <c r="AK193" s="10">
        <v>46174</v>
      </c>
      <c r="AL193" t="s">
        <v>2028</v>
      </c>
      <c r="AM193" s="27" t="str">
        <f t="shared" si="76"/>
        <v>Atrasado</v>
      </c>
      <c r="AN193" s="27" t="str">
        <f t="shared" ca="1" si="77"/>
        <v>No prazo</v>
      </c>
      <c r="AO193" s="27" t="str">
        <f t="shared" ca="1" si="59"/>
        <v>Embarcado</v>
      </c>
    </row>
    <row r="194" spans="1:42" hidden="1">
      <c r="A194">
        <v>512005</v>
      </c>
      <c r="B194">
        <v>1</v>
      </c>
      <c r="C194" t="s">
        <v>97</v>
      </c>
      <c r="D194" t="s">
        <v>528</v>
      </c>
      <c r="E194" s="23" t="s">
        <v>1296</v>
      </c>
      <c r="F194" s="24">
        <v>2</v>
      </c>
      <c r="G194" s="25">
        <v>706.06</v>
      </c>
      <c r="H194" s="25">
        <f t="shared" si="63"/>
        <v>1412.12</v>
      </c>
      <c r="I194" s="26">
        <v>46233</v>
      </c>
      <c r="J194" s="10">
        <v>46083</v>
      </c>
      <c r="K194" s="10">
        <v>46083</v>
      </c>
      <c r="L194" s="27" t="str">
        <f t="shared" si="62"/>
        <v>On time</v>
      </c>
      <c r="M194" s="58">
        <v>46091</v>
      </c>
      <c r="N194" s="27" t="str">
        <f t="shared" si="61"/>
        <v>Atrasado</v>
      </c>
      <c r="O194" s="27">
        <f t="shared" si="65"/>
        <v>8</v>
      </c>
      <c r="P194" s="28" t="str">
        <f t="shared" si="60"/>
        <v>On time</v>
      </c>
      <c r="Q194" s="27">
        <f t="shared" si="66"/>
        <v>150</v>
      </c>
      <c r="R194" s="29" t="s">
        <v>523</v>
      </c>
      <c r="S194" s="12" t="s">
        <v>524</v>
      </c>
      <c r="T194" s="35">
        <v>1</v>
      </c>
      <c r="U194" t="s">
        <v>525</v>
      </c>
      <c r="V194" s="27">
        <v>2</v>
      </c>
      <c r="W194" s="9">
        <v>55</v>
      </c>
      <c r="X194" s="9">
        <f t="shared" si="64"/>
        <v>110</v>
      </c>
      <c r="Z194" s="10">
        <v>46092</v>
      </c>
      <c r="AA194" s="10">
        <v>46112</v>
      </c>
      <c r="AB194" s="10">
        <v>46118</v>
      </c>
      <c r="AC194" s="10">
        <v>46189</v>
      </c>
      <c r="AD194" s="31">
        <f t="shared" ref="AD194:AD262" ca="1" si="78">TODAY()-AA194</f>
        <v>23</v>
      </c>
      <c r="AE194" s="55">
        <v>1</v>
      </c>
      <c r="AF194" s="9" t="s">
        <v>155</v>
      </c>
      <c r="AG194" s="10" t="s">
        <v>537</v>
      </c>
      <c r="AH194" s="10">
        <v>46118</v>
      </c>
      <c r="AI194" s="9" t="s">
        <v>53</v>
      </c>
      <c r="AJ194" s="10">
        <v>46133</v>
      </c>
      <c r="AK194" s="10">
        <v>46174</v>
      </c>
      <c r="AL194" t="s">
        <v>2013</v>
      </c>
      <c r="AM194" s="27" t="str">
        <f t="shared" ref="AM194:AM222" si="79">IF(AB194=0," ",IF(AB194&lt;=AA194+10,"On time","Atrasado"))</f>
        <v>On time</v>
      </c>
      <c r="AN194" s="27" t="str">
        <f t="shared" ref="AN194:AN203" ca="1" si="80">IF(AND(AC194&lt;&gt;"",AC194&lt;=TODAY()),"Chegou",IF(A194="","Estoque",IF(OR(AC194="",I194=""),"",IF(I194-AC194&lt;=0,"Atrasado",IF(I194-AC194&lt;=9,"Crítico",IF(I194-AC194&lt;=20,"Verificar aéreo",IF(I194-AC194&lt;=25,"Alerta","No prazo")        ))))))</f>
        <v>No prazo</v>
      </c>
      <c r="AO194" s="27" t="str">
        <f t="shared" ca="1" si="59"/>
        <v>Embarcado</v>
      </c>
      <c r="AP194" t="s">
        <v>832</v>
      </c>
    </row>
    <row r="195" spans="1:42" hidden="1">
      <c r="A195">
        <v>511842</v>
      </c>
      <c r="B195">
        <v>1</v>
      </c>
      <c r="C195" t="s">
        <v>25</v>
      </c>
      <c r="D195" t="s">
        <v>529</v>
      </c>
      <c r="E195" s="23" t="s">
        <v>530</v>
      </c>
      <c r="F195" s="24">
        <v>1</v>
      </c>
      <c r="G195" s="25">
        <v>3337.86</v>
      </c>
      <c r="H195" s="25">
        <f t="shared" si="63"/>
        <v>3337.86</v>
      </c>
      <c r="I195" s="26">
        <v>46265</v>
      </c>
      <c r="J195" s="10">
        <v>46079</v>
      </c>
      <c r="K195" s="10">
        <v>46080</v>
      </c>
      <c r="L195" s="27" t="str">
        <f t="shared" si="62"/>
        <v>On time</v>
      </c>
      <c r="M195" s="58">
        <v>46091</v>
      </c>
      <c r="N195" s="27" t="str">
        <f t="shared" si="61"/>
        <v>Atrasado</v>
      </c>
      <c r="O195" s="27">
        <f t="shared" si="65"/>
        <v>12</v>
      </c>
      <c r="P195" s="28" t="str">
        <f t="shared" si="60"/>
        <v>On time</v>
      </c>
      <c r="Q195" s="27">
        <f t="shared" si="66"/>
        <v>186</v>
      </c>
      <c r="R195" s="29" t="s">
        <v>523</v>
      </c>
      <c r="S195" t="s">
        <v>524</v>
      </c>
      <c r="T195" s="35">
        <v>2</v>
      </c>
      <c r="U195" t="s">
        <v>526</v>
      </c>
      <c r="V195" s="27">
        <v>15</v>
      </c>
      <c r="W195" s="9">
        <v>127.53</v>
      </c>
      <c r="X195" s="9">
        <f t="shared" si="64"/>
        <v>1912.95</v>
      </c>
      <c r="Z195" s="10">
        <v>46092</v>
      </c>
      <c r="AA195" s="10">
        <v>46112</v>
      </c>
      <c r="AB195" s="10">
        <v>46118</v>
      </c>
      <c r="AC195" s="10">
        <v>46189</v>
      </c>
      <c r="AD195" s="31">
        <f t="shared" ref="AD195:AD199" ca="1" si="81">TODAY()-AA195</f>
        <v>23</v>
      </c>
      <c r="AE195" s="55">
        <v>1</v>
      </c>
      <c r="AF195" s="9" t="s">
        <v>155</v>
      </c>
      <c r="AG195" s="10" t="s">
        <v>537</v>
      </c>
      <c r="AH195" s="10">
        <v>46118</v>
      </c>
      <c r="AI195" s="9" t="s">
        <v>53</v>
      </c>
      <c r="AJ195" s="10">
        <v>46133</v>
      </c>
      <c r="AK195" s="10">
        <v>46174</v>
      </c>
      <c r="AL195" t="s">
        <v>2013</v>
      </c>
      <c r="AM195" s="27" t="str">
        <f t="shared" ref="AM195:AM199" si="82">IF(AB195=0," ",IF(AB195&lt;=AA195+10,"On time","Atrasado"))</f>
        <v>On time</v>
      </c>
      <c r="AN195" s="27" t="str">
        <f t="shared" ref="AN195:AN199" ca="1" si="83">IF(AND(AC195&lt;&gt;"",AC195&lt;=TODAY()),"Chegou",IF(A195="","Estoque",IF(OR(AC195="",I195=""),"",IF(I195-AC195&lt;=0,"Atrasado",IF(I195-AC195&lt;=9,"Crítico",IF(I195-AC195&lt;=20,"Verificar aéreo",IF(I195-AC195&lt;=25,"Alerta","No prazo")        ))))))</f>
        <v>No prazo</v>
      </c>
      <c r="AO195" s="27" t="str">
        <f t="shared" ca="1" si="59"/>
        <v>Embarcado</v>
      </c>
      <c r="AP195" t="s">
        <v>832</v>
      </c>
    </row>
    <row r="196" spans="1:42" hidden="1">
      <c r="A196">
        <v>511675</v>
      </c>
      <c r="B196">
        <v>1</v>
      </c>
      <c r="C196" t="s">
        <v>25</v>
      </c>
      <c r="D196" t="s">
        <v>531</v>
      </c>
      <c r="E196" s="23" t="s">
        <v>532</v>
      </c>
      <c r="F196" s="24">
        <v>2</v>
      </c>
      <c r="G196" s="25">
        <v>3024.93</v>
      </c>
      <c r="H196" s="25">
        <f t="shared" si="63"/>
        <v>6049.86</v>
      </c>
      <c r="I196" s="26">
        <v>46265</v>
      </c>
      <c r="J196" s="10">
        <v>46078</v>
      </c>
      <c r="K196" s="10">
        <v>46079</v>
      </c>
      <c r="L196" s="27" t="str">
        <f t="shared" si="62"/>
        <v>On time</v>
      </c>
      <c r="M196" s="58">
        <v>46091</v>
      </c>
      <c r="N196" s="27" t="str">
        <f t="shared" si="61"/>
        <v>Atrasado</v>
      </c>
      <c r="O196" s="27">
        <f t="shared" si="65"/>
        <v>13</v>
      </c>
      <c r="P196" s="28" t="str">
        <f t="shared" si="60"/>
        <v>On time</v>
      </c>
      <c r="Q196" s="27">
        <f t="shared" si="66"/>
        <v>187</v>
      </c>
      <c r="R196" s="29" t="s">
        <v>523</v>
      </c>
      <c r="S196" t="s">
        <v>524</v>
      </c>
      <c r="T196" s="35">
        <v>3</v>
      </c>
      <c r="U196" t="s">
        <v>527</v>
      </c>
      <c r="V196" s="27">
        <v>2</v>
      </c>
      <c r="W196" s="9">
        <v>167.17</v>
      </c>
      <c r="X196" s="9">
        <f t="shared" si="64"/>
        <v>334.34</v>
      </c>
      <c r="Z196" s="10">
        <v>46092</v>
      </c>
      <c r="AA196" s="10">
        <v>46112</v>
      </c>
      <c r="AB196" s="10">
        <v>46118</v>
      </c>
      <c r="AC196" s="10">
        <v>46189</v>
      </c>
      <c r="AD196" s="31">
        <f t="shared" ca="1" si="81"/>
        <v>23</v>
      </c>
      <c r="AE196" s="55">
        <v>1</v>
      </c>
      <c r="AF196" s="9" t="s">
        <v>155</v>
      </c>
      <c r="AG196" s="10" t="s">
        <v>537</v>
      </c>
      <c r="AH196" s="10">
        <v>46118</v>
      </c>
      <c r="AI196" s="9" t="s">
        <v>53</v>
      </c>
      <c r="AJ196" s="10">
        <v>46133</v>
      </c>
      <c r="AK196" s="10">
        <v>46174</v>
      </c>
      <c r="AL196" t="s">
        <v>2013</v>
      </c>
      <c r="AM196" s="27" t="str">
        <f t="shared" si="82"/>
        <v>On time</v>
      </c>
      <c r="AN196" s="27" t="str">
        <f t="shared" ca="1" si="83"/>
        <v>No prazo</v>
      </c>
      <c r="AO196" s="27" t="str">
        <f t="shared" ref="AO196:AO259" ca="1" si="84">IF(AN196="Chegou","Chegou HCI",IF(AND(AJ196&lt;&gt;"",AK196&lt;&gt;""),IF(TODAY()&gt;=AJ196,"Embarcado","Ag. embarque"),IF(AND(AJ196&lt;&gt;"",AK196=""),"Ag. booking","")))</f>
        <v>Embarcado</v>
      </c>
      <c r="AP196" t="s">
        <v>832</v>
      </c>
    </row>
    <row r="197" spans="1:42" hidden="1">
      <c r="A197">
        <v>512332</v>
      </c>
      <c r="B197">
        <v>1</v>
      </c>
      <c r="C197" t="s">
        <v>25</v>
      </c>
      <c r="D197" t="s">
        <v>713</v>
      </c>
      <c r="E197" s="23" t="s">
        <v>1313</v>
      </c>
      <c r="F197" s="24">
        <v>50</v>
      </c>
      <c r="G197" s="25">
        <v>333.79</v>
      </c>
      <c r="H197" s="25">
        <f t="shared" si="63"/>
        <v>16689.5</v>
      </c>
      <c r="I197" s="26">
        <v>46272</v>
      </c>
      <c r="J197" s="10">
        <v>46086</v>
      </c>
      <c r="K197" s="10">
        <v>46087</v>
      </c>
      <c r="L197" s="27" t="str">
        <f t="shared" si="62"/>
        <v>On time</v>
      </c>
      <c r="M197" s="58">
        <v>46098</v>
      </c>
      <c r="N197" s="27" t="str">
        <f t="shared" si="61"/>
        <v>Atrasado</v>
      </c>
      <c r="O197" s="27">
        <f t="shared" si="65"/>
        <v>12</v>
      </c>
      <c r="P197" s="28" t="str">
        <f t="shared" ref="P197:P260" si="85">IF(Z197=0," ",IF(M197&gt;=Z197+6,"Atrasado","On time"))</f>
        <v>On time</v>
      </c>
      <c r="Q197" s="27">
        <f t="shared" si="66"/>
        <v>186</v>
      </c>
      <c r="R197" s="29" t="s">
        <v>523</v>
      </c>
      <c r="S197" t="s">
        <v>524</v>
      </c>
      <c r="T197" s="35">
        <v>4</v>
      </c>
      <c r="U197" t="s">
        <v>713</v>
      </c>
      <c r="V197" s="27">
        <v>50</v>
      </c>
      <c r="W197" s="9">
        <v>13.97</v>
      </c>
      <c r="X197" s="9">
        <f t="shared" si="64"/>
        <v>698.5</v>
      </c>
      <c r="Z197" s="10">
        <v>46101</v>
      </c>
      <c r="AA197" s="10">
        <v>46112</v>
      </c>
      <c r="AB197" s="10">
        <v>46118</v>
      </c>
      <c r="AC197" s="10">
        <v>46189</v>
      </c>
      <c r="AD197" s="31">
        <f t="shared" ca="1" si="81"/>
        <v>23</v>
      </c>
      <c r="AE197" s="55">
        <v>1</v>
      </c>
      <c r="AF197" s="9" t="s">
        <v>155</v>
      </c>
      <c r="AG197" s="10" t="s">
        <v>537</v>
      </c>
      <c r="AH197" s="10">
        <v>46118</v>
      </c>
      <c r="AI197" s="9" t="s">
        <v>53</v>
      </c>
      <c r="AJ197" s="10">
        <v>46133</v>
      </c>
      <c r="AK197" s="10">
        <v>46174</v>
      </c>
      <c r="AL197" t="s">
        <v>2013</v>
      </c>
      <c r="AM197" s="27" t="str">
        <f t="shared" si="82"/>
        <v>On time</v>
      </c>
      <c r="AN197" s="27" t="str">
        <f t="shared" ca="1" si="83"/>
        <v>No prazo</v>
      </c>
      <c r="AO197" s="27" t="str">
        <f t="shared" ca="1" si="84"/>
        <v>Embarcado</v>
      </c>
      <c r="AP197" t="s">
        <v>832</v>
      </c>
    </row>
    <row r="198" spans="1:42" hidden="1">
      <c r="A198">
        <v>512342</v>
      </c>
      <c r="B198">
        <v>1</v>
      </c>
      <c r="C198" t="s">
        <v>25</v>
      </c>
      <c r="D198" t="s">
        <v>714</v>
      </c>
      <c r="E198" s="23" t="s">
        <v>716</v>
      </c>
      <c r="F198" s="24">
        <v>4</v>
      </c>
      <c r="G198" s="25">
        <v>2210.89</v>
      </c>
      <c r="H198" s="25">
        <f t="shared" si="63"/>
        <v>8843.56</v>
      </c>
      <c r="I198" s="26">
        <v>46297</v>
      </c>
      <c r="J198" s="10">
        <v>46086</v>
      </c>
      <c r="K198" s="10">
        <v>46087</v>
      </c>
      <c r="L198" s="27" t="str">
        <f t="shared" si="62"/>
        <v>On time</v>
      </c>
      <c r="M198" s="58">
        <v>46098</v>
      </c>
      <c r="N198" s="27" t="str">
        <f t="shared" si="61"/>
        <v>Atrasado</v>
      </c>
      <c r="O198" s="27">
        <f t="shared" si="65"/>
        <v>12</v>
      </c>
      <c r="P198" s="28" t="str">
        <f t="shared" si="85"/>
        <v>On time</v>
      </c>
      <c r="Q198" s="27">
        <f t="shared" si="66"/>
        <v>211</v>
      </c>
      <c r="R198" s="29" t="s">
        <v>523</v>
      </c>
      <c r="S198" t="s">
        <v>524</v>
      </c>
      <c r="T198" s="35">
        <v>5</v>
      </c>
      <c r="U198" t="s">
        <v>714</v>
      </c>
      <c r="V198" s="27">
        <v>4</v>
      </c>
      <c r="W198" s="9">
        <v>134.63999999999999</v>
      </c>
      <c r="X198" s="9">
        <f t="shared" si="64"/>
        <v>538.55999999999995</v>
      </c>
      <c r="Z198" s="10">
        <v>46101</v>
      </c>
      <c r="AA198" s="10">
        <v>46112</v>
      </c>
      <c r="AB198" s="10">
        <v>46118</v>
      </c>
      <c r="AC198" s="10">
        <v>46189</v>
      </c>
      <c r="AD198" s="31">
        <f t="shared" ca="1" si="81"/>
        <v>23</v>
      </c>
      <c r="AE198" s="55">
        <v>1</v>
      </c>
      <c r="AF198" s="9" t="s">
        <v>155</v>
      </c>
      <c r="AG198" s="10" t="s">
        <v>537</v>
      </c>
      <c r="AH198" s="10">
        <v>46118</v>
      </c>
      <c r="AI198" s="9" t="s">
        <v>53</v>
      </c>
      <c r="AJ198" s="10">
        <v>46133</v>
      </c>
      <c r="AK198" s="10">
        <v>46174</v>
      </c>
      <c r="AL198" t="s">
        <v>2013</v>
      </c>
      <c r="AM198" s="27" t="str">
        <f t="shared" si="82"/>
        <v>On time</v>
      </c>
      <c r="AN198" s="27" t="str">
        <f t="shared" ca="1" si="83"/>
        <v>No prazo</v>
      </c>
      <c r="AO198" s="27" t="str">
        <f t="shared" ca="1" si="84"/>
        <v>Embarcado</v>
      </c>
      <c r="AP198" t="s">
        <v>832</v>
      </c>
    </row>
    <row r="199" spans="1:42" hidden="1">
      <c r="A199">
        <v>512342</v>
      </c>
      <c r="B199">
        <v>2</v>
      </c>
      <c r="C199" t="s">
        <v>25</v>
      </c>
      <c r="D199" t="s">
        <v>715</v>
      </c>
      <c r="E199" s="23" t="s">
        <v>717</v>
      </c>
      <c r="F199" s="24">
        <v>1</v>
      </c>
      <c r="G199" s="25">
        <v>3377.76</v>
      </c>
      <c r="H199" s="25">
        <f t="shared" si="63"/>
        <v>3377.76</v>
      </c>
      <c r="I199" s="26">
        <v>46297</v>
      </c>
      <c r="J199" s="10">
        <v>46086</v>
      </c>
      <c r="K199" s="10">
        <v>46087</v>
      </c>
      <c r="L199" s="27" t="str">
        <f t="shared" si="62"/>
        <v>On time</v>
      </c>
      <c r="M199" s="58">
        <v>46098</v>
      </c>
      <c r="N199" s="27" t="str">
        <f t="shared" si="61"/>
        <v>Atrasado</v>
      </c>
      <c r="O199" s="27">
        <f t="shared" si="65"/>
        <v>12</v>
      </c>
      <c r="P199" s="28" t="str">
        <f t="shared" si="85"/>
        <v>On time</v>
      </c>
      <c r="Q199" s="27">
        <f t="shared" si="66"/>
        <v>211</v>
      </c>
      <c r="R199" s="29" t="s">
        <v>523</v>
      </c>
      <c r="S199" t="s">
        <v>524</v>
      </c>
      <c r="T199" s="35">
        <v>6</v>
      </c>
      <c r="U199" t="s">
        <v>715</v>
      </c>
      <c r="V199" s="27">
        <v>1</v>
      </c>
      <c r="W199" s="9">
        <v>97.36</v>
      </c>
      <c r="X199" s="9">
        <f t="shared" si="64"/>
        <v>97.36</v>
      </c>
      <c r="Z199" s="10">
        <v>46101</v>
      </c>
      <c r="AA199" s="10">
        <v>46112</v>
      </c>
      <c r="AB199" s="10">
        <v>46118</v>
      </c>
      <c r="AC199" s="10">
        <v>46189</v>
      </c>
      <c r="AD199" s="31">
        <f t="shared" ca="1" si="81"/>
        <v>23</v>
      </c>
      <c r="AE199" s="55">
        <v>1</v>
      </c>
      <c r="AF199" s="9" t="s">
        <v>155</v>
      </c>
      <c r="AG199" s="10" t="s">
        <v>537</v>
      </c>
      <c r="AH199" s="10">
        <v>46118</v>
      </c>
      <c r="AI199" s="9" t="s">
        <v>53</v>
      </c>
      <c r="AJ199" s="10">
        <v>46133</v>
      </c>
      <c r="AK199" s="10">
        <v>46174</v>
      </c>
      <c r="AL199" t="s">
        <v>2013</v>
      </c>
      <c r="AM199" s="27" t="str">
        <f t="shared" si="82"/>
        <v>On time</v>
      </c>
      <c r="AN199" s="27" t="str">
        <f t="shared" ca="1" si="83"/>
        <v>No prazo</v>
      </c>
      <c r="AO199" s="27" t="str">
        <f t="shared" ca="1" si="84"/>
        <v>Embarcado</v>
      </c>
      <c r="AP199" t="s">
        <v>832</v>
      </c>
    </row>
    <row r="200" spans="1:42" hidden="1">
      <c r="A200">
        <v>502964</v>
      </c>
      <c r="B200" s="34" t="s">
        <v>621</v>
      </c>
      <c r="C200" t="s">
        <v>97</v>
      </c>
      <c r="D200" t="s">
        <v>622</v>
      </c>
      <c r="E200" s="23" t="s">
        <v>2187</v>
      </c>
      <c r="F200" s="24">
        <v>10</v>
      </c>
      <c r="G200" s="25">
        <v>1013.55</v>
      </c>
      <c r="H200" s="25">
        <f t="shared" si="63"/>
        <v>10135.5</v>
      </c>
      <c r="I200" s="26">
        <v>46080</v>
      </c>
      <c r="J200" s="10">
        <v>45945</v>
      </c>
      <c r="K200" s="10">
        <v>45945</v>
      </c>
      <c r="L200" s="27" t="str">
        <f t="shared" si="62"/>
        <v>On time</v>
      </c>
      <c r="M200" s="58">
        <v>46059</v>
      </c>
      <c r="N200" s="27" t="str">
        <f t="shared" si="61"/>
        <v>Atrasado</v>
      </c>
      <c r="O200" s="27">
        <f t="shared" si="65"/>
        <v>114</v>
      </c>
      <c r="P200" s="28" t="str">
        <f t="shared" si="85"/>
        <v>Atrasado</v>
      </c>
      <c r="Q200" s="27">
        <f t="shared" si="66"/>
        <v>135</v>
      </c>
      <c r="R200" s="29" t="s">
        <v>586</v>
      </c>
      <c r="S200" t="s">
        <v>100</v>
      </c>
      <c r="T200" s="35">
        <v>1</v>
      </c>
      <c r="U200" t="s">
        <v>587</v>
      </c>
      <c r="V200" s="27">
        <v>10</v>
      </c>
      <c r="W200" s="9">
        <v>95.44</v>
      </c>
      <c r="X200" s="9">
        <f t="shared" si="64"/>
        <v>954.4</v>
      </c>
      <c r="Z200" s="10">
        <v>46052</v>
      </c>
      <c r="AA200" s="10">
        <v>46067</v>
      </c>
      <c r="AB200" s="10">
        <v>46098</v>
      </c>
      <c r="AC200" s="10">
        <v>46180</v>
      </c>
      <c r="AD200" s="31">
        <f t="shared" ca="1" si="78"/>
        <v>68</v>
      </c>
      <c r="AE200" s="55">
        <v>1</v>
      </c>
      <c r="AF200" s="63" t="s">
        <v>155</v>
      </c>
      <c r="AG200" s="10" t="s">
        <v>78</v>
      </c>
      <c r="AI200" s="9" t="s">
        <v>53</v>
      </c>
      <c r="AJ200" s="10">
        <v>46116</v>
      </c>
      <c r="AK200" s="10">
        <v>46165</v>
      </c>
      <c r="AL200" t="s">
        <v>683</v>
      </c>
      <c r="AM200" s="27" t="str">
        <f t="shared" si="79"/>
        <v>Atrasado</v>
      </c>
      <c r="AN200" s="27" t="str">
        <f t="shared" ca="1" si="80"/>
        <v>Atrasado</v>
      </c>
      <c r="AO200" s="27" t="str">
        <f t="shared" ca="1" si="84"/>
        <v>Embarcado</v>
      </c>
    </row>
    <row r="201" spans="1:42" hidden="1">
      <c r="A201">
        <v>502875</v>
      </c>
      <c r="B201" s="34">
        <v>11</v>
      </c>
      <c r="C201" t="s">
        <v>97</v>
      </c>
      <c r="D201" t="s">
        <v>658</v>
      </c>
      <c r="E201" s="23" t="s">
        <v>659</v>
      </c>
      <c r="F201" s="24">
        <v>1</v>
      </c>
      <c r="G201" s="25">
        <v>478.8</v>
      </c>
      <c r="H201" s="25">
        <f t="shared" si="63"/>
        <v>478.8</v>
      </c>
      <c r="I201" s="26">
        <v>46080</v>
      </c>
      <c r="J201" s="10">
        <v>45944</v>
      </c>
      <c r="K201" s="10">
        <v>45944</v>
      </c>
      <c r="L201" s="27" t="str">
        <f t="shared" si="62"/>
        <v>On time</v>
      </c>
      <c r="M201" s="58">
        <v>46059</v>
      </c>
      <c r="N201" s="27" t="str">
        <f t="shared" si="61"/>
        <v>Atrasado</v>
      </c>
      <c r="O201" s="27">
        <f t="shared" si="65"/>
        <v>115</v>
      </c>
      <c r="P201" s="28" t="str">
        <f t="shared" si="85"/>
        <v>Atrasado</v>
      </c>
      <c r="Q201" s="27">
        <f t="shared" si="66"/>
        <v>136</v>
      </c>
      <c r="R201" s="29" t="s">
        <v>586</v>
      </c>
      <c r="S201" t="s">
        <v>100</v>
      </c>
      <c r="T201" s="35">
        <v>2</v>
      </c>
      <c r="U201" t="s">
        <v>588</v>
      </c>
      <c r="V201" s="27">
        <v>1</v>
      </c>
      <c r="W201" s="9">
        <v>72.67</v>
      </c>
      <c r="X201" s="9">
        <f t="shared" si="64"/>
        <v>72.67</v>
      </c>
      <c r="Z201" s="10">
        <v>46052</v>
      </c>
      <c r="AA201" s="10">
        <v>46067</v>
      </c>
      <c r="AB201" s="10">
        <v>46098</v>
      </c>
      <c r="AC201" s="10">
        <v>46180</v>
      </c>
      <c r="AD201" s="31">
        <f t="shared" ca="1" si="78"/>
        <v>68</v>
      </c>
      <c r="AE201" s="55">
        <v>1</v>
      </c>
      <c r="AF201" s="63" t="s">
        <v>155</v>
      </c>
      <c r="AG201" s="10" t="s">
        <v>78</v>
      </c>
      <c r="AI201" s="9" t="s">
        <v>53</v>
      </c>
      <c r="AJ201" s="10">
        <v>46116</v>
      </c>
      <c r="AK201" s="10">
        <v>46161</v>
      </c>
      <c r="AL201" t="s">
        <v>683</v>
      </c>
      <c r="AM201" s="27" t="str">
        <f t="shared" si="79"/>
        <v>Atrasado</v>
      </c>
      <c r="AN201" s="27" t="str">
        <f t="shared" ca="1" si="80"/>
        <v>Atrasado</v>
      </c>
      <c r="AO201" s="27" t="str">
        <f t="shared" ca="1" si="84"/>
        <v>Embarcado</v>
      </c>
    </row>
    <row r="202" spans="1:42" hidden="1">
      <c r="A202">
        <v>510814</v>
      </c>
      <c r="B202" s="34">
        <v>5</v>
      </c>
      <c r="C202" t="s">
        <v>626</v>
      </c>
      <c r="D202" t="s">
        <v>627</v>
      </c>
      <c r="E202" s="23" t="s">
        <v>628</v>
      </c>
      <c r="F202" s="24">
        <v>1</v>
      </c>
      <c r="G202" s="25">
        <v>1961.14</v>
      </c>
      <c r="H202" s="25">
        <f t="shared" si="63"/>
        <v>1961.14</v>
      </c>
      <c r="I202" s="26">
        <v>46226</v>
      </c>
      <c r="J202" s="10">
        <v>46072</v>
      </c>
      <c r="K202" s="10">
        <v>46072</v>
      </c>
      <c r="L202" s="27" t="str">
        <f t="shared" si="62"/>
        <v>On time</v>
      </c>
      <c r="M202" s="58">
        <v>46079</v>
      </c>
      <c r="N202" s="27" t="str">
        <f t="shared" ref="N202:N265" si="86">IF(J202=0," ",IF(M202&lt;=J202+6,"On time","Atrasado"))</f>
        <v>Atrasado</v>
      </c>
      <c r="O202" s="27">
        <f t="shared" si="65"/>
        <v>7</v>
      </c>
      <c r="P202" s="28" t="str">
        <f t="shared" si="85"/>
        <v>On time</v>
      </c>
      <c r="Q202" s="27">
        <f t="shared" si="66"/>
        <v>154</v>
      </c>
      <c r="R202" s="29" t="s">
        <v>607</v>
      </c>
      <c r="S202" t="s">
        <v>90</v>
      </c>
      <c r="T202" s="35">
        <v>1</v>
      </c>
      <c r="U202" t="s">
        <v>589</v>
      </c>
      <c r="V202" s="27">
        <v>1</v>
      </c>
      <c r="W202" s="9">
        <v>193.61</v>
      </c>
      <c r="X202" s="9">
        <f t="shared" si="64"/>
        <v>193.61</v>
      </c>
      <c r="Y202">
        <v>33</v>
      </c>
      <c r="Z202" s="10">
        <v>46079</v>
      </c>
      <c r="AA202" s="10">
        <v>46099</v>
      </c>
      <c r="AB202" s="10">
        <v>46115</v>
      </c>
      <c r="AC202" s="10">
        <v>46194</v>
      </c>
      <c r="AD202" s="31">
        <f t="shared" ca="1" si="78"/>
        <v>36</v>
      </c>
      <c r="AE202" s="55">
        <v>1</v>
      </c>
      <c r="AF202" t="s">
        <v>155</v>
      </c>
      <c r="AG202" s="10" t="s">
        <v>78</v>
      </c>
      <c r="AH202" t="s">
        <v>78</v>
      </c>
      <c r="AI202" s="9" t="s">
        <v>53</v>
      </c>
      <c r="AJ202" s="10">
        <v>46135</v>
      </c>
      <c r="AK202" s="10">
        <v>46179</v>
      </c>
      <c r="AL202" t="s">
        <v>2062</v>
      </c>
      <c r="AM202" s="27" t="str">
        <f t="shared" si="79"/>
        <v>Atrasado</v>
      </c>
      <c r="AN202" s="27" t="str">
        <f t="shared" ca="1" si="80"/>
        <v>No prazo</v>
      </c>
      <c r="AO202" s="27" t="str">
        <f t="shared" ca="1" si="84"/>
        <v>Embarcado</v>
      </c>
      <c r="AP202" t="s">
        <v>606</v>
      </c>
    </row>
    <row r="203" spans="1:42" hidden="1">
      <c r="A203">
        <v>510814</v>
      </c>
      <c r="B203" s="34">
        <v>6</v>
      </c>
      <c r="C203" t="s">
        <v>626</v>
      </c>
      <c r="D203" t="s">
        <v>629</v>
      </c>
      <c r="E203" s="23" t="s">
        <v>630</v>
      </c>
      <c r="F203" s="24">
        <v>6</v>
      </c>
      <c r="G203" s="25">
        <v>4706.74</v>
      </c>
      <c r="H203" s="25">
        <f t="shared" si="63"/>
        <v>28240.44</v>
      </c>
      <c r="I203" s="26">
        <v>46226</v>
      </c>
      <c r="J203" s="10">
        <v>46072</v>
      </c>
      <c r="K203" s="10">
        <v>46072</v>
      </c>
      <c r="L203" s="27" t="str">
        <f t="shared" ref="L203:L266" si="87">IF(J203=0," ",IF(K203&lt;=J203+6,"On time","Atrasado"))</f>
        <v>On time</v>
      </c>
      <c r="M203" s="58">
        <v>46079</v>
      </c>
      <c r="N203" s="27" t="str">
        <f t="shared" si="86"/>
        <v>Atrasado</v>
      </c>
      <c r="O203" s="27">
        <f t="shared" si="65"/>
        <v>7</v>
      </c>
      <c r="P203" s="28" t="str">
        <f t="shared" si="85"/>
        <v>On time</v>
      </c>
      <c r="Q203" s="27">
        <f t="shared" si="66"/>
        <v>154</v>
      </c>
      <c r="R203" s="29" t="s">
        <v>607</v>
      </c>
      <c r="S203" t="s">
        <v>90</v>
      </c>
      <c r="T203" s="35">
        <v>2</v>
      </c>
      <c r="U203" t="s">
        <v>590</v>
      </c>
      <c r="V203" s="27">
        <v>6</v>
      </c>
      <c r="W203" s="9">
        <v>464.66</v>
      </c>
      <c r="X203" s="9">
        <f t="shared" si="64"/>
        <v>2787.96</v>
      </c>
      <c r="Y203">
        <v>62</v>
      </c>
      <c r="Z203" s="10">
        <v>46079</v>
      </c>
      <c r="AA203" s="10">
        <v>46099</v>
      </c>
      <c r="AB203" s="10">
        <v>46115</v>
      </c>
      <c r="AC203" s="10">
        <v>46194</v>
      </c>
      <c r="AD203" s="31">
        <f t="shared" ca="1" si="78"/>
        <v>36</v>
      </c>
      <c r="AE203" s="55">
        <v>1</v>
      </c>
      <c r="AF203" t="s">
        <v>155</v>
      </c>
      <c r="AG203" s="10" t="s">
        <v>78</v>
      </c>
      <c r="AH203" t="s">
        <v>78</v>
      </c>
      <c r="AI203" s="9" t="s">
        <v>53</v>
      </c>
      <c r="AJ203" s="10">
        <v>46135</v>
      </c>
      <c r="AK203" s="10">
        <v>46179</v>
      </c>
      <c r="AL203" t="s">
        <v>2062</v>
      </c>
      <c r="AM203" s="27" t="str">
        <f t="shared" si="79"/>
        <v>Atrasado</v>
      </c>
      <c r="AN203" s="27" t="str">
        <f t="shared" ca="1" si="80"/>
        <v>No prazo</v>
      </c>
      <c r="AO203" s="27" t="str">
        <f t="shared" ca="1" si="84"/>
        <v>Embarcado</v>
      </c>
      <c r="AP203" t="s">
        <v>606</v>
      </c>
    </row>
    <row r="204" spans="1:42" hidden="1">
      <c r="A204">
        <v>510814</v>
      </c>
      <c r="B204" s="34">
        <v>21</v>
      </c>
      <c r="C204" t="s">
        <v>626</v>
      </c>
      <c r="D204" t="s">
        <v>631</v>
      </c>
      <c r="E204" s="23" t="s">
        <v>1297</v>
      </c>
      <c r="F204" s="24">
        <v>2</v>
      </c>
      <c r="G204" s="25">
        <v>1529.74</v>
      </c>
      <c r="H204" s="25">
        <f t="shared" si="63"/>
        <v>3059.48</v>
      </c>
      <c r="I204" s="26">
        <v>46226</v>
      </c>
      <c r="J204" s="10">
        <v>46072</v>
      </c>
      <c r="K204" s="10">
        <v>46072</v>
      </c>
      <c r="L204" s="27" t="str">
        <f t="shared" si="87"/>
        <v>On time</v>
      </c>
      <c r="M204" s="58">
        <v>46079</v>
      </c>
      <c r="N204" s="27" t="str">
        <f t="shared" si="86"/>
        <v>Atrasado</v>
      </c>
      <c r="O204" s="27">
        <f t="shared" si="65"/>
        <v>7</v>
      </c>
      <c r="P204" s="28" t="str">
        <f t="shared" si="85"/>
        <v>On time</v>
      </c>
      <c r="Q204" s="27">
        <f t="shared" si="66"/>
        <v>154</v>
      </c>
      <c r="R204" s="29" t="s">
        <v>607</v>
      </c>
      <c r="S204" t="s">
        <v>90</v>
      </c>
      <c r="T204" s="35">
        <v>3</v>
      </c>
      <c r="U204" t="s">
        <v>591</v>
      </c>
      <c r="V204" s="27">
        <v>2</v>
      </c>
      <c r="W204" s="9">
        <v>137.47</v>
      </c>
      <c r="X204" s="9">
        <f t="shared" si="64"/>
        <v>274.94</v>
      </c>
      <c r="Y204">
        <v>15</v>
      </c>
      <c r="Z204" s="10">
        <v>46079</v>
      </c>
      <c r="AA204" s="10">
        <v>46099</v>
      </c>
      <c r="AB204" s="10">
        <v>46115</v>
      </c>
      <c r="AC204" s="10">
        <v>46194</v>
      </c>
      <c r="AD204" s="31">
        <f t="shared" ca="1" si="78"/>
        <v>36</v>
      </c>
      <c r="AE204" s="55">
        <v>1</v>
      </c>
      <c r="AF204" t="s">
        <v>155</v>
      </c>
      <c r="AG204" s="10" t="s">
        <v>78</v>
      </c>
      <c r="AH204" t="s">
        <v>78</v>
      </c>
      <c r="AI204" s="9" t="s">
        <v>53</v>
      </c>
      <c r="AJ204" s="10">
        <v>46135</v>
      </c>
      <c r="AK204" s="10">
        <v>46179</v>
      </c>
      <c r="AL204" t="s">
        <v>2062</v>
      </c>
      <c r="AM204" s="27" t="str">
        <f t="shared" si="79"/>
        <v>Atrasado</v>
      </c>
      <c r="AN204" s="27" t="str">
        <f t="shared" ref="AN204:AN269" ca="1" si="88">IF(AND(AC204&lt;&gt;"",AC204&lt;=TODAY()),"Chegou",IF(A204="","Estoque",IF(OR(AC204="",I204=""),"",IF(I204-AC204&lt;=0,"Atrasado",IF(I204-AC204&lt;=9,"Crítico",IF(I204-AC204&lt;=20,"Verificar aéreo",IF(I204-AC204&lt;=25,"Alerta","No prazo")        ))))))</f>
        <v>No prazo</v>
      </c>
      <c r="AO204" s="27" t="str">
        <f t="shared" ca="1" si="84"/>
        <v>Embarcado</v>
      </c>
      <c r="AP204" t="s">
        <v>606</v>
      </c>
    </row>
    <row r="205" spans="1:42" hidden="1">
      <c r="A205">
        <v>510814</v>
      </c>
      <c r="B205" s="34">
        <v>25</v>
      </c>
      <c r="C205" t="s">
        <v>626</v>
      </c>
      <c r="D205" t="s">
        <v>632</v>
      </c>
      <c r="E205" s="23" t="s">
        <v>633</v>
      </c>
      <c r="F205" s="24">
        <v>1</v>
      </c>
      <c r="G205" s="25">
        <v>2647.54</v>
      </c>
      <c r="H205" s="25">
        <f t="shared" si="63"/>
        <v>2647.54</v>
      </c>
      <c r="I205" s="26">
        <v>46226</v>
      </c>
      <c r="J205" s="10">
        <v>46072</v>
      </c>
      <c r="K205" s="10">
        <v>46072</v>
      </c>
      <c r="L205" s="27" t="str">
        <f t="shared" si="87"/>
        <v>On time</v>
      </c>
      <c r="M205" s="58">
        <v>46079</v>
      </c>
      <c r="N205" s="27" t="str">
        <f t="shared" si="86"/>
        <v>Atrasado</v>
      </c>
      <c r="O205" s="27">
        <f t="shared" si="65"/>
        <v>7</v>
      </c>
      <c r="P205" s="28" t="str">
        <f t="shared" si="85"/>
        <v>On time</v>
      </c>
      <c r="Q205" s="27">
        <f t="shared" si="66"/>
        <v>154</v>
      </c>
      <c r="R205" s="29" t="s">
        <v>607</v>
      </c>
      <c r="S205" t="s">
        <v>90</v>
      </c>
      <c r="T205" s="35">
        <v>4</v>
      </c>
      <c r="U205" t="s">
        <v>592</v>
      </c>
      <c r="V205" s="27">
        <v>1</v>
      </c>
      <c r="W205" s="9">
        <v>261.37</v>
      </c>
      <c r="X205" s="9">
        <f t="shared" si="64"/>
        <v>261.37</v>
      </c>
      <c r="Y205">
        <v>32</v>
      </c>
      <c r="Z205" s="10">
        <v>46079</v>
      </c>
      <c r="AA205" s="10">
        <v>46099</v>
      </c>
      <c r="AB205" s="10">
        <v>46115</v>
      </c>
      <c r="AC205" s="10">
        <v>46194</v>
      </c>
      <c r="AD205" s="31">
        <f t="shared" ca="1" si="78"/>
        <v>36</v>
      </c>
      <c r="AE205" s="55">
        <v>1</v>
      </c>
      <c r="AF205" t="s">
        <v>155</v>
      </c>
      <c r="AG205" s="10" t="s">
        <v>78</v>
      </c>
      <c r="AH205" t="s">
        <v>78</v>
      </c>
      <c r="AI205" s="9" t="s">
        <v>53</v>
      </c>
      <c r="AJ205" s="10">
        <v>46135</v>
      </c>
      <c r="AK205" s="10">
        <v>46179</v>
      </c>
      <c r="AL205" t="s">
        <v>2062</v>
      </c>
      <c r="AM205" s="27" t="str">
        <f t="shared" si="79"/>
        <v>Atrasado</v>
      </c>
      <c r="AN205" s="27" t="str">
        <f t="shared" ca="1" si="88"/>
        <v>No prazo</v>
      </c>
      <c r="AO205" s="27" t="str">
        <f t="shared" ca="1" si="84"/>
        <v>Embarcado</v>
      </c>
      <c r="AP205" t="s">
        <v>606</v>
      </c>
    </row>
    <row r="206" spans="1:42" hidden="1">
      <c r="A206">
        <v>510814</v>
      </c>
      <c r="B206" s="34">
        <v>26</v>
      </c>
      <c r="C206" t="s">
        <v>626</v>
      </c>
      <c r="D206" t="s">
        <v>634</v>
      </c>
      <c r="E206" s="23" t="s">
        <v>635</v>
      </c>
      <c r="F206" s="24">
        <v>2</v>
      </c>
      <c r="G206" s="25">
        <v>4118.41</v>
      </c>
      <c r="H206" s="25">
        <f t="shared" si="63"/>
        <v>8236.82</v>
      </c>
      <c r="I206" s="26">
        <v>46226</v>
      </c>
      <c r="J206" s="10">
        <v>46072</v>
      </c>
      <c r="K206" s="10">
        <v>46072</v>
      </c>
      <c r="L206" s="27" t="str">
        <f t="shared" si="87"/>
        <v>On time</v>
      </c>
      <c r="M206" s="58">
        <v>46079</v>
      </c>
      <c r="N206" s="27" t="str">
        <f t="shared" si="86"/>
        <v>Atrasado</v>
      </c>
      <c r="O206" s="27">
        <f t="shared" si="65"/>
        <v>7</v>
      </c>
      <c r="P206" s="28" t="str">
        <f t="shared" si="85"/>
        <v>On time</v>
      </c>
      <c r="Q206" s="27">
        <f t="shared" si="66"/>
        <v>154</v>
      </c>
      <c r="R206" s="29" t="s">
        <v>607</v>
      </c>
      <c r="S206" t="s">
        <v>90</v>
      </c>
      <c r="T206" s="35">
        <v>5</v>
      </c>
      <c r="U206" t="s">
        <v>593</v>
      </c>
      <c r="V206" s="27">
        <v>2</v>
      </c>
      <c r="W206" s="9">
        <v>406.58</v>
      </c>
      <c r="X206" s="9">
        <f t="shared" si="64"/>
        <v>813.16</v>
      </c>
      <c r="Y206">
        <v>48</v>
      </c>
      <c r="Z206" s="10">
        <v>46079</v>
      </c>
      <c r="AA206" s="10">
        <v>46099</v>
      </c>
      <c r="AB206" s="10">
        <v>46115</v>
      </c>
      <c r="AC206" s="10">
        <v>46194</v>
      </c>
      <c r="AD206" s="31">
        <f t="shared" ca="1" si="78"/>
        <v>36</v>
      </c>
      <c r="AE206" s="55">
        <v>1</v>
      </c>
      <c r="AF206" t="s">
        <v>155</v>
      </c>
      <c r="AG206" s="10" t="s">
        <v>78</v>
      </c>
      <c r="AH206" t="s">
        <v>78</v>
      </c>
      <c r="AI206" s="9" t="s">
        <v>53</v>
      </c>
      <c r="AJ206" s="10">
        <v>46135</v>
      </c>
      <c r="AK206" s="10">
        <v>46179</v>
      </c>
      <c r="AL206" t="s">
        <v>2062</v>
      </c>
      <c r="AM206" s="27" t="str">
        <f t="shared" si="79"/>
        <v>Atrasado</v>
      </c>
      <c r="AN206" s="27" t="str">
        <f t="shared" ca="1" si="88"/>
        <v>No prazo</v>
      </c>
      <c r="AO206" s="27" t="str">
        <f t="shared" ca="1" si="84"/>
        <v>Embarcado</v>
      </c>
      <c r="AP206" t="s">
        <v>606</v>
      </c>
    </row>
    <row r="207" spans="1:42" hidden="1">
      <c r="A207">
        <v>510814</v>
      </c>
      <c r="B207" s="34">
        <v>35</v>
      </c>
      <c r="C207" t="s">
        <v>626</v>
      </c>
      <c r="D207" t="s">
        <v>636</v>
      </c>
      <c r="E207" s="23" t="s">
        <v>637</v>
      </c>
      <c r="F207" s="24">
        <v>12</v>
      </c>
      <c r="G207" s="25">
        <v>162.54</v>
      </c>
      <c r="H207" s="25">
        <f t="shared" si="63"/>
        <v>1950.48</v>
      </c>
      <c r="I207" s="26">
        <v>46226</v>
      </c>
      <c r="J207" s="10">
        <v>46072</v>
      </c>
      <c r="K207" s="10">
        <v>46072</v>
      </c>
      <c r="L207" s="27" t="str">
        <f t="shared" si="87"/>
        <v>On time</v>
      </c>
      <c r="M207" s="58">
        <v>46079</v>
      </c>
      <c r="N207" s="27" t="str">
        <f t="shared" si="86"/>
        <v>Atrasado</v>
      </c>
      <c r="O207" s="27">
        <f t="shared" si="65"/>
        <v>7</v>
      </c>
      <c r="P207" s="28" t="str">
        <f t="shared" si="85"/>
        <v>On time</v>
      </c>
      <c r="Q207" s="27">
        <f t="shared" si="66"/>
        <v>154</v>
      </c>
      <c r="R207" s="29" t="s">
        <v>607</v>
      </c>
      <c r="S207" t="s">
        <v>90</v>
      </c>
      <c r="T207" s="35">
        <v>6</v>
      </c>
      <c r="U207" t="s">
        <v>594</v>
      </c>
      <c r="V207" s="27">
        <v>12</v>
      </c>
      <c r="W207" s="9">
        <v>13</v>
      </c>
      <c r="X207" s="9">
        <f t="shared" si="64"/>
        <v>156</v>
      </c>
      <c r="Y207">
        <v>1</v>
      </c>
      <c r="Z207" s="10">
        <v>46079</v>
      </c>
      <c r="AA207" s="10">
        <v>46099</v>
      </c>
      <c r="AB207" s="10">
        <v>46115</v>
      </c>
      <c r="AC207" s="10">
        <v>46194</v>
      </c>
      <c r="AD207" s="31">
        <f t="shared" ca="1" si="78"/>
        <v>36</v>
      </c>
      <c r="AE207" s="55">
        <v>1</v>
      </c>
      <c r="AF207" t="s">
        <v>155</v>
      </c>
      <c r="AG207" s="10" t="s">
        <v>78</v>
      </c>
      <c r="AH207" t="s">
        <v>78</v>
      </c>
      <c r="AI207" s="9" t="s">
        <v>53</v>
      </c>
      <c r="AJ207" s="10">
        <v>46135</v>
      </c>
      <c r="AK207" s="10">
        <v>46179</v>
      </c>
      <c r="AL207" t="s">
        <v>2062</v>
      </c>
      <c r="AM207" s="27" t="str">
        <f t="shared" si="79"/>
        <v>Atrasado</v>
      </c>
      <c r="AN207" s="27" t="str">
        <f t="shared" ca="1" si="88"/>
        <v>No prazo</v>
      </c>
      <c r="AO207" s="27" t="str">
        <f t="shared" ca="1" si="84"/>
        <v>Embarcado</v>
      </c>
      <c r="AP207" t="s">
        <v>606</v>
      </c>
    </row>
    <row r="208" spans="1:42" hidden="1">
      <c r="A208">
        <v>510814</v>
      </c>
      <c r="B208" s="34">
        <v>36</v>
      </c>
      <c r="C208" t="s">
        <v>626</v>
      </c>
      <c r="D208" t="s">
        <v>638</v>
      </c>
      <c r="E208" s="23" t="s">
        <v>639</v>
      </c>
      <c r="F208" s="24">
        <v>4</v>
      </c>
      <c r="G208" s="25">
        <v>203.15</v>
      </c>
      <c r="H208" s="25">
        <f t="shared" si="63"/>
        <v>812.6</v>
      </c>
      <c r="I208" s="26">
        <v>46226</v>
      </c>
      <c r="J208" s="10">
        <v>46072</v>
      </c>
      <c r="K208" s="10">
        <v>46072</v>
      </c>
      <c r="L208" s="27" t="str">
        <f t="shared" si="87"/>
        <v>On time</v>
      </c>
      <c r="M208" s="58">
        <v>46079</v>
      </c>
      <c r="N208" s="27" t="str">
        <f t="shared" si="86"/>
        <v>Atrasado</v>
      </c>
      <c r="O208" s="27">
        <f t="shared" si="65"/>
        <v>7</v>
      </c>
      <c r="P208" s="28" t="str">
        <f t="shared" si="85"/>
        <v>On time</v>
      </c>
      <c r="Q208" s="27">
        <f t="shared" si="66"/>
        <v>154</v>
      </c>
      <c r="R208" s="29" t="s">
        <v>607</v>
      </c>
      <c r="S208" t="s">
        <v>90</v>
      </c>
      <c r="T208" s="35">
        <v>7</v>
      </c>
      <c r="U208" t="s">
        <v>595</v>
      </c>
      <c r="V208" s="27">
        <v>4</v>
      </c>
      <c r="W208" s="9">
        <v>17</v>
      </c>
      <c r="X208" s="9">
        <f t="shared" si="64"/>
        <v>68</v>
      </c>
      <c r="Y208">
        <v>1</v>
      </c>
      <c r="Z208" s="10">
        <v>46079</v>
      </c>
      <c r="AA208" s="10">
        <v>46099</v>
      </c>
      <c r="AB208" s="10">
        <v>46115</v>
      </c>
      <c r="AC208" s="10">
        <v>46194</v>
      </c>
      <c r="AD208" s="31">
        <f t="shared" ca="1" si="78"/>
        <v>36</v>
      </c>
      <c r="AE208" s="55">
        <v>1</v>
      </c>
      <c r="AF208" t="s">
        <v>155</v>
      </c>
      <c r="AG208" s="10" t="s">
        <v>78</v>
      </c>
      <c r="AH208" t="s">
        <v>78</v>
      </c>
      <c r="AI208" s="9" t="s">
        <v>53</v>
      </c>
      <c r="AJ208" s="10">
        <v>46135</v>
      </c>
      <c r="AK208" s="10">
        <v>46179</v>
      </c>
      <c r="AL208" t="s">
        <v>2062</v>
      </c>
      <c r="AM208" s="27" t="str">
        <f t="shared" si="79"/>
        <v>Atrasado</v>
      </c>
      <c r="AN208" s="27" t="str">
        <f t="shared" ca="1" si="88"/>
        <v>No prazo</v>
      </c>
      <c r="AO208" s="27" t="str">
        <f t="shared" ca="1" si="84"/>
        <v>Embarcado</v>
      </c>
      <c r="AP208" t="s">
        <v>606</v>
      </c>
    </row>
    <row r="209" spans="1:43" hidden="1">
      <c r="A209">
        <v>510814</v>
      </c>
      <c r="B209" s="34">
        <v>37</v>
      </c>
      <c r="C209" t="s">
        <v>626</v>
      </c>
      <c r="D209" t="s">
        <v>640</v>
      </c>
      <c r="E209" s="23" t="s">
        <v>641</v>
      </c>
      <c r="F209" s="24">
        <v>10</v>
      </c>
      <c r="G209" s="25">
        <v>365.58</v>
      </c>
      <c r="H209" s="25">
        <f t="shared" si="63"/>
        <v>3655.7999999999997</v>
      </c>
      <c r="I209" s="26">
        <v>46226</v>
      </c>
      <c r="J209" s="10">
        <v>46072</v>
      </c>
      <c r="K209" s="10">
        <v>46072</v>
      </c>
      <c r="L209" s="27" t="str">
        <f t="shared" si="87"/>
        <v>On time</v>
      </c>
      <c r="M209" s="58">
        <v>46079</v>
      </c>
      <c r="N209" s="27" t="str">
        <f t="shared" si="86"/>
        <v>Atrasado</v>
      </c>
      <c r="O209" s="27">
        <f t="shared" si="65"/>
        <v>7</v>
      </c>
      <c r="P209" s="28" t="str">
        <f t="shared" si="85"/>
        <v>On time</v>
      </c>
      <c r="Q209" s="27">
        <f t="shared" si="66"/>
        <v>154</v>
      </c>
      <c r="R209" s="29" t="s">
        <v>607</v>
      </c>
      <c r="S209" t="s">
        <v>90</v>
      </c>
      <c r="T209" s="35">
        <v>8</v>
      </c>
      <c r="U209" t="s">
        <v>596</v>
      </c>
      <c r="V209" s="27">
        <v>10</v>
      </c>
      <c r="W209" s="9">
        <v>30</v>
      </c>
      <c r="X209" s="9">
        <f t="shared" si="64"/>
        <v>300</v>
      </c>
      <c r="Y209">
        <v>1</v>
      </c>
      <c r="Z209" s="10">
        <v>46079</v>
      </c>
      <c r="AA209" s="10">
        <v>46099</v>
      </c>
      <c r="AB209" s="10">
        <v>46115</v>
      </c>
      <c r="AC209" s="10">
        <v>46194</v>
      </c>
      <c r="AD209" s="31">
        <f t="shared" ca="1" si="78"/>
        <v>36</v>
      </c>
      <c r="AE209" s="55">
        <v>1</v>
      </c>
      <c r="AF209" t="s">
        <v>155</v>
      </c>
      <c r="AG209" s="10" t="s">
        <v>78</v>
      </c>
      <c r="AH209" t="s">
        <v>78</v>
      </c>
      <c r="AI209" s="9" t="s">
        <v>53</v>
      </c>
      <c r="AJ209" s="10">
        <v>46135</v>
      </c>
      <c r="AK209" s="10">
        <v>46179</v>
      </c>
      <c r="AL209" t="s">
        <v>2062</v>
      </c>
      <c r="AM209" s="27" t="str">
        <f t="shared" si="79"/>
        <v>Atrasado</v>
      </c>
      <c r="AN209" s="27" t="str">
        <f t="shared" ca="1" si="88"/>
        <v>No prazo</v>
      </c>
      <c r="AO209" s="27" t="str">
        <f t="shared" ca="1" si="84"/>
        <v>Embarcado</v>
      </c>
      <c r="AP209" t="s">
        <v>606</v>
      </c>
    </row>
    <row r="210" spans="1:43" hidden="1">
      <c r="A210">
        <v>510814</v>
      </c>
      <c r="B210" s="34">
        <v>41</v>
      </c>
      <c r="C210" t="s">
        <v>626</v>
      </c>
      <c r="D210" t="s">
        <v>642</v>
      </c>
      <c r="E210" s="23" t="s">
        <v>643</v>
      </c>
      <c r="F210" s="24">
        <v>4</v>
      </c>
      <c r="G210" s="25">
        <v>111.71</v>
      </c>
      <c r="H210" s="25">
        <f t="shared" si="63"/>
        <v>446.84</v>
      </c>
      <c r="I210" s="26">
        <v>46226</v>
      </c>
      <c r="J210" s="10">
        <v>46072</v>
      </c>
      <c r="K210" s="10">
        <v>46072</v>
      </c>
      <c r="L210" s="27" t="str">
        <f t="shared" si="87"/>
        <v>On time</v>
      </c>
      <c r="M210" s="58">
        <v>46079</v>
      </c>
      <c r="N210" s="27" t="str">
        <f t="shared" si="86"/>
        <v>Atrasado</v>
      </c>
      <c r="O210" s="27">
        <f t="shared" si="65"/>
        <v>7</v>
      </c>
      <c r="P210" s="28" t="str">
        <f t="shared" si="85"/>
        <v>On time</v>
      </c>
      <c r="Q210" s="27">
        <f t="shared" si="66"/>
        <v>154</v>
      </c>
      <c r="R210" s="29" t="s">
        <v>607</v>
      </c>
      <c r="S210" t="s">
        <v>90</v>
      </c>
      <c r="T210" s="35">
        <v>9</v>
      </c>
      <c r="U210" t="s">
        <v>597</v>
      </c>
      <c r="V210" s="27">
        <v>4</v>
      </c>
      <c r="W210" s="9">
        <v>9</v>
      </c>
      <c r="X210" s="9">
        <f t="shared" si="64"/>
        <v>36</v>
      </c>
      <c r="Y210">
        <v>1</v>
      </c>
      <c r="Z210" s="10">
        <v>46079</v>
      </c>
      <c r="AA210" s="10">
        <v>46099</v>
      </c>
      <c r="AB210" s="10">
        <v>46115</v>
      </c>
      <c r="AC210" s="10">
        <v>46194</v>
      </c>
      <c r="AD210" s="31">
        <f t="shared" ca="1" si="78"/>
        <v>36</v>
      </c>
      <c r="AE210" s="55">
        <v>1</v>
      </c>
      <c r="AF210" t="s">
        <v>155</v>
      </c>
      <c r="AG210" s="10" t="s">
        <v>78</v>
      </c>
      <c r="AH210" t="s">
        <v>78</v>
      </c>
      <c r="AI210" s="9" t="s">
        <v>53</v>
      </c>
      <c r="AJ210" s="10">
        <v>46135</v>
      </c>
      <c r="AK210" s="10">
        <v>46179</v>
      </c>
      <c r="AL210" t="s">
        <v>2062</v>
      </c>
      <c r="AM210" s="27" t="str">
        <f t="shared" si="79"/>
        <v>Atrasado</v>
      </c>
      <c r="AN210" s="27" t="str">
        <f t="shared" ca="1" si="88"/>
        <v>No prazo</v>
      </c>
      <c r="AO210" s="27" t="str">
        <f t="shared" ca="1" si="84"/>
        <v>Embarcado</v>
      </c>
      <c r="AP210" t="s">
        <v>606</v>
      </c>
    </row>
    <row r="211" spans="1:43" hidden="1">
      <c r="A211">
        <v>510814</v>
      </c>
      <c r="B211" s="34">
        <v>42</v>
      </c>
      <c r="C211" t="s">
        <v>626</v>
      </c>
      <c r="D211" t="s">
        <v>644</v>
      </c>
      <c r="E211" s="23" t="s">
        <v>645</v>
      </c>
      <c r="F211" s="24">
        <v>6</v>
      </c>
      <c r="G211" s="25">
        <v>172.67</v>
      </c>
      <c r="H211" s="25">
        <f t="shared" si="63"/>
        <v>1036.02</v>
      </c>
      <c r="I211" s="26">
        <v>46226</v>
      </c>
      <c r="J211" s="10">
        <v>46072</v>
      </c>
      <c r="K211" s="10">
        <v>46072</v>
      </c>
      <c r="L211" s="27" t="str">
        <f t="shared" si="87"/>
        <v>On time</v>
      </c>
      <c r="M211" s="58">
        <v>46079</v>
      </c>
      <c r="N211" s="27" t="str">
        <f t="shared" si="86"/>
        <v>Atrasado</v>
      </c>
      <c r="O211" s="27">
        <f t="shared" si="65"/>
        <v>7</v>
      </c>
      <c r="P211" s="28" t="str">
        <f t="shared" si="85"/>
        <v>On time</v>
      </c>
      <c r="Q211" s="27">
        <f t="shared" si="66"/>
        <v>154</v>
      </c>
      <c r="R211" s="29" t="s">
        <v>607</v>
      </c>
      <c r="S211" t="s">
        <v>90</v>
      </c>
      <c r="T211" s="35">
        <v>10</v>
      </c>
      <c r="U211" t="s">
        <v>598</v>
      </c>
      <c r="V211" s="27">
        <v>6</v>
      </c>
      <c r="W211" s="9">
        <v>14.2</v>
      </c>
      <c r="X211" s="9">
        <f t="shared" si="64"/>
        <v>85.199999999999989</v>
      </c>
      <c r="Y211">
        <v>1</v>
      </c>
      <c r="Z211" s="10">
        <v>46079</v>
      </c>
      <c r="AA211" s="10">
        <v>46099</v>
      </c>
      <c r="AB211" s="10">
        <v>46115</v>
      </c>
      <c r="AC211" s="10">
        <v>46194</v>
      </c>
      <c r="AD211" s="31">
        <f t="shared" ca="1" si="78"/>
        <v>36</v>
      </c>
      <c r="AE211" s="55">
        <v>1</v>
      </c>
      <c r="AF211" t="s">
        <v>155</v>
      </c>
      <c r="AG211" s="10" t="s">
        <v>78</v>
      </c>
      <c r="AH211" t="s">
        <v>78</v>
      </c>
      <c r="AI211" s="9" t="s">
        <v>53</v>
      </c>
      <c r="AJ211" s="10">
        <v>46135</v>
      </c>
      <c r="AK211" s="10">
        <v>46179</v>
      </c>
      <c r="AL211" t="s">
        <v>2062</v>
      </c>
      <c r="AM211" s="27" t="str">
        <f t="shared" si="79"/>
        <v>Atrasado</v>
      </c>
      <c r="AN211" s="27" t="str">
        <f t="shared" ca="1" si="88"/>
        <v>No prazo</v>
      </c>
      <c r="AO211" s="27" t="str">
        <f t="shared" ca="1" si="84"/>
        <v>Embarcado</v>
      </c>
      <c r="AP211" t="s">
        <v>606</v>
      </c>
    </row>
    <row r="212" spans="1:43" hidden="1">
      <c r="A212">
        <v>510814</v>
      </c>
      <c r="B212" s="34">
        <v>46</v>
      </c>
      <c r="C212" t="s">
        <v>626</v>
      </c>
      <c r="D212" t="s">
        <v>646</v>
      </c>
      <c r="E212" s="23" t="s">
        <v>647</v>
      </c>
      <c r="F212" s="24">
        <v>1</v>
      </c>
      <c r="G212" s="25">
        <v>223.41</v>
      </c>
      <c r="H212" s="25">
        <f t="shared" si="63"/>
        <v>223.41</v>
      </c>
      <c r="I212" s="26">
        <v>46226</v>
      </c>
      <c r="J212" s="10">
        <v>46072</v>
      </c>
      <c r="K212" s="10">
        <v>46072</v>
      </c>
      <c r="L212" s="27" t="str">
        <f t="shared" si="87"/>
        <v>On time</v>
      </c>
      <c r="M212" s="58">
        <v>46079</v>
      </c>
      <c r="N212" s="27" t="str">
        <f t="shared" si="86"/>
        <v>Atrasado</v>
      </c>
      <c r="O212" s="27">
        <f t="shared" si="65"/>
        <v>7</v>
      </c>
      <c r="P212" s="28" t="str">
        <f t="shared" si="85"/>
        <v>On time</v>
      </c>
      <c r="Q212" s="27">
        <f t="shared" si="66"/>
        <v>154</v>
      </c>
      <c r="R212" s="29" t="s">
        <v>607</v>
      </c>
      <c r="S212" t="s">
        <v>90</v>
      </c>
      <c r="T212" s="35">
        <v>11</v>
      </c>
      <c r="U212" t="s">
        <v>599</v>
      </c>
      <c r="V212" s="27">
        <v>1</v>
      </c>
      <c r="W212" s="9">
        <v>18</v>
      </c>
      <c r="X212" s="9">
        <f t="shared" si="64"/>
        <v>18</v>
      </c>
      <c r="Y212">
        <v>1</v>
      </c>
      <c r="Z212" s="10">
        <v>46079</v>
      </c>
      <c r="AA212" s="10">
        <v>46099</v>
      </c>
      <c r="AB212" s="10">
        <v>46115</v>
      </c>
      <c r="AC212" s="10">
        <v>46194</v>
      </c>
      <c r="AD212" s="31">
        <f t="shared" ca="1" si="78"/>
        <v>36</v>
      </c>
      <c r="AE212" s="55">
        <v>1</v>
      </c>
      <c r="AF212" t="s">
        <v>155</v>
      </c>
      <c r="AG212" s="10" t="s">
        <v>78</v>
      </c>
      <c r="AH212" t="s">
        <v>78</v>
      </c>
      <c r="AI212" s="9" t="s">
        <v>53</v>
      </c>
      <c r="AJ212" s="10">
        <v>46135</v>
      </c>
      <c r="AK212" s="10">
        <v>46179</v>
      </c>
      <c r="AL212" t="s">
        <v>2062</v>
      </c>
      <c r="AM212" s="27" t="str">
        <f t="shared" si="79"/>
        <v>Atrasado</v>
      </c>
      <c r="AN212" s="27" t="str">
        <f t="shared" ca="1" si="88"/>
        <v>No prazo</v>
      </c>
      <c r="AO212" s="27" t="str">
        <f t="shared" ca="1" si="84"/>
        <v>Embarcado</v>
      </c>
      <c r="AP212" t="s">
        <v>606</v>
      </c>
    </row>
    <row r="213" spans="1:43" hidden="1">
      <c r="A213">
        <v>510814</v>
      </c>
      <c r="B213" s="34">
        <v>47</v>
      </c>
      <c r="C213" t="s">
        <v>626</v>
      </c>
      <c r="D213" t="s">
        <v>648</v>
      </c>
      <c r="E213" s="23" t="s">
        <v>649</v>
      </c>
      <c r="F213" s="24">
        <v>4</v>
      </c>
      <c r="G213" s="25">
        <v>406.2</v>
      </c>
      <c r="H213" s="25">
        <f t="shared" si="63"/>
        <v>1624.8</v>
      </c>
      <c r="I213" s="26">
        <v>46226</v>
      </c>
      <c r="J213" s="10">
        <v>46072</v>
      </c>
      <c r="K213" s="10">
        <v>46072</v>
      </c>
      <c r="L213" s="27" t="str">
        <f t="shared" si="87"/>
        <v>On time</v>
      </c>
      <c r="M213" s="58">
        <v>46079</v>
      </c>
      <c r="N213" s="27" t="str">
        <f t="shared" si="86"/>
        <v>Atrasado</v>
      </c>
      <c r="O213" s="27">
        <f t="shared" si="65"/>
        <v>7</v>
      </c>
      <c r="P213" s="28" t="str">
        <f t="shared" si="85"/>
        <v>On time</v>
      </c>
      <c r="Q213" s="27">
        <f t="shared" si="66"/>
        <v>154</v>
      </c>
      <c r="R213" s="29" t="s">
        <v>607</v>
      </c>
      <c r="S213" t="s">
        <v>90</v>
      </c>
      <c r="T213" s="35">
        <v>12</v>
      </c>
      <c r="U213" t="s">
        <v>600</v>
      </c>
      <c r="V213" s="27">
        <v>4</v>
      </c>
      <c r="W213" s="9">
        <v>33</v>
      </c>
      <c r="X213" s="9">
        <f t="shared" si="64"/>
        <v>132</v>
      </c>
      <c r="Y213">
        <v>1</v>
      </c>
      <c r="Z213" s="10">
        <v>46079</v>
      </c>
      <c r="AA213" s="10">
        <v>46099</v>
      </c>
      <c r="AB213" s="10">
        <v>46115</v>
      </c>
      <c r="AC213" s="10">
        <v>46194</v>
      </c>
      <c r="AD213" s="31">
        <f t="shared" ca="1" si="78"/>
        <v>36</v>
      </c>
      <c r="AE213" s="55">
        <v>1</v>
      </c>
      <c r="AF213" t="s">
        <v>155</v>
      </c>
      <c r="AG213" s="10" t="s">
        <v>78</v>
      </c>
      <c r="AH213" t="s">
        <v>78</v>
      </c>
      <c r="AI213" s="9" t="s">
        <v>53</v>
      </c>
      <c r="AJ213" s="10">
        <v>46135</v>
      </c>
      <c r="AK213" s="10">
        <v>46179</v>
      </c>
      <c r="AL213" t="s">
        <v>2062</v>
      </c>
      <c r="AM213" s="27" t="str">
        <f t="shared" si="79"/>
        <v>Atrasado</v>
      </c>
      <c r="AN213" s="27" t="str">
        <f t="shared" ca="1" si="88"/>
        <v>No prazo</v>
      </c>
      <c r="AO213" s="27" t="str">
        <f t="shared" ca="1" si="84"/>
        <v>Embarcado</v>
      </c>
      <c r="AP213" t="s">
        <v>606</v>
      </c>
    </row>
    <row r="214" spans="1:43" hidden="1">
      <c r="A214">
        <v>510814</v>
      </c>
      <c r="B214" s="34">
        <v>49</v>
      </c>
      <c r="C214" t="s">
        <v>626</v>
      </c>
      <c r="D214" t="s">
        <v>650</v>
      </c>
      <c r="E214" s="23" t="s">
        <v>651</v>
      </c>
      <c r="F214" s="24">
        <v>2</v>
      </c>
      <c r="G214" s="25">
        <v>56.88</v>
      </c>
      <c r="H214" s="25">
        <f t="shared" si="63"/>
        <v>113.76</v>
      </c>
      <c r="I214" s="26">
        <v>46226</v>
      </c>
      <c r="J214" s="10">
        <v>46072</v>
      </c>
      <c r="K214" s="10">
        <v>46072</v>
      </c>
      <c r="L214" s="27" t="str">
        <f t="shared" si="87"/>
        <v>On time</v>
      </c>
      <c r="M214" s="58">
        <v>46079</v>
      </c>
      <c r="N214" s="27" t="str">
        <f t="shared" si="86"/>
        <v>Atrasado</v>
      </c>
      <c r="O214" s="27">
        <f t="shared" si="65"/>
        <v>7</v>
      </c>
      <c r="P214" s="28" t="str">
        <f t="shared" si="85"/>
        <v>On time</v>
      </c>
      <c r="Q214" s="27">
        <f t="shared" si="66"/>
        <v>154</v>
      </c>
      <c r="R214" s="29" t="s">
        <v>607</v>
      </c>
      <c r="S214" t="s">
        <v>90</v>
      </c>
      <c r="T214" s="35">
        <v>13</v>
      </c>
      <c r="U214" t="s">
        <v>601</v>
      </c>
      <c r="V214" s="27">
        <v>2</v>
      </c>
      <c r="W214" s="9">
        <v>4.7</v>
      </c>
      <c r="X214" s="9">
        <f t="shared" si="64"/>
        <v>9.4</v>
      </c>
      <c r="Y214">
        <v>1</v>
      </c>
      <c r="Z214" s="10">
        <v>46079</v>
      </c>
      <c r="AA214" s="10">
        <v>46099</v>
      </c>
      <c r="AB214" s="10">
        <v>46115</v>
      </c>
      <c r="AC214" s="10">
        <v>46194</v>
      </c>
      <c r="AD214" s="31">
        <f t="shared" ca="1" si="78"/>
        <v>36</v>
      </c>
      <c r="AE214" s="55">
        <v>1</v>
      </c>
      <c r="AF214" t="s">
        <v>155</v>
      </c>
      <c r="AG214" s="10" t="s">
        <v>78</v>
      </c>
      <c r="AH214" t="s">
        <v>78</v>
      </c>
      <c r="AI214" s="9" t="s">
        <v>53</v>
      </c>
      <c r="AJ214" s="10">
        <v>46135</v>
      </c>
      <c r="AK214" s="10">
        <v>46179</v>
      </c>
      <c r="AL214" t="s">
        <v>2062</v>
      </c>
      <c r="AM214" s="27" t="str">
        <f t="shared" si="79"/>
        <v>Atrasado</v>
      </c>
      <c r="AN214" s="27" t="str">
        <f t="shared" ca="1" si="88"/>
        <v>No prazo</v>
      </c>
      <c r="AO214" s="27" t="str">
        <f t="shared" ca="1" si="84"/>
        <v>Embarcado</v>
      </c>
      <c r="AP214" t="s">
        <v>606</v>
      </c>
    </row>
    <row r="215" spans="1:43" hidden="1">
      <c r="A215">
        <v>510814</v>
      </c>
      <c r="B215" s="34" t="s">
        <v>623</v>
      </c>
      <c r="C215" t="s">
        <v>626</v>
      </c>
      <c r="D215" t="s">
        <v>652</v>
      </c>
      <c r="E215" s="23" t="s">
        <v>653</v>
      </c>
      <c r="F215" s="24">
        <v>1</v>
      </c>
      <c r="G215" s="25">
        <v>406.2</v>
      </c>
      <c r="H215" s="25">
        <f t="shared" si="63"/>
        <v>406.2</v>
      </c>
      <c r="I215" s="26">
        <v>46226</v>
      </c>
      <c r="J215" s="10">
        <v>46072</v>
      </c>
      <c r="K215" s="10">
        <v>46072</v>
      </c>
      <c r="L215" s="27" t="str">
        <f t="shared" si="87"/>
        <v>On time</v>
      </c>
      <c r="M215" s="58">
        <v>46079</v>
      </c>
      <c r="N215" s="27" t="str">
        <f t="shared" si="86"/>
        <v>Atrasado</v>
      </c>
      <c r="O215" s="27">
        <f t="shared" si="65"/>
        <v>7</v>
      </c>
      <c r="P215" s="28" t="str">
        <f t="shared" si="85"/>
        <v>On time</v>
      </c>
      <c r="Q215" s="27">
        <f t="shared" si="66"/>
        <v>154</v>
      </c>
      <c r="R215" s="29" t="s">
        <v>607</v>
      </c>
      <c r="S215" t="s">
        <v>90</v>
      </c>
      <c r="T215" s="35">
        <v>14</v>
      </c>
      <c r="U215" t="s">
        <v>602</v>
      </c>
      <c r="V215" s="27">
        <v>1</v>
      </c>
      <c r="W215" s="9">
        <v>35</v>
      </c>
      <c r="X215" s="9">
        <f t="shared" si="64"/>
        <v>35</v>
      </c>
      <c r="Y215">
        <v>1</v>
      </c>
      <c r="Z215" s="10">
        <v>46079</v>
      </c>
      <c r="AA215" s="10">
        <v>46099</v>
      </c>
      <c r="AB215" s="10">
        <v>46115</v>
      </c>
      <c r="AC215" s="10">
        <v>46194</v>
      </c>
      <c r="AD215" s="31">
        <f t="shared" ca="1" si="78"/>
        <v>36</v>
      </c>
      <c r="AE215" s="55">
        <v>1</v>
      </c>
      <c r="AF215" t="s">
        <v>155</v>
      </c>
      <c r="AG215" s="10" t="s">
        <v>78</v>
      </c>
      <c r="AH215" t="s">
        <v>78</v>
      </c>
      <c r="AI215" s="9" t="s">
        <v>53</v>
      </c>
      <c r="AJ215" s="10">
        <v>46135</v>
      </c>
      <c r="AK215" s="10">
        <v>46179</v>
      </c>
      <c r="AL215" t="s">
        <v>2062</v>
      </c>
      <c r="AM215" s="27" t="str">
        <f t="shared" si="79"/>
        <v>Atrasado</v>
      </c>
      <c r="AN215" s="27" t="str">
        <f t="shared" ca="1" si="88"/>
        <v>No prazo</v>
      </c>
      <c r="AO215" s="27" t="str">
        <f t="shared" ca="1" si="84"/>
        <v>Embarcado</v>
      </c>
      <c r="AP215" t="s">
        <v>606</v>
      </c>
    </row>
    <row r="216" spans="1:43" hidden="1">
      <c r="A216">
        <v>510814</v>
      </c>
      <c r="B216" s="34" t="s">
        <v>624</v>
      </c>
      <c r="C216" t="s">
        <v>626</v>
      </c>
      <c r="D216" t="s">
        <v>654</v>
      </c>
      <c r="E216" s="23" t="s">
        <v>655</v>
      </c>
      <c r="F216" s="24">
        <v>16</v>
      </c>
      <c r="G216" s="25">
        <v>25.52</v>
      </c>
      <c r="H216" s="25">
        <f t="shared" si="63"/>
        <v>408.32</v>
      </c>
      <c r="I216" s="26">
        <v>46226</v>
      </c>
      <c r="J216" s="10">
        <v>46072</v>
      </c>
      <c r="K216" s="10">
        <v>46072</v>
      </c>
      <c r="L216" s="27" t="str">
        <f t="shared" si="87"/>
        <v>On time</v>
      </c>
      <c r="M216" s="58">
        <v>46079</v>
      </c>
      <c r="N216" s="27" t="str">
        <f t="shared" si="86"/>
        <v>Atrasado</v>
      </c>
      <c r="O216" s="27">
        <f t="shared" si="65"/>
        <v>7</v>
      </c>
      <c r="P216" s="28" t="str">
        <f t="shared" si="85"/>
        <v>On time</v>
      </c>
      <c r="Q216" s="27">
        <f t="shared" si="66"/>
        <v>154</v>
      </c>
      <c r="R216" s="29" t="s">
        <v>607</v>
      </c>
      <c r="S216" t="s">
        <v>90</v>
      </c>
      <c r="T216" s="35">
        <v>15</v>
      </c>
      <c r="U216" t="s">
        <v>603</v>
      </c>
      <c r="V216" s="27">
        <v>16</v>
      </c>
      <c r="W216" s="9">
        <v>2.2000000000000002</v>
      </c>
      <c r="X216" s="9">
        <f t="shared" si="64"/>
        <v>35.200000000000003</v>
      </c>
      <c r="Y216">
        <v>2</v>
      </c>
      <c r="Z216" s="10">
        <v>46079</v>
      </c>
      <c r="AA216" s="10">
        <v>46099</v>
      </c>
      <c r="AB216" s="10">
        <v>46115</v>
      </c>
      <c r="AC216" s="10">
        <v>46194</v>
      </c>
      <c r="AD216" s="31">
        <f t="shared" ca="1" si="78"/>
        <v>36</v>
      </c>
      <c r="AE216" s="55">
        <v>1</v>
      </c>
      <c r="AF216" t="s">
        <v>155</v>
      </c>
      <c r="AG216" s="10" t="s">
        <v>78</v>
      </c>
      <c r="AH216" t="s">
        <v>78</v>
      </c>
      <c r="AI216" s="9" t="s">
        <v>53</v>
      </c>
      <c r="AJ216" s="10">
        <v>46135</v>
      </c>
      <c r="AK216" s="10">
        <v>46179</v>
      </c>
      <c r="AL216" t="s">
        <v>2062</v>
      </c>
      <c r="AM216" s="27" t="str">
        <f t="shared" si="79"/>
        <v>Atrasado</v>
      </c>
      <c r="AN216" s="27" t="str">
        <f t="shared" ca="1" si="88"/>
        <v>No prazo</v>
      </c>
      <c r="AO216" s="27" t="str">
        <f t="shared" ca="1" si="84"/>
        <v>Embarcado</v>
      </c>
      <c r="AP216" t="s">
        <v>606</v>
      </c>
    </row>
    <row r="217" spans="1:43" hidden="1">
      <c r="A217">
        <v>510814</v>
      </c>
      <c r="B217" s="34" t="s">
        <v>625</v>
      </c>
      <c r="C217" t="s">
        <v>626</v>
      </c>
      <c r="D217" t="s">
        <v>656</v>
      </c>
      <c r="E217" s="23" t="s">
        <v>657</v>
      </c>
      <c r="F217" s="24">
        <v>4</v>
      </c>
      <c r="G217" s="25">
        <v>382.2</v>
      </c>
      <c r="H217" s="25">
        <f t="shared" si="63"/>
        <v>1528.8</v>
      </c>
      <c r="I217" s="26">
        <v>46226</v>
      </c>
      <c r="J217" s="10">
        <v>46072</v>
      </c>
      <c r="K217" s="10">
        <v>46072</v>
      </c>
      <c r="L217" s="27" t="str">
        <f t="shared" si="87"/>
        <v>On time</v>
      </c>
      <c r="M217" s="58">
        <v>46079</v>
      </c>
      <c r="N217" s="27" t="str">
        <f t="shared" si="86"/>
        <v>Atrasado</v>
      </c>
      <c r="O217" s="27">
        <f t="shared" si="65"/>
        <v>7</v>
      </c>
      <c r="P217" s="28" t="str">
        <f t="shared" si="85"/>
        <v>On time</v>
      </c>
      <c r="Q217" s="27">
        <f t="shared" si="66"/>
        <v>154</v>
      </c>
      <c r="R217" s="29" t="s">
        <v>607</v>
      </c>
      <c r="S217" t="s">
        <v>90</v>
      </c>
      <c r="T217" s="35">
        <v>16</v>
      </c>
      <c r="U217" t="s">
        <v>604</v>
      </c>
      <c r="V217" s="27">
        <v>4</v>
      </c>
      <c r="W217" s="9">
        <v>31</v>
      </c>
      <c r="X217" s="9">
        <f t="shared" si="64"/>
        <v>124</v>
      </c>
      <c r="Y217">
        <v>32</v>
      </c>
      <c r="Z217" s="10">
        <v>46079</v>
      </c>
      <c r="AA217" s="10">
        <v>46099</v>
      </c>
      <c r="AB217" s="10">
        <v>46115</v>
      </c>
      <c r="AC217" s="10">
        <v>46194</v>
      </c>
      <c r="AD217" s="31">
        <f t="shared" ca="1" si="78"/>
        <v>36</v>
      </c>
      <c r="AE217" s="55">
        <v>1</v>
      </c>
      <c r="AF217" t="s">
        <v>155</v>
      </c>
      <c r="AG217" s="10" t="s">
        <v>78</v>
      </c>
      <c r="AH217" t="s">
        <v>78</v>
      </c>
      <c r="AI217" s="9" t="s">
        <v>53</v>
      </c>
      <c r="AJ217" s="10">
        <v>46135</v>
      </c>
      <c r="AK217" s="10">
        <v>46179</v>
      </c>
      <c r="AL217" t="s">
        <v>2062</v>
      </c>
      <c r="AM217" s="27" t="str">
        <f t="shared" si="79"/>
        <v>Atrasado</v>
      </c>
      <c r="AN217" s="27" t="str">
        <f t="shared" ca="1" si="88"/>
        <v>No prazo</v>
      </c>
      <c r="AO217" s="27" t="str">
        <f t="shared" ca="1" si="84"/>
        <v>Embarcado</v>
      </c>
      <c r="AP217" t="s">
        <v>606</v>
      </c>
    </row>
    <row r="218" spans="1:43" hidden="1">
      <c r="A218">
        <v>505587</v>
      </c>
      <c r="B218" s="34" t="s">
        <v>660</v>
      </c>
      <c r="C218" t="s">
        <v>130</v>
      </c>
      <c r="D218" t="s">
        <v>608</v>
      </c>
      <c r="E218" s="23" t="s">
        <v>661</v>
      </c>
      <c r="F218" s="24">
        <v>1</v>
      </c>
      <c r="G218" s="25">
        <v>354.64</v>
      </c>
      <c r="H218" s="25">
        <f t="shared" si="63"/>
        <v>354.64</v>
      </c>
      <c r="I218" s="26">
        <v>46111</v>
      </c>
      <c r="J218" s="10">
        <v>45975</v>
      </c>
      <c r="K218" s="10">
        <v>45975</v>
      </c>
      <c r="L218" s="27" t="str">
        <f t="shared" si="87"/>
        <v>On time</v>
      </c>
      <c r="M218" s="58">
        <v>46084</v>
      </c>
      <c r="N218" s="27" t="str">
        <f t="shared" si="86"/>
        <v>Atrasado</v>
      </c>
      <c r="O218" s="27">
        <f t="shared" si="65"/>
        <v>109</v>
      </c>
      <c r="P218" s="28" t="str">
        <f t="shared" si="85"/>
        <v>On time</v>
      </c>
      <c r="Q218" s="27">
        <f t="shared" si="66"/>
        <v>136</v>
      </c>
      <c r="R218" s="29" t="s">
        <v>582</v>
      </c>
      <c r="S218" t="s">
        <v>48</v>
      </c>
      <c r="T218" s="35">
        <v>1</v>
      </c>
      <c r="U218" t="s">
        <v>608</v>
      </c>
      <c r="V218" s="27">
        <v>1</v>
      </c>
      <c r="W218" s="9">
        <v>35</v>
      </c>
      <c r="X218" s="9">
        <f t="shared" si="64"/>
        <v>35</v>
      </c>
      <c r="Z218" s="10">
        <v>46084</v>
      </c>
      <c r="AA218" s="10">
        <v>46099</v>
      </c>
      <c r="AB218" s="10">
        <v>46097</v>
      </c>
      <c r="AC218" s="10">
        <v>46100</v>
      </c>
      <c r="AD218" s="31">
        <f t="shared" ca="1" si="78"/>
        <v>36</v>
      </c>
      <c r="AE218" s="55">
        <v>1</v>
      </c>
      <c r="AF218" s="63" t="s">
        <v>155</v>
      </c>
      <c r="AG218" s="10" t="s">
        <v>78</v>
      </c>
      <c r="AI218" s="9" t="s">
        <v>57</v>
      </c>
      <c r="AJ218" s="10">
        <v>46097</v>
      </c>
      <c r="AK218" s="10">
        <v>46100</v>
      </c>
      <c r="AL218" t="s">
        <v>830</v>
      </c>
      <c r="AM218" s="27" t="str">
        <f t="shared" si="79"/>
        <v>On time</v>
      </c>
      <c r="AN218" s="27" t="str">
        <f t="shared" ca="1" si="88"/>
        <v>Chegou</v>
      </c>
      <c r="AO218" s="27" t="str">
        <f t="shared" ca="1" si="84"/>
        <v>Chegou HCI</v>
      </c>
      <c r="AP218" t="s">
        <v>56</v>
      </c>
      <c r="AQ218" t="s">
        <v>831</v>
      </c>
    </row>
    <row r="219" spans="1:43" hidden="1">
      <c r="A219">
        <v>510970</v>
      </c>
      <c r="B219" s="34">
        <v>1</v>
      </c>
      <c r="C219" t="s">
        <v>25</v>
      </c>
      <c r="D219" t="s">
        <v>664</v>
      </c>
      <c r="E219" s="23" t="s">
        <v>665</v>
      </c>
      <c r="F219" s="24">
        <v>1</v>
      </c>
      <c r="G219" s="25">
        <v>9087.1</v>
      </c>
      <c r="H219" s="25">
        <f t="shared" ref="H219:H329" si="89">G219*F219</f>
        <v>9087.1</v>
      </c>
      <c r="I219" s="26">
        <v>46167</v>
      </c>
      <c r="J219" s="10">
        <v>46064</v>
      </c>
      <c r="K219" s="10">
        <v>46065</v>
      </c>
      <c r="L219" s="27" t="str">
        <f t="shared" si="87"/>
        <v>On time</v>
      </c>
      <c r="M219" s="58">
        <v>46077</v>
      </c>
      <c r="N219" s="27" t="str">
        <f t="shared" si="86"/>
        <v>Atrasado</v>
      </c>
      <c r="O219" s="27">
        <f t="shared" si="65"/>
        <v>13</v>
      </c>
      <c r="P219" s="28" t="str">
        <f t="shared" si="85"/>
        <v>On time</v>
      </c>
      <c r="Q219" s="27">
        <f t="shared" si="66"/>
        <v>103</v>
      </c>
      <c r="R219" s="29" t="s">
        <v>583</v>
      </c>
      <c r="S219" t="s">
        <v>29</v>
      </c>
      <c r="T219" s="35">
        <v>1</v>
      </c>
      <c r="U219" t="s">
        <v>663</v>
      </c>
      <c r="V219" s="27">
        <v>1</v>
      </c>
      <c r="W219" s="9">
        <v>711.21</v>
      </c>
      <c r="X219" s="9">
        <f t="shared" ref="X219:X329" si="90">W219*V219</f>
        <v>711.21</v>
      </c>
      <c r="Z219" s="10">
        <v>46084</v>
      </c>
      <c r="AA219" s="10">
        <v>46104</v>
      </c>
      <c r="AB219" s="10">
        <v>46132</v>
      </c>
      <c r="AC219" s="10">
        <v>46187</v>
      </c>
      <c r="AD219" s="31">
        <f t="shared" ca="1" si="78"/>
        <v>31</v>
      </c>
      <c r="AE219" s="55">
        <v>1</v>
      </c>
      <c r="AF219" s="63" t="s">
        <v>155</v>
      </c>
      <c r="AG219" s="10" t="s">
        <v>78</v>
      </c>
      <c r="AI219" s="9" t="s">
        <v>53</v>
      </c>
      <c r="AJ219" s="10">
        <v>46140</v>
      </c>
      <c r="AK219" s="10">
        <v>46177</v>
      </c>
      <c r="AL219" t="s">
        <v>2065</v>
      </c>
      <c r="AM219" s="27" t="str">
        <f t="shared" si="79"/>
        <v>Atrasado</v>
      </c>
      <c r="AN219" s="27" t="str">
        <f t="shared" ca="1" si="88"/>
        <v>Atrasado</v>
      </c>
      <c r="AO219" s="27" t="str">
        <f t="shared" ca="1" si="84"/>
        <v>Ag. embarque</v>
      </c>
      <c r="AP219" t="s">
        <v>1094</v>
      </c>
    </row>
    <row r="220" spans="1:43" hidden="1">
      <c r="A220">
        <v>511676</v>
      </c>
      <c r="B220" s="34">
        <v>1</v>
      </c>
      <c r="C220" t="s">
        <v>25</v>
      </c>
      <c r="D220" t="s">
        <v>662</v>
      </c>
      <c r="E220" s="23" t="s">
        <v>2188</v>
      </c>
      <c r="F220" s="24">
        <v>1</v>
      </c>
      <c r="G220" s="25">
        <v>6467.1</v>
      </c>
      <c r="H220" s="25">
        <f t="shared" si="89"/>
        <v>6467.1</v>
      </c>
      <c r="I220" s="26">
        <v>46293</v>
      </c>
      <c r="J220" s="10">
        <v>46078</v>
      </c>
      <c r="K220" s="10">
        <v>46079</v>
      </c>
      <c r="L220" s="27" t="str">
        <f t="shared" si="87"/>
        <v>On time</v>
      </c>
      <c r="M220" s="58">
        <v>46084</v>
      </c>
      <c r="N220" s="27" t="str">
        <f t="shared" si="86"/>
        <v>On time</v>
      </c>
      <c r="O220" s="27">
        <f t="shared" si="65"/>
        <v>6</v>
      </c>
      <c r="P220" s="28" t="str">
        <f t="shared" si="85"/>
        <v>On time</v>
      </c>
      <c r="Q220" s="27">
        <f t="shared" si="66"/>
        <v>215</v>
      </c>
      <c r="R220" s="29" t="s">
        <v>584</v>
      </c>
      <c r="S220" t="s">
        <v>29</v>
      </c>
      <c r="T220" s="35">
        <v>1</v>
      </c>
      <c r="U220" t="s">
        <v>609</v>
      </c>
      <c r="V220" s="27">
        <v>1</v>
      </c>
      <c r="W220" s="9">
        <v>535</v>
      </c>
      <c r="X220" s="9">
        <f t="shared" si="90"/>
        <v>535</v>
      </c>
      <c r="Z220" s="10">
        <v>46091</v>
      </c>
      <c r="AA220" s="10">
        <v>46111</v>
      </c>
      <c r="AB220" s="10">
        <v>46130</v>
      </c>
      <c r="AC220" s="10">
        <v>46181</v>
      </c>
      <c r="AD220" s="31">
        <f t="shared" ca="1" si="78"/>
        <v>24</v>
      </c>
      <c r="AE220" s="55">
        <v>1</v>
      </c>
      <c r="AF220" s="63" t="s">
        <v>155</v>
      </c>
      <c r="AG220" s="10" t="s">
        <v>78</v>
      </c>
      <c r="AI220" s="9" t="s">
        <v>53</v>
      </c>
      <c r="AJ220" s="10">
        <v>46139</v>
      </c>
      <c r="AK220" s="10">
        <v>46177</v>
      </c>
      <c r="AL220" t="s">
        <v>2066</v>
      </c>
      <c r="AM220" s="27" t="str">
        <f t="shared" si="79"/>
        <v>Atrasado</v>
      </c>
      <c r="AN220" s="27" t="str">
        <f t="shared" ca="1" si="88"/>
        <v>No prazo</v>
      </c>
      <c r="AO220" s="27" t="str">
        <f t="shared" ca="1" si="84"/>
        <v>Ag. embarque</v>
      </c>
    </row>
    <row r="221" spans="1:43" hidden="1">
      <c r="A221">
        <v>513045</v>
      </c>
      <c r="B221" s="34" t="s">
        <v>145</v>
      </c>
      <c r="C221" t="s">
        <v>25</v>
      </c>
      <c r="D221" t="s">
        <v>742</v>
      </c>
      <c r="E221" s="23" t="s">
        <v>743</v>
      </c>
      <c r="F221" s="24">
        <v>4</v>
      </c>
      <c r="G221" s="25">
        <v>20239.36</v>
      </c>
      <c r="H221" s="25">
        <f t="shared" si="89"/>
        <v>80957.440000000002</v>
      </c>
      <c r="I221" s="26">
        <v>46279</v>
      </c>
      <c r="J221" s="10">
        <v>46098</v>
      </c>
      <c r="K221" s="10">
        <v>46098</v>
      </c>
      <c r="L221" s="27" t="str">
        <f t="shared" si="87"/>
        <v>On time</v>
      </c>
      <c r="M221" s="58">
        <v>46104</v>
      </c>
      <c r="N221" s="27" t="str">
        <f t="shared" si="86"/>
        <v>On time</v>
      </c>
      <c r="O221" s="27">
        <f t="shared" si="65"/>
        <v>6</v>
      </c>
      <c r="P221" s="28" t="str">
        <f t="shared" si="85"/>
        <v>On time</v>
      </c>
      <c r="Q221" s="27">
        <f t="shared" si="66"/>
        <v>181</v>
      </c>
      <c r="R221" s="29" t="s">
        <v>584</v>
      </c>
      <c r="S221" t="s">
        <v>29</v>
      </c>
      <c r="T221" s="35">
        <v>2</v>
      </c>
      <c r="U221" t="s">
        <v>741</v>
      </c>
      <c r="V221" s="27">
        <v>4</v>
      </c>
      <c r="W221" s="9">
        <v>1700</v>
      </c>
      <c r="X221" s="9">
        <f t="shared" si="90"/>
        <v>6800</v>
      </c>
      <c r="Z221" s="10">
        <v>46104</v>
      </c>
      <c r="AA221" s="10">
        <v>46111</v>
      </c>
      <c r="AB221" s="10">
        <v>46130</v>
      </c>
      <c r="AC221" s="10">
        <v>46181</v>
      </c>
      <c r="AD221" s="31">
        <f t="shared" ca="1" si="78"/>
        <v>24</v>
      </c>
      <c r="AE221" s="55">
        <v>1</v>
      </c>
      <c r="AF221" s="63" t="s">
        <v>155</v>
      </c>
      <c r="AG221" s="10" t="s">
        <v>78</v>
      </c>
      <c r="AI221" s="9" t="s">
        <v>53</v>
      </c>
      <c r="AJ221" s="10">
        <v>46139</v>
      </c>
      <c r="AK221" s="10">
        <v>46177</v>
      </c>
      <c r="AL221" t="s">
        <v>2066</v>
      </c>
      <c r="AM221" s="27" t="str">
        <f t="shared" si="79"/>
        <v>Atrasado</v>
      </c>
      <c r="AN221" s="27" t="str">
        <f t="shared" ca="1" si="88"/>
        <v>No prazo</v>
      </c>
      <c r="AO221" s="27" t="str">
        <f t="shared" ca="1" si="84"/>
        <v>Ag. embarque</v>
      </c>
    </row>
    <row r="222" spans="1:43" hidden="1">
      <c r="A222">
        <v>513041</v>
      </c>
      <c r="B222" s="34">
        <v>1</v>
      </c>
      <c r="C222" t="s">
        <v>25</v>
      </c>
      <c r="D222" t="s">
        <v>136</v>
      </c>
      <c r="E222" s="23" t="s">
        <v>779</v>
      </c>
      <c r="F222" s="24">
        <v>6</v>
      </c>
      <c r="G222" s="25">
        <v>1876.87</v>
      </c>
      <c r="H222" s="25">
        <f t="shared" si="89"/>
        <v>11261.22</v>
      </c>
      <c r="I222" s="26">
        <v>46335</v>
      </c>
      <c r="J222" s="10">
        <v>46094</v>
      </c>
      <c r="K222" s="10">
        <v>46097</v>
      </c>
      <c r="L222" s="27" t="str">
        <f t="shared" si="87"/>
        <v>On time</v>
      </c>
      <c r="M222" s="58">
        <v>46104</v>
      </c>
      <c r="N222" s="27" t="str">
        <f t="shared" si="86"/>
        <v>Atrasado</v>
      </c>
      <c r="O222" s="27">
        <f t="shared" si="65"/>
        <v>10</v>
      </c>
      <c r="P222" s="28" t="str">
        <f t="shared" si="85"/>
        <v>On time</v>
      </c>
      <c r="Q222" s="27">
        <f t="shared" si="66"/>
        <v>241</v>
      </c>
      <c r="R222" s="29" t="s">
        <v>584</v>
      </c>
      <c r="S222" t="s">
        <v>29</v>
      </c>
      <c r="T222" s="35">
        <v>3</v>
      </c>
      <c r="U222" t="s">
        <v>136</v>
      </c>
      <c r="V222" s="27">
        <v>6</v>
      </c>
      <c r="W222" s="9">
        <v>75.36</v>
      </c>
      <c r="X222" s="9">
        <f t="shared" si="90"/>
        <v>452.15999999999997</v>
      </c>
      <c r="Z222" s="10">
        <v>46104</v>
      </c>
      <c r="AA222" s="10">
        <v>46111</v>
      </c>
      <c r="AB222" s="10">
        <v>46130</v>
      </c>
      <c r="AC222" s="10">
        <v>46181</v>
      </c>
      <c r="AD222" s="31">
        <f t="shared" ca="1" si="78"/>
        <v>24</v>
      </c>
      <c r="AE222" s="55">
        <v>1</v>
      </c>
      <c r="AF222" s="63" t="s">
        <v>155</v>
      </c>
      <c r="AG222" s="10" t="s">
        <v>78</v>
      </c>
      <c r="AI222" s="9" t="s">
        <v>53</v>
      </c>
      <c r="AJ222" s="10">
        <v>46139</v>
      </c>
      <c r="AK222" s="10">
        <v>46177</v>
      </c>
      <c r="AL222" t="s">
        <v>2066</v>
      </c>
      <c r="AM222" s="27" t="str">
        <f t="shared" si="79"/>
        <v>Atrasado</v>
      </c>
      <c r="AN222" s="27" t="str">
        <f t="shared" ca="1" si="88"/>
        <v>No prazo</v>
      </c>
      <c r="AO222" s="27" t="str">
        <f t="shared" ca="1" si="84"/>
        <v>Ag. embarque</v>
      </c>
    </row>
    <row r="223" spans="1:43" hidden="1">
      <c r="A223">
        <v>511358</v>
      </c>
      <c r="B223" s="34">
        <v>4</v>
      </c>
      <c r="C223" t="s">
        <v>25</v>
      </c>
      <c r="D223" t="s">
        <v>613</v>
      </c>
      <c r="E223" s="23" t="s">
        <v>1309</v>
      </c>
      <c r="F223" s="24">
        <v>2</v>
      </c>
      <c r="G223" s="25">
        <v>19.579999999999998</v>
      </c>
      <c r="H223" s="25">
        <f t="shared" si="89"/>
        <v>39.159999999999997</v>
      </c>
      <c r="I223" s="26">
        <v>46226</v>
      </c>
      <c r="J223" s="10">
        <v>46073</v>
      </c>
      <c r="K223" s="10">
        <v>46073</v>
      </c>
      <c r="L223" s="27" t="str">
        <f t="shared" si="87"/>
        <v>On time</v>
      </c>
      <c r="M223" s="58">
        <v>46093</v>
      </c>
      <c r="N223" s="27" t="str">
        <f t="shared" si="86"/>
        <v>Atrasado</v>
      </c>
      <c r="O223" s="27">
        <f t="shared" si="65"/>
        <v>20</v>
      </c>
      <c r="P223" s="28" t="str">
        <f t="shared" si="85"/>
        <v>On time</v>
      </c>
      <c r="Q223" s="27">
        <f t="shared" si="66"/>
        <v>153</v>
      </c>
      <c r="R223" s="29" t="s">
        <v>585</v>
      </c>
      <c r="S223" t="s">
        <v>65</v>
      </c>
      <c r="T223" s="35">
        <v>1</v>
      </c>
      <c r="U223" t="s">
        <v>613</v>
      </c>
      <c r="V223" s="27">
        <v>2</v>
      </c>
      <c r="W223" s="9">
        <v>1.25</v>
      </c>
      <c r="X223" s="9">
        <f t="shared" si="90"/>
        <v>2.5</v>
      </c>
      <c r="Z223" s="10">
        <v>46094</v>
      </c>
      <c r="AA223" s="10">
        <v>46097</v>
      </c>
      <c r="AB223" s="10">
        <v>46106</v>
      </c>
      <c r="AC223" s="10">
        <v>46119</v>
      </c>
      <c r="AD223" s="31">
        <f t="shared" ca="1" si="78"/>
        <v>38</v>
      </c>
      <c r="AE223" s="55">
        <v>1</v>
      </c>
      <c r="AF223" s="63" t="s">
        <v>155</v>
      </c>
      <c r="AG223" s="10" t="s">
        <v>78</v>
      </c>
      <c r="AH223" s="9" t="s">
        <v>78</v>
      </c>
      <c r="AI223" s="9" t="s">
        <v>57</v>
      </c>
      <c r="AJ223" s="10">
        <v>46114</v>
      </c>
      <c r="AK223" s="10">
        <v>46119</v>
      </c>
      <c r="AL223" t="s">
        <v>903</v>
      </c>
      <c r="AM223" s="27" t="str">
        <f>IF(AB223=0," ",IF(AB223&lt;=AA223+10,"On time","Atrasado"))</f>
        <v>On time</v>
      </c>
      <c r="AN223" s="27" t="str">
        <f t="shared" ca="1" si="88"/>
        <v>Chegou</v>
      </c>
      <c r="AO223" s="27" t="str">
        <f t="shared" ca="1" si="84"/>
        <v>Chegou HCI</v>
      </c>
      <c r="AP223" t="s">
        <v>56</v>
      </c>
      <c r="AQ223" t="s">
        <v>904</v>
      </c>
    </row>
    <row r="224" spans="1:43" hidden="1">
      <c r="A224">
        <v>511124</v>
      </c>
      <c r="B224" s="34">
        <v>1</v>
      </c>
      <c r="C224" t="s">
        <v>666</v>
      </c>
      <c r="D224" t="s">
        <v>610</v>
      </c>
      <c r="E224" s="23" t="s">
        <v>667</v>
      </c>
      <c r="F224" s="24">
        <v>2</v>
      </c>
      <c r="G224" s="25">
        <v>105.87</v>
      </c>
      <c r="H224" s="25">
        <f t="shared" si="89"/>
        <v>211.74</v>
      </c>
      <c r="I224" s="26">
        <v>46216</v>
      </c>
      <c r="J224" s="10">
        <v>46066</v>
      </c>
      <c r="K224" s="10">
        <v>46071</v>
      </c>
      <c r="L224" s="27" t="str">
        <f t="shared" si="87"/>
        <v>On time</v>
      </c>
      <c r="M224" s="58">
        <v>46093</v>
      </c>
      <c r="N224" s="27" t="str">
        <f t="shared" si="86"/>
        <v>Atrasado</v>
      </c>
      <c r="O224" s="27">
        <f t="shared" si="65"/>
        <v>27</v>
      </c>
      <c r="P224" s="28" t="str">
        <f t="shared" si="85"/>
        <v>On time</v>
      </c>
      <c r="Q224" s="27">
        <f t="shared" si="66"/>
        <v>150</v>
      </c>
      <c r="R224" s="29" t="s">
        <v>585</v>
      </c>
      <c r="S224" t="s">
        <v>65</v>
      </c>
      <c r="T224" s="35">
        <v>2</v>
      </c>
      <c r="U224" t="s">
        <v>610</v>
      </c>
      <c r="V224" s="27">
        <v>2</v>
      </c>
      <c r="W224" s="9">
        <v>2.9</v>
      </c>
      <c r="X224" s="9">
        <f t="shared" si="90"/>
        <v>5.8</v>
      </c>
      <c r="Z224" s="10">
        <v>46094</v>
      </c>
      <c r="AA224" s="10">
        <v>46097</v>
      </c>
      <c r="AB224" s="10">
        <v>46106</v>
      </c>
      <c r="AC224" s="10">
        <v>46119</v>
      </c>
      <c r="AD224" s="31">
        <f t="shared" ca="1" si="78"/>
        <v>38</v>
      </c>
      <c r="AE224" s="55">
        <v>1</v>
      </c>
      <c r="AF224" s="63" t="s">
        <v>155</v>
      </c>
      <c r="AG224" s="10" t="s">
        <v>78</v>
      </c>
      <c r="AH224" s="9" t="s">
        <v>78</v>
      </c>
      <c r="AI224" s="9" t="s">
        <v>57</v>
      </c>
      <c r="AJ224" s="10">
        <v>46114</v>
      </c>
      <c r="AK224" s="10">
        <v>46119</v>
      </c>
      <c r="AL224" t="s">
        <v>903</v>
      </c>
      <c r="AM224" s="27" t="str">
        <f t="shared" ref="AM224:AM324" si="91">IF(AB224=0," ",IF(AB224&lt;=AA224+10,"On time","Atrasado"))</f>
        <v>On time</v>
      </c>
      <c r="AN224" s="27" t="str">
        <f t="shared" ca="1" si="88"/>
        <v>Chegou</v>
      </c>
      <c r="AO224" s="27" t="str">
        <f t="shared" ca="1" si="84"/>
        <v>Chegou HCI</v>
      </c>
      <c r="AP224" t="s">
        <v>56</v>
      </c>
      <c r="AQ224" t="s">
        <v>904</v>
      </c>
    </row>
    <row r="225" spans="1:43" hidden="1">
      <c r="A225">
        <v>509403</v>
      </c>
      <c r="B225" s="34">
        <v>41</v>
      </c>
      <c r="C225" t="s">
        <v>25</v>
      </c>
      <c r="D225" t="s">
        <v>611</v>
      </c>
      <c r="E225" s="23" t="s">
        <v>668</v>
      </c>
      <c r="F225" s="24">
        <v>1</v>
      </c>
      <c r="G225" s="25">
        <v>60.25</v>
      </c>
      <c r="H225" s="25">
        <f t="shared" si="89"/>
        <v>60.25</v>
      </c>
      <c r="I225" s="26">
        <v>46134</v>
      </c>
      <c r="J225" s="10">
        <v>46042</v>
      </c>
      <c r="K225" s="10">
        <v>46043</v>
      </c>
      <c r="L225" s="27" t="str">
        <f t="shared" si="87"/>
        <v>On time</v>
      </c>
      <c r="M225" s="58">
        <v>46093</v>
      </c>
      <c r="N225" s="27" t="str">
        <f t="shared" si="86"/>
        <v>Atrasado</v>
      </c>
      <c r="O225" s="27">
        <f t="shared" si="65"/>
        <v>51</v>
      </c>
      <c r="P225" s="28" t="str">
        <f t="shared" si="85"/>
        <v>On time</v>
      </c>
      <c r="Q225" s="27">
        <f t="shared" si="66"/>
        <v>92</v>
      </c>
      <c r="R225" s="29" t="s">
        <v>585</v>
      </c>
      <c r="S225" t="s">
        <v>65</v>
      </c>
      <c r="T225" s="35">
        <v>3</v>
      </c>
      <c r="U225" t="s">
        <v>611</v>
      </c>
      <c r="V225" s="27">
        <v>1</v>
      </c>
      <c r="W225" s="9">
        <v>3.14</v>
      </c>
      <c r="X225" s="9">
        <f t="shared" si="90"/>
        <v>3.14</v>
      </c>
      <c r="Z225" s="10">
        <v>46094</v>
      </c>
      <c r="AA225" s="10">
        <v>46097</v>
      </c>
      <c r="AB225" s="10">
        <v>46106</v>
      </c>
      <c r="AC225" s="10">
        <v>46119</v>
      </c>
      <c r="AD225" s="31">
        <f t="shared" ca="1" si="78"/>
        <v>38</v>
      </c>
      <c r="AE225" s="55">
        <v>1</v>
      </c>
      <c r="AF225" s="63" t="s">
        <v>155</v>
      </c>
      <c r="AG225" s="10" t="s">
        <v>78</v>
      </c>
      <c r="AH225" s="9" t="s">
        <v>78</v>
      </c>
      <c r="AI225" s="9" t="s">
        <v>57</v>
      </c>
      <c r="AJ225" s="10">
        <v>46114</v>
      </c>
      <c r="AK225" s="10">
        <v>46119</v>
      </c>
      <c r="AL225" t="s">
        <v>903</v>
      </c>
      <c r="AM225" s="27" t="str">
        <f t="shared" si="91"/>
        <v>On time</v>
      </c>
      <c r="AN225" s="27" t="str">
        <f t="shared" ca="1" si="88"/>
        <v>Chegou</v>
      </c>
      <c r="AO225" s="27" t="str">
        <f t="shared" ca="1" si="84"/>
        <v>Chegou HCI</v>
      </c>
      <c r="AP225" t="s">
        <v>56</v>
      </c>
      <c r="AQ225" t="s">
        <v>904</v>
      </c>
    </row>
    <row r="226" spans="1:43" hidden="1">
      <c r="A226">
        <v>509403</v>
      </c>
      <c r="B226" s="34">
        <v>46</v>
      </c>
      <c r="C226" t="s">
        <v>25</v>
      </c>
      <c r="D226" t="s">
        <v>612</v>
      </c>
      <c r="E226" s="23" t="s">
        <v>669</v>
      </c>
      <c r="F226" s="24">
        <v>2</v>
      </c>
      <c r="G226" s="25">
        <v>220.09</v>
      </c>
      <c r="H226" s="25">
        <f t="shared" si="89"/>
        <v>440.18</v>
      </c>
      <c r="I226" s="26">
        <v>46134</v>
      </c>
      <c r="J226" s="10">
        <v>46042</v>
      </c>
      <c r="K226" s="10">
        <v>46043</v>
      </c>
      <c r="L226" s="27" t="str">
        <f t="shared" si="87"/>
        <v>On time</v>
      </c>
      <c r="M226" s="58">
        <v>46093</v>
      </c>
      <c r="N226" s="27" t="str">
        <f t="shared" si="86"/>
        <v>Atrasado</v>
      </c>
      <c r="O226" s="27">
        <f t="shared" si="65"/>
        <v>51</v>
      </c>
      <c r="P226" s="28" t="str">
        <f t="shared" si="85"/>
        <v>On time</v>
      </c>
      <c r="Q226" s="27">
        <f t="shared" si="66"/>
        <v>92</v>
      </c>
      <c r="R226" s="29" t="s">
        <v>585</v>
      </c>
      <c r="S226" t="s">
        <v>65</v>
      </c>
      <c r="T226" s="35">
        <v>4</v>
      </c>
      <c r="U226" t="s">
        <v>612</v>
      </c>
      <c r="V226" s="27">
        <v>1</v>
      </c>
      <c r="W226" s="9">
        <v>10.55</v>
      </c>
      <c r="X226" s="9">
        <f t="shared" si="90"/>
        <v>10.55</v>
      </c>
      <c r="Z226" s="10">
        <v>46094</v>
      </c>
      <c r="AA226" s="10">
        <v>46097</v>
      </c>
      <c r="AB226" s="10">
        <v>46106</v>
      </c>
      <c r="AC226" s="10">
        <v>46119</v>
      </c>
      <c r="AD226" s="31">
        <f t="shared" ca="1" si="78"/>
        <v>38</v>
      </c>
      <c r="AE226" s="55">
        <v>1</v>
      </c>
      <c r="AF226" s="63" t="s">
        <v>155</v>
      </c>
      <c r="AG226" s="10" t="s">
        <v>78</v>
      </c>
      <c r="AH226" s="9" t="s">
        <v>78</v>
      </c>
      <c r="AI226" s="9" t="s">
        <v>57</v>
      </c>
      <c r="AJ226" s="10">
        <v>46114</v>
      </c>
      <c r="AK226" s="10">
        <v>46119</v>
      </c>
      <c r="AL226" t="s">
        <v>903</v>
      </c>
      <c r="AM226" s="27" t="str">
        <f t="shared" si="91"/>
        <v>On time</v>
      </c>
      <c r="AN226" s="27" t="str">
        <f t="shared" ca="1" si="88"/>
        <v>Chegou</v>
      </c>
      <c r="AO226" s="27" t="str">
        <f t="shared" ca="1" si="84"/>
        <v>Chegou HCI</v>
      </c>
      <c r="AP226" t="s">
        <v>56</v>
      </c>
      <c r="AQ226" t="s">
        <v>904</v>
      </c>
    </row>
    <row r="227" spans="1:43" hidden="1">
      <c r="B227" s="34"/>
      <c r="D227" t="s">
        <v>614</v>
      </c>
      <c r="E227" s="23" t="s">
        <v>1344</v>
      </c>
      <c r="F227" s="24"/>
      <c r="I227" s="26"/>
      <c r="J227" s="10"/>
      <c r="K227" s="10"/>
      <c r="L227" s="27" t="str">
        <f t="shared" si="87"/>
        <v xml:space="preserve"> </v>
      </c>
      <c r="M227" s="58"/>
      <c r="N227" s="27" t="str">
        <f t="shared" si="86"/>
        <v xml:space="preserve"> </v>
      </c>
      <c r="O227" s="27">
        <f t="shared" si="65"/>
        <v>0</v>
      </c>
      <c r="P227" s="28" t="str">
        <f t="shared" si="85"/>
        <v>On time</v>
      </c>
      <c r="Q227" s="27">
        <f t="shared" si="66"/>
        <v>0</v>
      </c>
      <c r="R227" s="29" t="s">
        <v>581</v>
      </c>
      <c r="S227" t="s">
        <v>65</v>
      </c>
      <c r="T227" s="57">
        <v>1</v>
      </c>
      <c r="U227" s="63" t="s">
        <v>614</v>
      </c>
      <c r="V227" s="27">
        <v>100</v>
      </c>
      <c r="W227" s="68">
        <v>3.54</v>
      </c>
      <c r="X227" s="68">
        <f t="shared" ref="X227:X232" si="92">W227*V227</f>
        <v>354</v>
      </c>
      <c r="Y227" s="69">
        <v>0.53</v>
      </c>
      <c r="Z227" s="10">
        <v>46094</v>
      </c>
      <c r="AA227" s="10">
        <v>46114</v>
      </c>
      <c r="AB227" s="10">
        <v>46122</v>
      </c>
      <c r="AC227" s="10">
        <v>46189</v>
      </c>
      <c r="AD227" s="31">
        <f t="shared" ca="1" si="78"/>
        <v>21</v>
      </c>
      <c r="AE227" s="55">
        <v>1</v>
      </c>
      <c r="AF227" s="63" t="s">
        <v>62</v>
      </c>
      <c r="AG227" s="10" t="s">
        <v>78</v>
      </c>
      <c r="AH227" s="10" t="s">
        <v>78</v>
      </c>
      <c r="AI227" s="9" t="s">
        <v>53</v>
      </c>
      <c r="AJ227" s="10">
        <v>46133</v>
      </c>
      <c r="AK227" s="10">
        <v>46174</v>
      </c>
      <c r="AL227" t="s">
        <v>1339</v>
      </c>
      <c r="AM227" s="27" t="str">
        <f t="shared" si="91"/>
        <v>On time</v>
      </c>
      <c r="AN227" s="27" t="str">
        <f t="shared" ca="1" si="88"/>
        <v>Estoque</v>
      </c>
      <c r="AO227" s="27" t="str">
        <f t="shared" ca="1" si="84"/>
        <v>Embarcado</v>
      </c>
    </row>
    <row r="228" spans="1:43" hidden="1">
      <c r="A228">
        <v>512171</v>
      </c>
      <c r="B228" s="60" t="s">
        <v>676</v>
      </c>
      <c r="C228" t="s">
        <v>25</v>
      </c>
      <c r="D228" t="s">
        <v>615</v>
      </c>
      <c r="E228" s="23" t="s">
        <v>670</v>
      </c>
      <c r="F228" s="24">
        <v>90</v>
      </c>
      <c r="G228" s="25">
        <v>15.9</v>
      </c>
      <c r="H228" s="25">
        <f t="shared" si="89"/>
        <v>1431</v>
      </c>
      <c r="I228" s="26">
        <v>46237</v>
      </c>
      <c r="J228" s="10">
        <v>46084</v>
      </c>
      <c r="K228" s="10">
        <v>46085</v>
      </c>
      <c r="L228" s="27" t="str">
        <f t="shared" si="87"/>
        <v>On time</v>
      </c>
      <c r="M228" s="58">
        <v>46090</v>
      </c>
      <c r="N228" s="27" t="str">
        <f t="shared" si="86"/>
        <v>On time</v>
      </c>
      <c r="O228" s="27">
        <f t="shared" si="65"/>
        <v>6</v>
      </c>
      <c r="P228" s="28" t="str">
        <f t="shared" si="85"/>
        <v>On time</v>
      </c>
      <c r="Q228" s="27">
        <f t="shared" si="66"/>
        <v>153</v>
      </c>
      <c r="R228" s="29" t="s">
        <v>581</v>
      </c>
      <c r="S228" t="s">
        <v>65</v>
      </c>
      <c r="T228" s="57">
        <v>2</v>
      </c>
      <c r="U228" s="67" t="s">
        <v>615</v>
      </c>
      <c r="V228" s="27">
        <v>90</v>
      </c>
      <c r="W228" s="68">
        <v>0.72</v>
      </c>
      <c r="X228" s="68">
        <f t="shared" si="92"/>
        <v>64.8</v>
      </c>
      <c r="Y228" s="69">
        <v>7.0000000000000007E-2</v>
      </c>
      <c r="Z228" s="10">
        <v>46094</v>
      </c>
      <c r="AA228" s="10">
        <v>46114</v>
      </c>
      <c r="AB228" s="10">
        <v>46132</v>
      </c>
      <c r="AC228" s="10">
        <v>46186</v>
      </c>
      <c r="AD228" s="31">
        <f t="shared" ref="AD228:AD235" ca="1" si="93">TODAY()-AA228</f>
        <v>21</v>
      </c>
      <c r="AE228" s="55">
        <v>1</v>
      </c>
      <c r="AF228" s="63" t="s">
        <v>62</v>
      </c>
      <c r="AG228" s="10" t="s">
        <v>78</v>
      </c>
      <c r="AH228" s="10" t="s">
        <v>78</v>
      </c>
      <c r="AI228" s="9" t="s">
        <v>53</v>
      </c>
      <c r="AJ228" s="10">
        <v>46133</v>
      </c>
      <c r="AK228" s="10">
        <v>46174</v>
      </c>
      <c r="AL228" t="s">
        <v>1339</v>
      </c>
      <c r="AM228" s="27" t="str">
        <f t="shared" si="91"/>
        <v>Atrasado</v>
      </c>
      <c r="AN228" s="27" t="str">
        <f t="shared" ca="1" si="88"/>
        <v>No prazo</v>
      </c>
      <c r="AO228" s="27" t="str">
        <f t="shared" ca="1" si="84"/>
        <v>Embarcado</v>
      </c>
    </row>
    <row r="229" spans="1:43" hidden="1">
      <c r="A229">
        <v>512171</v>
      </c>
      <c r="B229" s="34" t="s">
        <v>677</v>
      </c>
      <c r="C229" t="s">
        <v>25</v>
      </c>
      <c r="D229" t="s">
        <v>616</v>
      </c>
      <c r="E229" s="23" t="s">
        <v>671</v>
      </c>
      <c r="F229" s="24">
        <v>60</v>
      </c>
      <c r="G229" s="25">
        <v>188.87</v>
      </c>
      <c r="H229" s="25">
        <f t="shared" si="89"/>
        <v>11332.2</v>
      </c>
      <c r="I229" s="26">
        <v>46237</v>
      </c>
      <c r="J229" s="10">
        <v>46084</v>
      </c>
      <c r="K229" s="10">
        <v>46085</v>
      </c>
      <c r="L229" s="27" t="str">
        <f t="shared" si="87"/>
        <v>On time</v>
      </c>
      <c r="M229" s="58">
        <v>46090</v>
      </c>
      <c r="N229" s="27" t="str">
        <f t="shared" si="86"/>
        <v>On time</v>
      </c>
      <c r="O229" s="27">
        <f t="shared" si="65"/>
        <v>6</v>
      </c>
      <c r="P229" s="28" t="str">
        <f t="shared" si="85"/>
        <v>On time</v>
      </c>
      <c r="Q229" s="27">
        <f t="shared" si="66"/>
        <v>153</v>
      </c>
      <c r="R229" s="29" t="s">
        <v>581</v>
      </c>
      <c r="S229" t="s">
        <v>65</v>
      </c>
      <c r="T229" s="57">
        <v>3</v>
      </c>
      <c r="U229" t="s">
        <v>616</v>
      </c>
      <c r="V229" s="27">
        <v>60</v>
      </c>
      <c r="W229" s="68">
        <v>11</v>
      </c>
      <c r="X229" s="68">
        <f t="shared" si="92"/>
        <v>660</v>
      </c>
      <c r="Y229" s="69">
        <v>3.56</v>
      </c>
      <c r="Z229" s="10">
        <v>46094</v>
      </c>
      <c r="AA229" s="10">
        <v>46114</v>
      </c>
      <c r="AB229" s="10">
        <v>46132</v>
      </c>
      <c r="AC229" s="10">
        <v>46186</v>
      </c>
      <c r="AD229" s="31">
        <f t="shared" ca="1" si="93"/>
        <v>21</v>
      </c>
      <c r="AE229" s="55">
        <v>1</v>
      </c>
      <c r="AF229" s="63" t="s">
        <v>62</v>
      </c>
      <c r="AG229" s="10" t="s">
        <v>78</v>
      </c>
      <c r="AH229" s="10" t="s">
        <v>78</v>
      </c>
      <c r="AI229" s="9" t="s">
        <v>53</v>
      </c>
      <c r="AJ229" s="10">
        <v>46133</v>
      </c>
      <c r="AK229" s="10">
        <v>46174</v>
      </c>
      <c r="AL229" t="s">
        <v>1339</v>
      </c>
      <c r="AM229" s="27" t="str">
        <f t="shared" si="91"/>
        <v>Atrasado</v>
      </c>
      <c r="AN229" s="27" t="str">
        <f t="shared" ca="1" si="88"/>
        <v>No prazo</v>
      </c>
      <c r="AO229" s="27" t="str">
        <f t="shared" ca="1" si="84"/>
        <v>Embarcado</v>
      </c>
    </row>
    <row r="230" spans="1:43" hidden="1">
      <c r="A230">
        <v>512171</v>
      </c>
      <c r="B230" s="34" t="s">
        <v>678</v>
      </c>
      <c r="C230" t="s">
        <v>25</v>
      </c>
      <c r="D230" t="s">
        <v>617</v>
      </c>
      <c r="E230" s="23" t="s">
        <v>672</v>
      </c>
      <c r="F230" s="24">
        <v>60</v>
      </c>
      <c r="G230" s="25">
        <v>36.64</v>
      </c>
      <c r="H230" s="25">
        <f t="shared" si="89"/>
        <v>2198.4</v>
      </c>
      <c r="I230" s="26">
        <v>46237</v>
      </c>
      <c r="J230" s="10">
        <v>46084</v>
      </c>
      <c r="K230" s="10">
        <v>46085</v>
      </c>
      <c r="L230" s="27" t="str">
        <f t="shared" si="87"/>
        <v>On time</v>
      </c>
      <c r="M230" s="58">
        <v>46090</v>
      </c>
      <c r="N230" s="27" t="str">
        <f t="shared" si="86"/>
        <v>On time</v>
      </c>
      <c r="O230" s="27">
        <f t="shared" si="65"/>
        <v>6</v>
      </c>
      <c r="P230" s="28" t="str">
        <f t="shared" si="85"/>
        <v>On time</v>
      </c>
      <c r="Q230" s="27">
        <f t="shared" si="66"/>
        <v>153</v>
      </c>
      <c r="R230" s="29" t="s">
        <v>581</v>
      </c>
      <c r="S230" t="s">
        <v>65</v>
      </c>
      <c r="T230" s="57">
        <v>4</v>
      </c>
      <c r="U230" t="s">
        <v>617</v>
      </c>
      <c r="V230" s="27">
        <v>60</v>
      </c>
      <c r="W230" s="68">
        <v>1.9</v>
      </c>
      <c r="X230" s="68">
        <f t="shared" si="92"/>
        <v>114</v>
      </c>
      <c r="Y230" s="69">
        <v>0.53</v>
      </c>
      <c r="Z230" s="10">
        <v>46094</v>
      </c>
      <c r="AA230" s="10">
        <v>46114</v>
      </c>
      <c r="AB230" s="10">
        <v>46132</v>
      </c>
      <c r="AC230" s="10">
        <v>46186</v>
      </c>
      <c r="AD230" s="31">
        <f t="shared" ca="1" si="93"/>
        <v>21</v>
      </c>
      <c r="AE230" s="55">
        <v>1</v>
      </c>
      <c r="AF230" s="63" t="s">
        <v>62</v>
      </c>
      <c r="AG230" s="10" t="s">
        <v>78</v>
      </c>
      <c r="AH230" s="10" t="s">
        <v>78</v>
      </c>
      <c r="AI230" s="9" t="s">
        <v>53</v>
      </c>
      <c r="AJ230" s="10">
        <v>46133</v>
      </c>
      <c r="AK230" s="10">
        <v>46174</v>
      </c>
      <c r="AL230" t="s">
        <v>1339</v>
      </c>
      <c r="AM230" s="27" t="str">
        <f t="shared" si="91"/>
        <v>Atrasado</v>
      </c>
      <c r="AN230" s="27" t="str">
        <f t="shared" ca="1" si="88"/>
        <v>No prazo</v>
      </c>
      <c r="AO230" s="27" t="str">
        <f t="shared" ca="1" si="84"/>
        <v>Embarcado</v>
      </c>
    </row>
    <row r="231" spans="1:43" hidden="1">
      <c r="A231">
        <v>512171</v>
      </c>
      <c r="B231" s="34">
        <v>6</v>
      </c>
      <c r="C231" t="s">
        <v>25</v>
      </c>
      <c r="D231" t="s">
        <v>618</v>
      </c>
      <c r="E231" s="23" t="s">
        <v>673</v>
      </c>
      <c r="F231" s="24">
        <v>13</v>
      </c>
      <c r="G231" s="25">
        <v>174.61</v>
      </c>
      <c r="H231" s="25">
        <f t="shared" si="89"/>
        <v>2269.9300000000003</v>
      </c>
      <c r="I231" s="26">
        <v>46237</v>
      </c>
      <c r="J231" s="10">
        <v>46084</v>
      </c>
      <c r="K231" s="10">
        <v>46085</v>
      </c>
      <c r="L231" s="27" t="str">
        <f t="shared" si="87"/>
        <v>On time</v>
      </c>
      <c r="M231" s="58">
        <v>46090</v>
      </c>
      <c r="N231" s="27" t="str">
        <f t="shared" si="86"/>
        <v>On time</v>
      </c>
      <c r="O231" s="27">
        <f t="shared" si="65"/>
        <v>6</v>
      </c>
      <c r="P231" s="28" t="str">
        <f t="shared" si="85"/>
        <v>On time</v>
      </c>
      <c r="Q231" s="27">
        <f t="shared" si="66"/>
        <v>153</v>
      </c>
      <c r="R231" s="29" t="s">
        <v>581</v>
      </c>
      <c r="S231" t="s">
        <v>65</v>
      </c>
      <c r="T231" s="57">
        <v>5</v>
      </c>
      <c r="U231" s="63" t="s">
        <v>618</v>
      </c>
      <c r="V231" s="27">
        <v>13</v>
      </c>
      <c r="W231" s="68">
        <v>9.6999999999999993</v>
      </c>
      <c r="X231" s="68">
        <f t="shared" si="92"/>
        <v>126.1</v>
      </c>
      <c r="Y231" s="69">
        <v>1.35</v>
      </c>
      <c r="Z231" s="10">
        <v>46094</v>
      </c>
      <c r="AA231" s="10">
        <v>46114</v>
      </c>
      <c r="AB231" s="10">
        <v>46132</v>
      </c>
      <c r="AC231" s="10">
        <v>46186</v>
      </c>
      <c r="AD231" s="31">
        <f t="shared" ca="1" si="93"/>
        <v>21</v>
      </c>
      <c r="AE231" s="55">
        <v>1</v>
      </c>
      <c r="AF231" s="63" t="s">
        <v>62</v>
      </c>
      <c r="AG231" s="10" t="s">
        <v>78</v>
      </c>
      <c r="AH231" s="10" t="s">
        <v>78</v>
      </c>
      <c r="AI231" s="9" t="s">
        <v>53</v>
      </c>
      <c r="AJ231" s="10">
        <v>46133</v>
      </c>
      <c r="AK231" s="10">
        <v>46174</v>
      </c>
      <c r="AL231" t="s">
        <v>1339</v>
      </c>
      <c r="AM231" s="27" t="str">
        <f t="shared" si="91"/>
        <v>Atrasado</v>
      </c>
      <c r="AN231" s="27" t="str">
        <f t="shared" ca="1" si="88"/>
        <v>No prazo</v>
      </c>
      <c r="AO231" s="27" t="str">
        <f t="shared" ca="1" si="84"/>
        <v>Embarcado</v>
      </c>
    </row>
    <row r="232" spans="1:43" hidden="1">
      <c r="A232">
        <v>512171</v>
      </c>
      <c r="B232" s="34">
        <v>20</v>
      </c>
      <c r="C232" t="s">
        <v>25</v>
      </c>
      <c r="D232" t="s">
        <v>619</v>
      </c>
      <c r="E232" s="23" t="s">
        <v>674</v>
      </c>
      <c r="F232" s="24">
        <v>30</v>
      </c>
      <c r="G232" s="25">
        <v>12.12</v>
      </c>
      <c r="H232" s="25">
        <f t="shared" si="89"/>
        <v>363.59999999999997</v>
      </c>
      <c r="I232" s="26">
        <v>46237</v>
      </c>
      <c r="J232" s="10">
        <v>46084</v>
      </c>
      <c r="K232" s="10">
        <v>46085</v>
      </c>
      <c r="L232" s="27" t="str">
        <f t="shared" si="87"/>
        <v>On time</v>
      </c>
      <c r="M232" s="58">
        <v>46090</v>
      </c>
      <c r="N232" s="27" t="str">
        <f t="shared" si="86"/>
        <v>On time</v>
      </c>
      <c r="O232" s="27">
        <f t="shared" si="65"/>
        <v>6</v>
      </c>
      <c r="P232" s="28" t="str">
        <f t="shared" si="85"/>
        <v>On time</v>
      </c>
      <c r="Q232" s="27">
        <f t="shared" si="66"/>
        <v>153</v>
      </c>
      <c r="R232" s="29" t="s">
        <v>581</v>
      </c>
      <c r="S232" t="s">
        <v>65</v>
      </c>
      <c r="T232" s="57">
        <v>6</v>
      </c>
      <c r="U232" s="63" t="s">
        <v>619</v>
      </c>
      <c r="V232" s="27">
        <v>30</v>
      </c>
      <c r="W232" s="68">
        <v>0.45</v>
      </c>
      <c r="X232" s="68">
        <f t="shared" si="92"/>
        <v>13.5</v>
      </c>
      <c r="Y232" s="69">
        <v>0.11</v>
      </c>
      <c r="Z232" s="10">
        <v>46094</v>
      </c>
      <c r="AA232" s="10">
        <v>46114</v>
      </c>
      <c r="AB232" s="10">
        <v>46132</v>
      </c>
      <c r="AC232" s="10">
        <v>46186</v>
      </c>
      <c r="AD232" s="31">
        <f t="shared" ca="1" si="93"/>
        <v>21</v>
      </c>
      <c r="AE232" s="55">
        <v>1</v>
      </c>
      <c r="AF232" s="63" t="s">
        <v>62</v>
      </c>
      <c r="AG232" s="10" t="s">
        <v>78</v>
      </c>
      <c r="AH232" s="10" t="s">
        <v>78</v>
      </c>
      <c r="AI232" s="9" t="s">
        <v>53</v>
      </c>
      <c r="AJ232" s="10">
        <v>46133</v>
      </c>
      <c r="AK232" s="10">
        <v>46174</v>
      </c>
      <c r="AL232" t="s">
        <v>1339</v>
      </c>
      <c r="AM232" s="27" t="str">
        <f t="shared" si="91"/>
        <v>Atrasado</v>
      </c>
      <c r="AN232" s="27" t="str">
        <f t="shared" ca="1" si="88"/>
        <v>No prazo</v>
      </c>
      <c r="AO232" s="27" t="str">
        <f t="shared" ca="1" si="84"/>
        <v>Embarcado</v>
      </c>
    </row>
    <row r="233" spans="1:43" hidden="1">
      <c r="A233">
        <v>512010</v>
      </c>
      <c r="B233" s="34">
        <v>1</v>
      </c>
      <c r="C233" t="s">
        <v>25</v>
      </c>
      <c r="D233" t="s">
        <v>620</v>
      </c>
      <c r="E233" s="23" t="s">
        <v>675</v>
      </c>
      <c r="F233" s="24">
        <v>3</v>
      </c>
      <c r="G233" s="25">
        <v>580.6</v>
      </c>
      <c r="H233" s="25">
        <v>1741.8000000000002</v>
      </c>
      <c r="I233" s="26">
        <v>46234</v>
      </c>
      <c r="J233" s="10">
        <v>46083</v>
      </c>
      <c r="K233" s="10">
        <v>46084</v>
      </c>
      <c r="L233" s="27" t="str">
        <f t="shared" si="87"/>
        <v>On time</v>
      </c>
      <c r="M233" s="27">
        <v>7</v>
      </c>
      <c r="N233" s="27" t="str">
        <f t="shared" si="86"/>
        <v>On time</v>
      </c>
      <c r="O233" s="27">
        <f t="shared" si="65"/>
        <v>-46076</v>
      </c>
      <c r="P233" s="28" t="str">
        <f t="shared" si="85"/>
        <v>On time</v>
      </c>
      <c r="Q233" s="27">
        <f t="shared" si="66"/>
        <v>151</v>
      </c>
      <c r="R233" s="29" t="s">
        <v>581</v>
      </c>
      <c r="S233" t="s">
        <v>65</v>
      </c>
      <c r="T233" s="71">
        <v>7</v>
      </c>
      <c r="U233" s="30" t="s">
        <v>620</v>
      </c>
      <c r="V233" s="79">
        <v>9</v>
      </c>
      <c r="W233" s="70">
        <v>26.47</v>
      </c>
      <c r="X233" s="80">
        <f>W233*V233</f>
        <v>238.23</v>
      </c>
      <c r="Y233" s="96">
        <v>3.18</v>
      </c>
      <c r="Z233" s="10">
        <v>46094</v>
      </c>
      <c r="AA233" s="10">
        <v>46114</v>
      </c>
      <c r="AB233" s="10">
        <v>46132</v>
      </c>
      <c r="AC233" s="10">
        <v>46186</v>
      </c>
      <c r="AD233" s="31">
        <f t="shared" ref="AD233" ca="1" si="94">TODAY()-AA233</f>
        <v>21</v>
      </c>
      <c r="AE233" s="55">
        <v>1</v>
      </c>
      <c r="AF233" s="63" t="s">
        <v>62</v>
      </c>
      <c r="AG233" s="10" t="s">
        <v>78</v>
      </c>
      <c r="AH233" s="10" t="s">
        <v>78</v>
      </c>
      <c r="AI233" s="9" t="s">
        <v>53</v>
      </c>
      <c r="AJ233" s="10">
        <v>46133</v>
      </c>
      <c r="AK233" s="10">
        <v>46174</v>
      </c>
      <c r="AL233" t="s">
        <v>1339</v>
      </c>
      <c r="AM233" s="27" t="str">
        <f t="shared" ref="AM233" si="95">IF(AB233=0," ",IF(AB233&lt;=AA233+10,"On time","Atrasado"))</f>
        <v>Atrasado</v>
      </c>
      <c r="AN233" s="27" t="str">
        <f t="shared" ref="AN233" ca="1" si="96">IF(AND(AC233&lt;&gt;"",AC233&lt;=TODAY()),"Chegou",IF(A233="","Estoque",IF(OR(AC233="",I233=""),"",IF(I233-AC233&lt;=0,"Atrasado",IF(I233-AC233&lt;=9,"Crítico",IF(I233-AC233&lt;=20,"Verificar aéreo",IF(I233-AC233&lt;=25,"Alerta","No prazo")        ))))))</f>
        <v>No prazo</v>
      </c>
      <c r="AO233" s="27" t="str">
        <f t="shared" ca="1" si="84"/>
        <v>Embarcado</v>
      </c>
    </row>
    <row r="234" spans="1:43" hidden="1">
      <c r="A234">
        <v>512766</v>
      </c>
      <c r="B234" s="34">
        <v>1</v>
      </c>
      <c r="C234" t="s">
        <v>25</v>
      </c>
      <c r="D234" t="s">
        <v>620</v>
      </c>
      <c r="E234" s="23" t="s">
        <v>675</v>
      </c>
      <c r="F234" s="24">
        <v>6</v>
      </c>
      <c r="G234" s="25">
        <v>580.6</v>
      </c>
      <c r="H234" s="25">
        <f t="shared" si="89"/>
        <v>3483.6000000000004</v>
      </c>
      <c r="I234" s="26">
        <v>46244</v>
      </c>
      <c r="J234" s="10">
        <v>46092</v>
      </c>
      <c r="K234" s="10">
        <v>46092</v>
      </c>
      <c r="L234" s="27" t="str">
        <f t="shared" si="87"/>
        <v>On time</v>
      </c>
      <c r="M234" s="58">
        <v>46090</v>
      </c>
      <c r="N234" s="27" t="str">
        <f t="shared" si="86"/>
        <v>On time</v>
      </c>
      <c r="O234" s="27">
        <f t="shared" si="65"/>
        <v>-2</v>
      </c>
      <c r="P234" s="28" t="str">
        <f t="shared" si="85"/>
        <v>On time</v>
      </c>
      <c r="Q234" s="27">
        <f t="shared" si="66"/>
        <v>152</v>
      </c>
      <c r="R234" s="29" t="s">
        <v>581</v>
      </c>
      <c r="S234" t="s">
        <v>65</v>
      </c>
      <c r="T234" s="71">
        <v>7</v>
      </c>
      <c r="U234" s="30" t="s">
        <v>620</v>
      </c>
      <c r="V234" s="79">
        <v>9</v>
      </c>
      <c r="W234" s="70">
        <v>26.47</v>
      </c>
      <c r="X234" s="80"/>
      <c r="Y234" s="96"/>
      <c r="Z234" s="10">
        <v>46094</v>
      </c>
      <c r="AA234" s="10">
        <v>46114</v>
      </c>
      <c r="AB234" s="10">
        <v>46132</v>
      </c>
      <c r="AC234" s="10">
        <v>46186</v>
      </c>
      <c r="AD234" s="31">
        <f t="shared" ca="1" si="93"/>
        <v>21</v>
      </c>
      <c r="AE234" s="55">
        <v>1</v>
      </c>
      <c r="AF234" s="63" t="s">
        <v>62</v>
      </c>
      <c r="AG234" s="10" t="s">
        <v>78</v>
      </c>
      <c r="AH234" s="10" t="s">
        <v>78</v>
      </c>
      <c r="AI234" s="9" t="s">
        <v>53</v>
      </c>
      <c r="AJ234" s="10">
        <v>46133</v>
      </c>
      <c r="AK234" s="10">
        <v>46174</v>
      </c>
      <c r="AL234" t="s">
        <v>1339</v>
      </c>
      <c r="AM234" s="27" t="str">
        <f t="shared" si="91"/>
        <v>Atrasado</v>
      </c>
      <c r="AN234" s="27" t="str">
        <f t="shared" ca="1" si="88"/>
        <v>No prazo</v>
      </c>
      <c r="AO234" s="27" t="str">
        <f t="shared" ca="1" si="84"/>
        <v>Embarcado</v>
      </c>
    </row>
    <row r="235" spans="1:43" hidden="1">
      <c r="A235">
        <v>512541</v>
      </c>
      <c r="B235" s="34">
        <v>1</v>
      </c>
      <c r="C235" t="s">
        <v>25</v>
      </c>
      <c r="D235" t="s">
        <v>697</v>
      </c>
      <c r="E235" s="23" t="s">
        <v>698</v>
      </c>
      <c r="F235" s="24">
        <v>11</v>
      </c>
      <c r="G235" s="25">
        <v>43.8</v>
      </c>
      <c r="H235" s="25">
        <v>481.79999999999995</v>
      </c>
      <c r="I235" s="26">
        <v>46244</v>
      </c>
      <c r="J235" s="10">
        <v>46090</v>
      </c>
      <c r="K235" s="10">
        <v>46091</v>
      </c>
      <c r="L235" s="27" t="str">
        <f t="shared" si="87"/>
        <v>On time</v>
      </c>
      <c r="M235" s="27">
        <v>7</v>
      </c>
      <c r="N235" s="27" t="str">
        <f t="shared" si="86"/>
        <v>On time</v>
      </c>
      <c r="O235" s="27">
        <f t="shared" si="65"/>
        <v>-46083</v>
      </c>
      <c r="P235" s="28" t="str">
        <f t="shared" si="85"/>
        <v>On time</v>
      </c>
      <c r="Q235" s="27">
        <f t="shared" si="66"/>
        <v>154</v>
      </c>
      <c r="R235" s="29" t="s">
        <v>687</v>
      </c>
      <c r="S235" t="s">
        <v>65</v>
      </c>
      <c r="T235" s="35">
        <v>1</v>
      </c>
      <c r="U235" t="s">
        <v>688</v>
      </c>
      <c r="V235" s="79">
        <v>50</v>
      </c>
      <c r="W235" s="70">
        <v>2.33</v>
      </c>
      <c r="X235" s="83">
        <f t="shared" ref="X235" si="97">W235*V235</f>
        <v>116.5</v>
      </c>
      <c r="Z235" s="10">
        <v>46101</v>
      </c>
      <c r="AA235" s="10">
        <v>46126</v>
      </c>
      <c r="AB235" s="10">
        <v>46132</v>
      </c>
      <c r="AC235" s="10">
        <v>46197</v>
      </c>
      <c r="AD235" s="31">
        <f t="shared" ca="1" si="93"/>
        <v>9</v>
      </c>
      <c r="AE235" s="55">
        <v>1</v>
      </c>
      <c r="AF235" s="63" t="s">
        <v>2029</v>
      </c>
      <c r="AG235" s="10" t="s">
        <v>78</v>
      </c>
      <c r="AI235" s="9" t="s">
        <v>53</v>
      </c>
      <c r="AL235" t="s">
        <v>2040</v>
      </c>
      <c r="AM235" s="27" t="str">
        <f t="shared" ref="AM235" si="98">IF(AB235=0," ",IF(AB235&lt;=AA235+10,"On time","Atrasado"))</f>
        <v>On time</v>
      </c>
      <c r="AN235" s="27" t="str">
        <f t="shared" ref="AN235" ca="1" si="99">IF(AND(AC235&lt;&gt;"",AC235&lt;=TODAY()),"Chegou",IF(A235="","Estoque",IF(OR(AC235="",I235=""),"",IF(I235-AC235&lt;=0,"Atrasado",IF(I235-AC235&lt;=9,"Crítico",IF(I235-AC235&lt;=20,"Verificar aéreo",IF(I235-AC235&lt;=25,"Alerta","No prazo")        ))))))</f>
        <v>No prazo</v>
      </c>
      <c r="AO235" s="27" t="str">
        <f t="shared" ca="1" si="84"/>
        <v/>
      </c>
    </row>
    <row r="236" spans="1:43" ht="15" hidden="1" customHeight="1">
      <c r="A236">
        <v>513206</v>
      </c>
      <c r="B236" s="34">
        <v>2</v>
      </c>
      <c r="C236" t="s">
        <v>25</v>
      </c>
      <c r="D236" t="s">
        <v>697</v>
      </c>
      <c r="E236" s="23" t="s">
        <v>698</v>
      </c>
      <c r="F236" s="24">
        <v>18</v>
      </c>
      <c r="G236" s="25">
        <v>43.8</v>
      </c>
      <c r="H236" s="25">
        <f t="shared" si="89"/>
        <v>788.4</v>
      </c>
      <c r="I236" s="26">
        <v>46251</v>
      </c>
      <c r="J236" s="10">
        <v>46098</v>
      </c>
      <c r="K236" s="10">
        <v>46099</v>
      </c>
      <c r="L236" s="27" t="str">
        <f t="shared" si="87"/>
        <v>On time</v>
      </c>
      <c r="M236" s="58">
        <v>46097</v>
      </c>
      <c r="N236" s="27" t="str">
        <f t="shared" si="86"/>
        <v>On time</v>
      </c>
      <c r="O236" s="27">
        <f t="shared" si="65"/>
        <v>-1</v>
      </c>
      <c r="P236" s="28" t="str">
        <f t="shared" si="85"/>
        <v>On time</v>
      </c>
      <c r="Q236" s="27">
        <f t="shared" si="66"/>
        <v>153</v>
      </c>
      <c r="R236" s="29" t="s">
        <v>687</v>
      </c>
      <c r="S236" t="s">
        <v>65</v>
      </c>
      <c r="T236" s="35">
        <v>1</v>
      </c>
      <c r="U236" t="s">
        <v>688</v>
      </c>
      <c r="V236" s="79"/>
      <c r="W236" s="70">
        <v>2.33</v>
      </c>
      <c r="X236" s="83"/>
      <c r="Z236" s="10">
        <v>46101</v>
      </c>
      <c r="AA236" s="10">
        <v>46126</v>
      </c>
      <c r="AB236" s="10">
        <v>46132</v>
      </c>
      <c r="AC236" s="10">
        <v>46197</v>
      </c>
      <c r="AD236" s="31">
        <f t="shared" ca="1" si="78"/>
        <v>9</v>
      </c>
      <c r="AE236" s="55">
        <v>1</v>
      </c>
      <c r="AF236" s="63" t="s">
        <v>2029</v>
      </c>
      <c r="AG236" s="10" t="s">
        <v>78</v>
      </c>
      <c r="AI236" s="9" t="s">
        <v>53</v>
      </c>
      <c r="AL236" t="s">
        <v>2040</v>
      </c>
      <c r="AM236" s="27" t="str">
        <f t="shared" si="91"/>
        <v>On time</v>
      </c>
      <c r="AN236" s="27" t="str">
        <f t="shared" ca="1" si="88"/>
        <v>No prazo</v>
      </c>
      <c r="AO236" s="27" t="str">
        <f t="shared" ca="1" si="84"/>
        <v/>
      </c>
    </row>
    <row r="237" spans="1:43" ht="15" hidden="1" customHeight="1">
      <c r="A237">
        <v>512451</v>
      </c>
      <c r="B237" s="34">
        <v>1</v>
      </c>
      <c r="C237" t="s">
        <v>25</v>
      </c>
      <c r="D237" t="s">
        <v>699</v>
      </c>
      <c r="E237" s="23" t="s">
        <v>700</v>
      </c>
      <c r="F237" s="24">
        <v>5</v>
      </c>
      <c r="G237" s="25">
        <v>223.99</v>
      </c>
      <c r="H237" s="25">
        <f t="shared" si="89"/>
        <v>1119.95</v>
      </c>
      <c r="I237" s="26">
        <v>46240</v>
      </c>
      <c r="J237" s="10">
        <v>46087</v>
      </c>
      <c r="K237" s="10">
        <v>46090</v>
      </c>
      <c r="L237" s="27" t="str">
        <f t="shared" si="87"/>
        <v>On time</v>
      </c>
      <c r="M237" s="58">
        <v>46097</v>
      </c>
      <c r="N237" s="27" t="str">
        <f t="shared" si="86"/>
        <v>Atrasado</v>
      </c>
      <c r="O237" s="27">
        <f t="shared" si="65"/>
        <v>10</v>
      </c>
      <c r="P237" s="28" t="str">
        <f t="shared" si="85"/>
        <v>On time</v>
      </c>
      <c r="Q237" s="27">
        <f t="shared" si="66"/>
        <v>153</v>
      </c>
      <c r="R237" s="29" t="s">
        <v>687</v>
      </c>
      <c r="S237" t="s">
        <v>65</v>
      </c>
      <c r="T237" s="35">
        <v>2</v>
      </c>
      <c r="U237" t="s">
        <v>689</v>
      </c>
      <c r="V237" s="27">
        <v>5</v>
      </c>
      <c r="W237" s="9">
        <v>12.95</v>
      </c>
      <c r="X237" s="9">
        <f t="shared" si="90"/>
        <v>64.75</v>
      </c>
      <c r="Z237" s="10">
        <v>46101</v>
      </c>
      <c r="AA237" s="10">
        <v>46126</v>
      </c>
      <c r="AB237" s="10">
        <v>46132</v>
      </c>
      <c r="AC237" s="10">
        <v>46197</v>
      </c>
      <c r="AD237" s="31">
        <f t="shared" ca="1" si="78"/>
        <v>9</v>
      </c>
      <c r="AE237" s="55">
        <v>1</v>
      </c>
      <c r="AF237" s="63" t="s">
        <v>2029</v>
      </c>
      <c r="AG237" s="10" t="s">
        <v>78</v>
      </c>
      <c r="AI237" s="9" t="s">
        <v>53</v>
      </c>
      <c r="AL237" t="s">
        <v>2040</v>
      </c>
      <c r="AM237" s="27" t="str">
        <f t="shared" si="91"/>
        <v>On time</v>
      </c>
      <c r="AN237" s="27" t="str">
        <f t="shared" ca="1" si="88"/>
        <v>No prazo</v>
      </c>
      <c r="AO237" s="27" t="str">
        <f t="shared" ca="1" si="84"/>
        <v/>
      </c>
    </row>
    <row r="238" spans="1:43" ht="15" hidden="1" customHeight="1">
      <c r="A238">
        <v>512448</v>
      </c>
      <c r="B238" s="34" t="s">
        <v>696</v>
      </c>
      <c r="C238" t="s">
        <v>25</v>
      </c>
      <c r="D238" t="s">
        <v>701</v>
      </c>
      <c r="E238" s="23" t="s">
        <v>702</v>
      </c>
      <c r="F238" s="24">
        <v>30</v>
      </c>
      <c r="G238" s="25">
        <v>10.3</v>
      </c>
      <c r="H238" s="25">
        <f t="shared" si="89"/>
        <v>309</v>
      </c>
      <c r="I238" s="26">
        <v>46240</v>
      </c>
      <c r="J238" s="10">
        <v>46087</v>
      </c>
      <c r="K238" s="10">
        <v>46090</v>
      </c>
      <c r="L238" s="27" t="str">
        <f t="shared" si="87"/>
        <v>On time</v>
      </c>
      <c r="M238" s="58">
        <v>46097</v>
      </c>
      <c r="N238" s="27" t="str">
        <f t="shared" si="86"/>
        <v>Atrasado</v>
      </c>
      <c r="O238" s="27">
        <f t="shared" si="65"/>
        <v>10</v>
      </c>
      <c r="P238" s="28" t="str">
        <f t="shared" si="85"/>
        <v>On time</v>
      </c>
      <c r="Q238" s="27">
        <f t="shared" si="66"/>
        <v>153</v>
      </c>
      <c r="R238" s="29" t="s">
        <v>687</v>
      </c>
      <c r="S238" t="s">
        <v>65</v>
      </c>
      <c r="T238" s="35">
        <v>3</v>
      </c>
      <c r="U238" t="s">
        <v>690</v>
      </c>
      <c r="V238" s="27">
        <v>200</v>
      </c>
      <c r="W238" s="9">
        <v>0.34</v>
      </c>
      <c r="X238" s="9">
        <f t="shared" si="90"/>
        <v>68</v>
      </c>
      <c r="Z238" s="10">
        <v>46101</v>
      </c>
      <c r="AA238" s="10">
        <v>46126</v>
      </c>
      <c r="AB238" s="10">
        <v>46132</v>
      </c>
      <c r="AC238" s="10">
        <v>46197</v>
      </c>
      <c r="AD238" s="31">
        <f t="shared" ca="1" si="78"/>
        <v>9</v>
      </c>
      <c r="AE238" s="55">
        <v>1</v>
      </c>
      <c r="AF238" s="63" t="s">
        <v>2029</v>
      </c>
      <c r="AG238" s="10" t="s">
        <v>78</v>
      </c>
      <c r="AI238" s="9" t="s">
        <v>53</v>
      </c>
      <c r="AL238" t="s">
        <v>2040</v>
      </c>
      <c r="AM238" s="27" t="str">
        <f t="shared" si="91"/>
        <v>On time</v>
      </c>
      <c r="AN238" s="27" t="str">
        <f t="shared" ca="1" si="88"/>
        <v>No prazo</v>
      </c>
      <c r="AO238" s="27" t="str">
        <f t="shared" ca="1" si="84"/>
        <v/>
      </c>
    </row>
    <row r="239" spans="1:43" ht="15" hidden="1" customHeight="1">
      <c r="A239">
        <v>512448</v>
      </c>
      <c r="B239" s="34">
        <v>2</v>
      </c>
      <c r="C239" t="s">
        <v>25</v>
      </c>
      <c r="D239" t="s">
        <v>703</v>
      </c>
      <c r="E239" s="23" t="s">
        <v>704</v>
      </c>
      <c r="F239" s="24">
        <v>30</v>
      </c>
      <c r="G239" s="25">
        <v>107.23</v>
      </c>
      <c r="H239" s="25">
        <f t="shared" si="89"/>
        <v>3216.9</v>
      </c>
      <c r="I239" s="26">
        <v>46240</v>
      </c>
      <c r="J239" s="10">
        <v>46087</v>
      </c>
      <c r="K239" s="10">
        <v>46090</v>
      </c>
      <c r="L239" s="27" t="str">
        <f t="shared" si="87"/>
        <v>On time</v>
      </c>
      <c r="M239" s="58">
        <v>46097</v>
      </c>
      <c r="N239" s="27" t="str">
        <f t="shared" si="86"/>
        <v>Atrasado</v>
      </c>
      <c r="O239" s="27">
        <f t="shared" si="65"/>
        <v>10</v>
      </c>
      <c r="P239" s="28" t="str">
        <f t="shared" si="85"/>
        <v>On time</v>
      </c>
      <c r="Q239" s="27">
        <f t="shared" si="66"/>
        <v>153</v>
      </c>
      <c r="R239" s="29" t="s">
        <v>687</v>
      </c>
      <c r="S239" t="s">
        <v>65</v>
      </c>
      <c r="T239" s="35">
        <v>4</v>
      </c>
      <c r="U239" t="s">
        <v>691</v>
      </c>
      <c r="V239" s="27">
        <v>50</v>
      </c>
      <c r="W239" s="9">
        <v>4.96</v>
      </c>
      <c r="X239" s="9">
        <f t="shared" si="90"/>
        <v>248</v>
      </c>
      <c r="Z239" s="10">
        <v>46101</v>
      </c>
      <c r="AA239" s="10">
        <v>46126</v>
      </c>
      <c r="AB239" s="10">
        <v>46132</v>
      </c>
      <c r="AC239" s="10">
        <v>46197</v>
      </c>
      <c r="AD239" s="31">
        <f t="shared" ca="1" si="78"/>
        <v>9</v>
      </c>
      <c r="AE239" s="55">
        <v>1</v>
      </c>
      <c r="AF239" s="63" t="s">
        <v>2029</v>
      </c>
      <c r="AG239" s="10" t="s">
        <v>78</v>
      </c>
      <c r="AI239" s="9" t="s">
        <v>53</v>
      </c>
      <c r="AL239" t="s">
        <v>2040</v>
      </c>
      <c r="AM239" s="27" t="str">
        <f t="shared" si="91"/>
        <v>On time</v>
      </c>
      <c r="AN239" s="27" t="str">
        <f t="shared" ca="1" si="88"/>
        <v>No prazo</v>
      </c>
      <c r="AO239" s="27" t="str">
        <f t="shared" ca="1" si="84"/>
        <v/>
      </c>
    </row>
    <row r="240" spans="1:43" ht="15" hidden="1" customHeight="1">
      <c r="A240">
        <v>512762</v>
      </c>
      <c r="B240" s="34">
        <v>1</v>
      </c>
      <c r="C240" t="s">
        <v>25</v>
      </c>
      <c r="D240" t="s">
        <v>705</v>
      </c>
      <c r="E240" s="23" t="s">
        <v>706</v>
      </c>
      <c r="F240" s="24">
        <v>30</v>
      </c>
      <c r="G240" s="25">
        <v>24.79</v>
      </c>
      <c r="H240" s="25">
        <f t="shared" si="89"/>
        <v>743.69999999999993</v>
      </c>
      <c r="I240" s="26">
        <v>46244</v>
      </c>
      <c r="J240" s="10">
        <v>46092</v>
      </c>
      <c r="K240" s="10">
        <v>46092</v>
      </c>
      <c r="L240" s="27" t="str">
        <f t="shared" si="87"/>
        <v>On time</v>
      </c>
      <c r="M240" s="58">
        <v>46097</v>
      </c>
      <c r="N240" s="27" t="str">
        <f t="shared" si="86"/>
        <v>On time</v>
      </c>
      <c r="O240" s="27">
        <f t="shared" si="65"/>
        <v>5</v>
      </c>
      <c r="P240" s="28" t="str">
        <f t="shared" si="85"/>
        <v>On time</v>
      </c>
      <c r="Q240" s="27">
        <f t="shared" si="66"/>
        <v>152</v>
      </c>
      <c r="R240" s="29" t="s">
        <v>687</v>
      </c>
      <c r="S240" t="s">
        <v>65</v>
      </c>
      <c r="T240" s="35">
        <v>5</v>
      </c>
      <c r="U240" t="s">
        <v>692</v>
      </c>
      <c r="V240" s="27">
        <v>20</v>
      </c>
      <c r="W240" s="9">
        <v>1.1299999999999999</v>
      </c>
      <c r="X240" s="9">
        <f t="shared" si="90"/>
        <v>22.599999999999998</v>
      </c>
      <c r="Z240" s="10">
        <v>46101</v>
      </c>
      <c r="AA240" s="10">
        <v>46126</v>
      </c>
      <c r="AB240" s="10">
        <v>46132</v>
      </c>
      <c r="AC240" s="10">
        <v>46197</v>
      </c>
      <c r="AD240" s="31">
        <f t="shared" ca="1" si="78"/>
        <v>9</v>
      </c>
      <c r="AE240" s="55">
        <v>1</v>
      </c>
      <c r="AF240" s="63" t="s">
        <v>2029</v>
      </c>
      <c r="AG240" s="10" t="s">
        <v>78</v>
      </c>
      <c r="AI240" s="9" t="s">
        <v>53</v>
      </c>
      <c r="AL240" t="s">
        <v>2040</v>
      </c>
      <c r="AM240" s="27" t="str">
        <f t="shared" si="91"/>
        <v>On time</v>
      </c>
      <c r="AN240" s="27" t="str">
        <f t="shared" ca="1" si="88"/>
        <v>No prazo</v>
      </c>
      <c r="AO240" s="27" t="str">
        <f t="shared" ca="1" si="84"/>
        <v/>
      </c>
    </row>
    <row r="241" spans="1:42" ht="15" hidden="1" customHeight="1">
      <c r="A241">
        <v>512762</v>
      </c>
      <c r="B241" s="34">
        <v>3</v>
      </c>
      <c r="C241" t="s">
        <v>25</v>
      </c>
      <c r="D241" t="s">
        <v>707</v>
      </c>
      <c r="E241" s="23" t="s">
        <v>708</v>
      </c>
      <c r="F241" s="24">
        <v>6</v>
      </c>
      <c r="G241" s="25">
        <v>149.6</v>
      </c>
      <c r="H241" s="25">
        <f t="shared" si="89"/>
        <v>897.59999999999991</v>
      </c>
      <c r="I241" s="26">
        <v>46244</v>
      </c>
      <c r="J241" s="10">
        <v>46092</v>
      </c>
      <c r="K241" s="10">
        <v>46092</v>
      </c>
      <c r="L241" s="27" t="str">
        <f t="shared" si="87"/>
        <v>On time</v>
      </c>
      <c r="M241" s="58">
        <v>46097</v>
      </c>
      <c r="N241" s="27" t="str">
        <f t="shared" si="86"/>
        <v>On time</v>
      </c>
      <c r="O241" s="27">
        <f t="shared" si="65"/>
        <v>5</v>
      </c>
      <c r="P241" s="28" t="str">
        <f t="shared" si="85"/>
        <v>On time</v>
      </c>
      <c r="Q241" s="27">
        <f t="shared" si="66"/>
        <v>152</v>
      </c>
      <c r="R241" s="29" t="s">
        <v>687</v>
      </c>
      <c r="S241" t="s">
        <v>65</v>
      </c>
      <c r="T241" s="35">
        <v>6</v>
      </c>
      <c r="U241" t="s">
        <v>693</v>
      </c>
      <c r="V241" s="27">
        <v>30</v>
      </c>
      <c r="W241" s="9">
        <v>9.14</v>
      </c>
      <c r="X241" s="9">
        <f t="shared" si="90"/>
        <v>274.20000000000005</v>
      </c>
      <c r="Z241" s="10">
        <v>46101</v>
      </c>
      <c r="AA241" s="10">
        <v>46126</v>
      </c>
      <c r="AB241" s="10">
        <v>46132</v>
      </c>
      <c r="AC241" s="10">
        <v>46197</v>
      </c>
      <c r="AD241" s="31">
        <f t="shared" ca="1" si="78"/>
        <v>9</v>
      </c>
      <c r="AE241" s="55">
        <v>1</v>
      </c>
      <c r="AF241" s="63" t="s">
        <v>2029</v>
      </c>
      <c r="AG241" s="10" t="s">
        <v>78</v>
      </c>
      <c r="AI241" s="9" t="s">
        <v>53</v>
      </c>
      <c r="AL241" t="s">
        <v>2040</v>
      </c>
      <c r="AM241" s="27" t="str">
        <f t="shared" si="91"/>
        <v>On time</v>
      </c>
      <c r="AN241" s="27" t="str">
        <f t="shared" ca="1" si="88"/>
        <v>No prazo</v>
      </c>
      <c r="AO241" s="27" t="str">
        <f t="shared" ca="1" si="84"/>
        <v/>
      </c>
    </row>
    <row r="242" spans="1:42" ht="15" hidden="1" customHeight="1">
      <c r="A242">
        <v>512725</v>
      </c>
      <c r="B242" s="34">
        <v>2</v>
      </c>
      <c r="C242" t="s">
        <v>25</v>
      </c>
      <c r="D242" t="s">
        <v>709</v>
      </c>
      <c r="E242" s="23" t="s">
        <v>710</v>
      </c>
      <c r="F242" s="24">
        <v>17</v>
      </c>
      <c r="G242" s="25">
        <v>99.27</v>
      </c>
      <c r="H242" s="25">
        <f t="shared" si="89"/>
        <v>1687.59</v>
      </c>
      <c r="I242" s="26">
        <v>46244</v>
      </c>
      <c r="J242" s="10">
        <v>46092</v>
      </c>
      <c r="K242" s="10">
        <v>46092</v>
      </c>
      <c r="L242" s="27" t="str">
        <f t="shared" si="87"/>
        <v>On time</v>
      </c>
      <c r="M242" s="58">
        <v>46097</v>
      </c>
      <c r="N242" s="27" t="str">
        <f t="shared" si="86"/>
        <v>On time</v>
      </c>
      <c r="O242" s="27">
        <f t="shared" si="65"/>
        <v>5</v>
      </c>
      <c r="P242" s="28" t="str">
        <f t="shared" si="85"/>
        <v>On time</v>
      </c>
      <c r="Q242" s="27">
        <f t="shared" si="66"/>
        <v>152</v>
      </c>
      <c r="R242" s="29" t="s">
        <v>687</v>
      </c>
      <c r="S242" t="s">
        <v>65</v>
      </c>
      <c r="T242" s="35">
        <v>7</v>
      </c>
      <c r="U242" t="s">
        <v>694</v>
      </c>
      <c r="V242" s="27">
        <v>28</v>
      </c>
      <c r="W242" s="9">
        <v>5.28</v>
      </c>
      <c r="X242" s="9">
        <f t="shared" si="90"/>
        <v>147.84</v>
      </c>
      <c r="Z242" s="10">
        <v>46101</v>
      </c>
      <c r="AA242" s="10">
        <v>46126</v>
      </c>
      <c r="AB242" s="10">
        <v>46132</v>
      </c>
      <c r="AC242" s="10">
        <v>46197</v>
      </c>
      <c r="AD242" s="31">
        <f t="shared" ca="1" si="78"/>
        <v>9</v>
      </c>
      <c r="AE242" s="55">
        <v>1</v>
      </c>
      <c r="AF242" s="63" t="s">
        <v>2029</v>
      </c>
      <c r="AG242" s="10" t="s">
        <v>78</v>
      </c>
      <c r="AI242" s="9" t="s">
        <v>53</v>
      </c>
      <c r="AL242" t="s">
        <v>2040</v>
      </c>
      <c r="AM242" s="27" t="str">
        <f t="shared" si="91"/>
        <v>On time</v>
      </c>
      <c r="AN242" s="27" t="str">
        <f t="shared" ca="1" si="88"/>
        <v>No prazo</v>
      </c>
      <c r="AO242" s="27" t="str">
        <f t="shared" ca="1" si="84"/>
        <v/>
      </c>
    </row>
    <row r="243" spans="1:42" ht="15" hidden="1" customHeight="1">
      <c r="A243">
        <v>512727</v>
      </c>
      <c r="B243" s="34">
        <v>3</v>
      </c>
      <c r="C243" t="s">
        <v>25</v>
      </c>
      <c r="D243" t="s">
        <v>711</v>
      </c>
      <c r="E243" s="23" t="s">
        <v>712</v>
      </c>
      <c r="F243" s="24">
        <v>28</v>
      </c>
      <c r="G243" s="25">
        <v>934.25</v>
      </c>
      <c r="H243" s="25">
        <f t="shared" si="89"/>
        <v>26159</v>
      </c>
      <c r="I243" s="26">
        <v>46244</v>
      </c>
      <c r="J243" s="10">
        <v>46091</v>
      </c>
      <c r="K243" s="10">
        <v>46092</v>
      </c>
      <c r="L243" s="27" t="str">
        <f t="shared" si="87"/>
        <v>On time</v>
      </c>
      <c r="M243" s="58">
        <v>46097</v>
      </c>
      <c r="N243" s="27" t="str">
        <f t="shared" si="86"/>
        <v>On time</v>
      </c>
      <c r="O243" s="27">
        <f t="shared" ref="O243:O306" si="100">M243-J243</f>
        <v>6</v>
      </c>
      <c r="P243" s="28" t="str">
        <f t="shared" si="85"/>
        <v>On time</v>
      </c>
      <c r="Q243" s="27">
        <f t="shared" ref="Q243:Q306" si="101">I243-J243</f>
        <v>153</v>
      </c>
      <c r="R243" s="29" t="s">
        <v>687</v>
      </c>
      <c r="S243" t="s">
        <v>65</v>
      </c>
      <c r="T243" s="35">
        <v>8</v>
      </c>
      <c r="U243" t="s">
        <v>695</v>
      </c>
      <c r="V243" s="27">
        <v>5</v>
      </c>
      <c r="W243" s="9">
        <v>35.96</v>
      </c>
      <c r="X243" s="9">
        <f t="shared" si="90"/>
        <v>179.8</v>
      </c>
      <c r="Z243" s="10">
        <v>46101</v>
      </c>
      <c r="AA243" s="10">
        <v>46126</v>
      </c>
      <c r="AB243" s="10">
        <v>46132</v>
      </c>
      <c r="AC243" s="10">
        <v>46197</v>
      </c>
      <c r="AD243" s="31">
        <f t="shared" ca="1" si="78"/>
        <v>9</v>
      </c>
      <c r="AE243" s="55">
        <v>1</v>
      </c>
      <c r="AF243" s="63" t="s">
        <v>2029</v>
      </c>
      <c r="AG243" s="10" t="s">
        <v>78</v>
      </c>
      <c r="AI243" s="9" t="s">
        <v>53</v>
      </c>
      <c r="AL243" t="s">
        <v>2040</v>
      </c>
      <c r="AM243" s="27" t="str">
        <f t="shared" si="91"/>
        <v>On time</v>
      </c>
      <c r="AN243" s="27" t="str">
        <f t="shared" ca="1" si="88"/>
        <v>No prazo</v>
      </c>
      <c r="AO243" s="27" t="str">
        <f t="shared" ca="1" si="84"/>
        <v/>
      </c>
    </row>
    <row r="244" spans="1:42" ht="15" hidden="1" customHeight="1">
      <c r="A244">
        <v>512329</v>
      </c>
      <c r="B244" s="34">
        <v>1</v>
      </c>
      <c r="C244" t="s">
        <v>25</v>
      </c>
      <c r="D244" t="s">
        <v>718</v>
      </c>
      <c r="E244" s="23" t="s">
        <v>719</v>
      </c>
      <c r="F244" s="24">
        <v>2</v>
      </c>
      <c r="G244" s="25">
        <v>9040.11</v>
      </c>
      <c r="H244" s="25">
        <f t="shared" ref="H244" si="102">G244*F244</f>
        <v>18080.22</v>
      </c>
      <c r="I244" s="26">
        <v>46269</v>
      </c>
      <c r="J244" s="10">
        <v>46087</v>
      </c>
      <c r="K244" s="10">
        <v>46086</v>
      </c>
      <c r="L244" s="27" t="str">
        <f t="shared" si="87"/>
        <v>On time</v>
      </c>
      <c r="M244" s="58">
        <v>46098</v>
      </c>
      <c r="N244" s="27" t="str">
        <f t="shared" si="86"/>
        <v>Atrasado</v>
      </c>
      <c r="O244" s="27">
        <f t="shared" si="100"/>
        <v>11</v>
      </c>
      <c r="P244" s="28" t="str">
        <f t="shared" si="85"/>
        <v>On time</v>
      </c>
      <c r="Q244" s="27">
        <f t="shared" si="101"/>
        <v>182</v>
      </c>
      <c r="R244" s="29" t="s">
        <v>720</v>
      </c>
      <c r="S244" t="s">
        <v>100</v>
      </c>
      <c r="T244" s="34">
        <v>1</v>
      </c>
      <c r="U244" t="s">
        <v>721</v>
      </c>
      <c r="V244" s="27">
        <v>5</v>
      </c>
      <c r="W244" s="53">
        <v>464.75</v>
      </c>
      <c r="X244" s="53">
        <f t="shared" ref="X244:X257" si="103">W244*V244</f>
        <v>2323.75</v>
      </c>
      <c r="Y244">
        <v>435.04</v>
      </c>
      <c r="Z244" s="10">
        <v>46101</v>
      </c>
      <c r="AA244" s="10">
        <v>46121</v>
      </c>
      <c r="AB244" s="10">
        <v>46152</v>
      </c>
      <c r="AC244" s="10">
        <v>46217</v>
      </c>
      <c r="AD244" s="31">
        <f t="shared" ref="AD244" ca="1" si="104">TODAY()-AA244</f>
        <v>14</v>
      </c>
      <c r="AE244" s="55">
        <v>1</v>
      </c>
      <c r="AF244" t="s">
        <v>62</v>
      </c>
      <c r="AG244" s="10" t="s">
        <v>78</v>
      </c>
      <c r="AI244" s="9" t="s">
        <v>53</v>
      </c>
      <c r="AL244" t="s">
        <v>2034</v>
      </c>
      <c r="AM244" s="27" t="str">
        <f t="shared" ref="AM244" si="105">IF(AB244=0," ",IF(AB244&lt;=AA244+10,"On time","Atrasado"))</f>
        <v>Atrasado</v>
      </c>
      <c r="AN244" s="27" t="str">
        <f t="shared" ca="1" si="88"/>
        <v>No prazo</v>
      </c>
      <c r="AO244" s="27" t="str">
        <f t="shared" ca="1" si="84"/>
        <v/>
      </c>
      <c r="AP244" t="s">
        <v>834</v>
      </c>
    </row>
    <row r="245" spans="1:42" ht="15" hidden="1" customHeight="1">
      <c r="B245" s="34"/>
      <c r="D245" t="s">
        <v>908</v>
      </c>
      <c r="E245" s="23" t="s">
        <v>1383</v>
      </c>
      <c r="F245" s="24"/>
      <c r="I245" s="26"/>
      <c r="J245" s="10"/>
      <c r="K245" s="10"/>
      <c r="L245" s="27" t="str">
        <f t="shared" si="87"/>
        <v xml:space="preserve"> </v>
      </c>
      <c r="M245" s="58"/>
      <c r="N245" s="27" t="str">
        <f t="shared" si="86"/>
        <v xml:space="preserve"> </v>
      </c>
      <c r="O245" s="27">
        <f t="shared" si="100"/>
        <v>0</v>
      </c>
      <c r="P245" s="28" t="str">
        <f t="shared" si="85"/>
        <v>On time</v>
      </c>
      <c r="Q245" s="27">
        <f t="shared" si="101"/>
        <v>0</v>
      </c>
      <c r="R245" s="29" t="s">
        <v>720</v>
      </c>
      <c r="S245" t="s">
        <v>100</v>
      </c>
      <c r="T245" s="34">
        <v>2</v>
      </c>
      <c r="U245" t="s">
        <v>908</v>
      </c>
      <c r="V245" s="27">
        <v>10</v>
      </c>
      <c r="W245" s="9">
        <v>5</v>
      </c>
      <c r="X245" s="53">
        <f t="shared" si="103"/>
        <v>50</v>
      </c>
      <c r="Y245">
        <v>2.8</v>
      </c>
      <c r="Z245" s="10">
        <v>46101</v>
      </c>
      <c r="AA245" s="10">
        <v>46121</v>
      </c>
      <c r="AB245" s="10">
        <v>46152</v>
      </c>
      <c r="AC245" s="10">
        <v>46217</v>
      </c>
      <c r="AD245" s="31">
        <f t="shared" ref="AD245:AD248" ca="1" si="106">TODAY()-AA245</f>
        <v>14</v>
      </c>
      <c r="AE245" s="36">
        <v>1</v>
      </c>
      <c r="AF245" t="s">
        <v>62</v>
      </c>
      <c r="AG245" s="10" t="s">
        <v>78</v>
      </c>
      <c r="AI245" s="9" t="s">
        <v>53</v>
      </c>
      <c r="AL245" t="s">
        <v>2034</v>
      </c>
      <c r="AM245" s="27" t="str">
        <f t="shared" ref="AM245:AM248" si="107">IF(AB245=0," ",IF(AB245&lt;=AA245+10,"On time","Atrasado"))</f>
        <v>Atrasado</v>
      </c>
      <c r="AN245" s="27" t="str">
        <f t="shared" ca="1" si="88"/>
        <v>Estoque</v>
      </c>
      <c r="AO245" s="27" t="str">
        <f t="shared" ca="1" si="84"/>
        <v/>
      </c>
      <c r="AP245" t="s">
        <v>834</v>
      </c>
    </row>
    <row r="246" spans="1:42" ht="15" hidden="1" customHeight="1">
      <c r="B246" s="34"/>
      <c r="D246" t="s">
        <v>909</v>
      </c>
      <c r="E246" s="23" t="s">
        <v>1384</v>
      </c>
      <c r="F246" s="24"/>
      <c r="I246" s="26"/>
      <c r="J246" s="10"/>
      <c r="K246" s="10"/>
      <c r="L246" s="27" t="str">
        <f t="shared" si="87"/>
        <v xml:space="preserve"> </v>
      </c>
      <c r="M246" s="58"/>
      <c r="N246" s="27" t="str">
        <f t="shared" si="86"/>
        <v xml:space="preserve"> </v>
      </c>
      <c r="O246" s="27">
        <f t="shared" si="100"/>
        <v>0</v>
      </c>
      <c r="P246" s="28" t="str">
        <f t="shared" si="85"/>
        <v>On time</v>
      </c>
      <c r="Q246" s="27">
        <f t="shared" si="101"/>
        <v>0</v>
      </c>
      <c r="R246" s="29" t="s">
        <v>720</v>
      </c>
      <c r="S246" t="s">
        <v>100</v>
      </c>
      <c r="T246" s="34">
        <v>3</v>
      </c>
      <c r="U246" t="s">
        <v>909</v>
      </c>
      <c r="V246" s="27">
        <v>10</v>
      </c>
      <c r="W246" s="9">
        <v>68.58</v>
      </c>
      <c r="X246" s="53">
        <f t="shared" si="103"/>
        <v>685.8</v>
      </c>
      <c r="Y246">
        <v>5.81</v>
      </c>
      <c r="Z246" s="10">
        <v>46101</v>
      </c>
      <c r="AA246" s="10">
        <v>46121</v>
      </c>
      <c r="AB246" s="10">
        <v>46152</v>
      </c>
      <c r="AC246" s="10">
        <v>46217</v>
      </c>
      <c r="AD246" s="31">
        <f t="shared" ca="1" si="106"/>
        <v>14</v>
      </c>
      <c r="AE246" s="36">
        <v>1</v>
      </c>
      <c r="AF246" t="s">
        <v>62</v>
      </c>
      <c r="AG246" s="10" t="s">
        <v>78</v>
      </c>
      <c r="AI246" s="9" t="s">
        <v>53</v>
      </c>
      <c r="AL246" t="s">
        <v>2034</v>
      </c>
      <c r="AM246" s="27" t="str">
        <f t="shared" si="107"/>
        <v>Atrasado</v>
      </c>
      <c r="AN246" s="27" t="str">
        <f t="shared" ca="1" si="88"/>
        <v>Estoque</v>
      </c>
      <c r="AO246" s="27" t="str">
        <f t="shared" ca="1" si="84"/>
        <v/>
      </c>
      <c r="AP246" t="s">
        <v>834</v>
      </c>
    </row>
    <row r="247" spans="1:42" ht="15" hidden="1" customHeight="1">
      <c r="B247" s="34"/>
      <c r="D247" t="s">
        <v>910</v>
      </c>
      <c r="E247" s="23" t="s">
        <v>1349</v>
      </c>
      <c r="F247" s="24"/>
      <c r="I247" s="26"/>
      <c r="J247" s="10"/>
      <c r="K247" s="10"/>
      <c r="L247" s="27" t="str">
        <f t="shared" si="87"/>
        <v xml:space="preserve"> </v>
      </c>
      <c r="M247" s="58"/>
      <c r="N247" s="27" t="str">
        <f t="shared" si="86"/>
        <v xml:space="preserve"> </v>
      </c>
      <c r="O247" s="27">
        <f t="shared" si="100"/>
        <v>0</v>
      </c>
      <c r="P247" s="28" t="str">
        <f t="shared" si="85"/>
        <v>On time</v>
      </c>
      <c r="Q247" s="27">
        <f t="shared" si="101"/>
        <v>0</v>
      </c>
      <c r="R247" s="29" t="s">
        <v>720</v>
      </c>
      <c r="S247" t="s">
        <v>100</v>
      </c>
      <c r="T247" s="34">
        <v>4</v>
      </c>
      <c r="U247" t="s">
        <v>910</v>
      </c>
      <c r="V247" s="27">
        <v>10</v>
      </c>
      <c r="W247" s="9">
        <v>19.98</v>
      </c>
      <c r="X247" s="53">
        <f t="shared" si="103"/>
        <v>199.8</v>
      </c>
      <c r="Y247">
        <v>16.04</v>
      </c>
      <c r="Z247" s="10">
        <v>46101</v>
      </c>
      <c r="AA247" s="10">
        <v>46121</v>
      </c>
      <c r="AB247" s="10">
        <v>46152</v>
      </c>
      <c r="AC247" s="10">
        <v>46217</v>
      </c>
      <c r="AD247" s="31">
        <f t="shared" ca="1" si="106"/>
        <v>14</v>
      </c>
      <c r="AE247" s="36">
        <v>1</v>
      </c>
      <c r="AF247" t="s">
        <v>62</v>
      </c>
      <c r="AG247" s="10" t="s">
        <v>78</v>
      </c>
      <c r="AI247" s="9" t="s">
        <v>53</v>
      </c>
      <c r="AL247" t="s">
        <v>2034</v>
      </c>
      <c r="AM247" s="27" t="str">
        <f t="shared" si="107"/>
        <v>Atrasado</v>
      </c>
      <c r="AN247" s="27" t="str">
        <f t="shared" ca="1" si="88"/>
        <v>Estoque</v>
      </c>
      <c r="AO247" s="27" t="str">
        <f t="shared" ca="1" si="84"/>
        <v/>
      </c>
      <c r="AP247" t="s">
        <v>834</v>
      </c>
    </row>
    <row r="248" spans="1:42" ht="15" hidden="1" customHeight="1">
      <c r="B248" s="34"/>
      <c r="D248" t="s">
        <v>723</v>
      </c>
      <c r="E248" s="23" t="s">
        <v>1697</v>
      </c>
      <c r="F248" s="24"/>
      <c r="I248" s="26"/>
      <c r="J248" s="10"/>
      <c r="K248" s="10"/>
      <c r="L248" s="27" t="str">
        <f t="shared" si="87"/>
        <v xml:space="preserve"> </v>
      </c>
      <c r="M248" s="58"/>
      <c r="N248" s="27" t="str">
        <f t="shared" si="86"/>
        <v xml:space="preserve"> </v>
      </c>
      <c r="O248" s="27">
        <f t="shared" si="100"/>
        <v>0</v>
      </c>
      <c r="P248" s="28" t="str">
        <f t="shared" si="85"/>
        <v>On time</v>
      </c>
      <c r="Q248" s="27">
        <f t="shared" si="101"/>
        <v>0</v>
      </c>
      <c r="R248" s="29" t="s">
        <v>722</v>
      </c>
      <c r="S248" t="s">
        <v>48</v>
      </c>
      <c r="T248" s="34">
        <v>1</v>
      </c>
      <c r="U248" t="s">
        <v>723</v>
      </c>
      <c r="V248" s="27">
        <v>50</v>
      </c>
      <c r="W248" s="9">
        <v>3.5</v>
      </c>
      <c r="X248" s="53">
        <f t="shared" si="103"/>
        <v>175</v>
      </c>
      <c r="Z248" s="10">
        <v>46101</v>
      </c>
      <c r="AA248" s="10">
        <v>46121</v>
      </c>
      <c r="AB248" s="10">
        <v>46157</v>
      </c>
      <c r="AC248" s="10">
        <v>46222</v>
      </c>
      <c r="AD248" s="31">
        <f t="shared" ca="1" si="106"/>
        <v>14</v>
      </c>
      <c r="AE248" s="55">
        <v>1</v>
      </c>
      <c r="AF248" s="63" t="s">
        <v>62</v>
      </c>
      <c r="AG248" s="10" t="s">
        <v>78</v>
      </c>
      <c r="AI248" s="9" t="s">
        <v>53</v>
      </c>
      <c r="AL248" t="s">
        <v>2069</v>
      </c>
      <c r="AM248" s="27" t="str">
        <f t="shared" si="107"/>
        <v>Atrasado</v>
      </c>
      <c r="AN248" s="27" t="str">
        <f t="shared" ca="1" si="88"/>
        <v>Estoque</v>
      </c>
      <c r="AO248" s="27" t="str">
        <f t="shared" ca="1" si="84"/>
        <v/>
      </c>
    </row>
    <row r="249" spans="1:42" ht="15" hidden="1" customHeight="1">
      <c r="A249">
        <v>512114</v>
      </c>
      <c r="B249" s="34">
        <v>2</v>
      </c>
      <c r="C249" t="s">
        <v>98</v>
      </c>
      <c r="D249" t="s">
        <v>724</v>
      </c>
      <c r="E249" s="23" t="s">
        <v>734</v>
      </c>
      <c r="F249" s="24">
        <v>1</v>
      </c>
      <c r="G249" s="25">
        <v>356.43</v>
      </c>
      <c r="H249" s="25">
        <f t="shared" si="89"/>
        <v>356.43</v>
      </c>
      <c r="I249" s="26">
        <v>46217</v>
      </c>
      <c r="J249" s="10">
        <v>46093</v>
      </c>
      <c r="K249" s="10">
        <v>46093</v>
      </c>
      <c r="L249" s="27" t="str">
        <f t="shared" si="87"/>
        <v>On time</v>
      </c>
      <c r="M249" s="58">
        <v>46094</v>
      </c>
      <c r="N249" s="27" t="str">
        <f t="shared" si="86"/>
        <v>On time</v>
      </c>
      <c r="O249" s="27">
        <f t="shared" si="100"/>
        <v>1</v>
      </c>
      <c r="P249" s="28" t="str">
        <f t="shared" si="85"/>
        <v>On time</v>
      </c>
      <c r="Q249" s="27">
        <f t="shared" si="101"/>
        <v>124</v>
      </c>
      <c r="R249" s="29" t="s">
        <v>722</v>
      </c>
      <c r="S249" t="s">
        <v>48</v>
      </c>
      <c r="T249" s="34">
        <v>2</v>
      </c>
      <c r="U249" t="s">
        <v>724</v>
      </c>
      <c r="V249" s="27">
        <v>10</v>
      </c>
      <c r="W249" s="9">
        <v>5.5</v>
      </c>
      <c r="X249" s="53">
        <f t="shared" si="103"/>
        <v>55</v>
      </c>
      <c r="Y249">
        <v>1.37</v>
      </c>
      <c r="Z249" s="10">
        <v>46101</v>
      </c>
      <c r="AA249" s="10">
        <v>46121</v>
      </c>
      <c r="AB249" s="10">
        <v>46157</v>
      </c>
      <c r="AC249" s="10">
        <v>46222</v>
      </c>
      <c r="AD249" s="31">
        <f t="shared" ref="AD249:AD257" ca="1" si="108">TODAY()-AA249</f>
        <v>14</v>
      </c>
      <c r="AE249" s="55">
        <v>1</v>
      </c>
      <c r="AF249" s="63" t="s">
        <v>62</v>
      </c>
      <c r="AG249" s="10" t="s">
        <v>78</v>
      </c>
      <c r="AI249" s="9" t="s">
        <v>53</v>
      </c>
      <c r="AL249" t="s">
        <v>2069</v>
      </c>
      <c r="AM249" s="27" t="str">
        <f t="shared" si="91"/>
        <v>Atrasado</v>
      </c>
      <c r="AN249" s="27" t="str">
        <f t="shared" ca="1" si="88"/>
        <v>Atrasado</v>
      </c>
      <c r="AO249" s="27" t="str">
        <f t="shared" ca="1" si="84"/>
        <v/>
      </c>
    </row>
    <row r="250" spans="1:42" ht="15" hidden="1" customHeight="1">
      <c r="A250">
        <v>512114</v>
      </c>
      <c r="B250" s="34">
        <v>3</v>
      </c>
      <c r="C250" t="s">
        <v>98</v>
      </c>
      <c r="D250" t="s">
        <v>725</v>
      </c>
      <c r="E250" s="23" t="s">
        <v>735</v>
      </c>
      <c r="F250" s="24">
        <v>1</v>
      </c>
      <c r="G250" s="25">
        <v>806.68</v>
      </c>
      <c r="H250" s="25">
        <f t="shared" si="89"/>
        <v>806.68</v>
      </c>
      <c r="I250" s="26">
        <v>46217</v>
      </c>
      <c r="J250" s="10">
        <v>46093</v>
      </c>
      <c r="K250" s="10">
        <v>46093</v>
      </c>
      <c r="L250" s="27" t="str">
        <f t="shared" si="87"/>
        <v>On time</v>
      </c>
      <c r="M250" s="58">
        <v>46094</v>
      </c>
      <c r="N250" s="27" t="str">
        <f t="shared" si="86"/>
        <v>On time</v>
      </c>
      <c r="O250" s="27">
        <f t="shared" si="100"/>
        <v>1</v>
      </c>
      <c r="P250" s="28" t="str">
        <f t="shared" si="85"/>
        <v>On time</v>
      </c>
      <c r="Q250" s="27">
        <f t="shared" si="101"/>
        <v>124</v>
      </c>
      <c r="R250" s="29" t="s">
        <v>722</v>
      </c>
      <c r="S250" t="s">
        <v>48</v>
      </c>
      <c r="T250" s="34">
        <v>3</v>
      </c>
      <c r="U250" t="s">
        <v>725</v>
      </c>
      <c r="V250" s="27">
        <v>10</v>
      </c>
      <c r="W250" s="9">
        <v>17</v>
      </c>
      <c r="X250" s="53">
        <f t="shared" si="103"/>
        <v>170</v>
      </c>
      <c r="Y250">
        <v>3.71</v>
      </c>
      <c r="Z250" s="10">
        <v>46101</v>
      </c>
      <c r="AA250" s="10">
        <v>46121</v>
      </c>
      <c r="AB250" s="10">
        <v>46157</v>
      </c>
      <c r="AC250" s="10">
        <v>46222</v>
      </c>
      <c r="AD250" s="31">
        <f t="shared" ca="1" si="108"/>
        <v>14</v>
      </c>
      <c r="AE250" s="55">
        <v>1</v>
      </c>
      <c r="AF250" s="63" t="s">
        <v>62</v>
      </c>
      <c r="AG250" s="10" t="s">
        <v>78</v>
      </c>
      <c r="AI250" s="9" t="s">
        <v>53</v>
      </c>
      <c r="AL250" t="s">
        <v>2069</v>
      </c>
      <c r="AM250" s="27" t="str">
        <f t="shared" si="91"/>
        <v>Atrasado</v>
      </c>
      <c r="AN250" s="27" t="str">
        <f t="shared" ca="1" si="88"/>
        <v>Atrasado</v>
      </c>
      <c r="AO250" s="27" t="str">
        <f t="shared" ca="1" si="84"/>
        <v/>
      </c>
    </row>
    <row r="251" spans="1:42" ht="15" hidden="1" customHeight="1">
      <c r="A251">
        <v>512114</v>
      </c>
      <c r="B251" s="34">
        <v>5</v>
      </c>
      <c r="C251" t="s">
        <v>98</v>
      </c>
      <c r="D251" t="s">
        <v>726</v>
      </c>
      <c r="E251" s="23" t="s">
        <v>736</v>
      </c>
      <c r="F251" s="24">
        <v>1</v>
      </c>
      <c r="G251" s="25">
        <v>31366.73</v>
      </c>
      <c r="H251" s="25">
        <f t="shared" si="89"/>
        <v>31366.73</v>
      </c>
      <c r="I251" s="26">
        <v>46217</v>
      </c>
      <c r="J251" s="10">
        <v>46093</v>
      </c>
      <c r="K251" s="10">
        <v>46093</v>
      </c>
      <c r="L251" s="27" t="str">
        <f t="shared" si="87"/>
        <v>On time</v>
      </c>
      <c r="M251" s="58">
        <v>46094</v>
      </c>
      <c r="N251" s="27" t="str">
        <f t="shared" si="86"/>
        <v>On time</v>
      </c>
      <c r="O251" s="27">
        <f t="shared" si="100"/>
        <v>1</v>
      </c>
      <c r="P251" s="28" t="str">
        <f t="shared" si="85"/>
        <v>On time</v>
      </c>
      <c r="Q251" s="27">
        <f t="shared" si="101"/>
        <v>124</v>
      </c>
      <c r="R251" s="29" t="s">
        <v>722</v>
      </c>
      <c r="S251" t="s">
        <v>48</v>
      </c>
      <c r="T251" s="34">
        <v>4</v>
      </c>
      <c r="U251" t="s">
        <v>726</v>
      </c>
      <c r="V251" s="27">
        <v>1</v>
      </c>
      <c r="W251" s="9">
        <v>1520</v>
      </c>
      <c r="X251" s="53">
        <f t="shared" si="103"/>
        <v>1520</v>
      </c>
      <c r="Y251">
        <v>354.91</v>
      </c>
      <c r="Z251" s="10">
        <v>46101</v>
      </c>
      <c r="AA251" s="10">
        <v>46121</v>
      </c>
      <c r="AB251" s="10">
        <v>46157</v>
      </c>
      <c r="AC251" s="10">
        <v>46222</v>
      </c>
      <c r="AD251" s="31">
        <f t="shared" ca="1" si="108"/>
        <v>14</v>
      </c>
      <c r="AE251" s="55">
        <v>1</v>
      </c>
      <c r="AF251" s="63" t="s">
        <v>62</v>
      </c>
      <c r="AG251" s="10" t="s">
        <v>78</v>
      </c>
      <c r="AI251" s="9" t="s">
        <v>53</v>
      </c>
      <c r="AL251" t="s">
        <v>2069</v>
      </c>
      <c r="AM251" s="27" t="str">
        <f t="shared" si="91"/>
        <v>Atrasado</v>
      </c>
      <c r="AN251" s="27" t="str">
        <f t="shared" ca="1" si="88"/>
        <v>Atrasado</v>
      </c>
      <c r="AO251" s="27" t="str">
        <f t="shared" ca="1" si="84"/>
        <v/>
      </c>
    </row>
    <row r="252" spans="1:42" ht="15" hidden="1" customHeight="1">
      <c r="A252">
        <v>512114</v>
      </c>
      <c r="B252" s="34">
        <v>6</v>
      </c>
      <c r="C252" t="s">
        <v>98</v>
      </c>
      <c r="D252" t="s">
        <v>727</v>
      </c>
      <c r="E252" s="23" t="s">
        <v>2189</v>
      </c>
      <c r="F252" s="24">
        <v>15</v>
      </c>
      <c r="G252" s="25">
        <v>1031.8</v>
      </c>
      <c r="H252" s="25">
        <f t="shared" si="89"/>
        <v>15477</v>
      </c>
      <c r="I252" s="26">
        <v>46217</v>
      </c>
      <c r="J252" s="10">
        <v>46093</v>
      </c>
      <c r="K252" s="10">
        <v>46093</v>
      </c>
      <c r="L252" s="27" t="str">
        <f t="shared" si="87"/>
        <v>On time</v>
      </c>
      <c r="M252" s="58">
        <v>46094</v>
      </c>
      <c r="N252" s="27" t="str">
        <f t="shared" si="86"/>
        <v>On time</v>
      </c>
      <c r="O252" s="27">
        <f t="shared" si="100"/>
        <v>1</v>
      </c>
      <c r="P252" s="28" t="str">
        <f t="shared" si="85"/>
        <v>On time</v>
      </c>
      <c r="Q252" s="27">
        <f t="shared" si="101"/>
        <v>124</v>
      </c>
      <c r="R252" s="29" t="s">
        <v>722</v>
      </c>
      <c r="S252" t="s">
        <v>48</v>
      </c>
      <c r="T252" s="34">
        <v>5</v>
      </c>
      <c r="U252" t="s">
        <v>727</v>
      </c>
      <c r="V252" s="27">
        <v>15</v>
      </c>
      <c r="W252" s="9">
        <v>55</v>
      </c>
      <c r="X252" s="53">
        <f t="shared" si="103"/>
        <v>825</v>
      </c>
      <c r="Y252">
        <v>14.1</v>
      </c>
      <c r="Z252" s="10">
        <v>46101</v>
      </c>
      <c r="AA252" s="10">
        <v>46121</v>
      </c>
      <c r="AB252" s="10">
        <v>46157</v>
      </c>
      <c r="AC252" s="10">
        <v>46222</v>
      </c>
      <c r="AD252" s="31">
        <f t="shared" ca="1" si="108"/>
        <v>14</v>
      </c>
      <c r="AE252" s="55">
        <v>1</v>
      </c>
      <c r="AF252" s="63" t="s">
        <v>62</v>
      </c>
      <c r="AG252" s="10" t="s">
        <v>78</v>
      </c>
      <c r="AI252" s="9" t="s">
        <v>53</v>
      </c>
      <c r="AL252" t="s">
        <v>2069</v>
      </c>
      <c r="AM252" s="27" t="str">
        <f t="shared" si="91"/>
        <v>Atrasado</v>
      </c>
      <c r="AN252" s="27" t="str">
        <f t="shared" ca="1" si="88"/>
        <v>Atrasado</v>
      </c>
      <c r="AO252" s="27" t="str">
        <f t="shared" ca="1" si="84"/>
        <v/>
      </c>
    </row>
    <row r="253" spans="1:42" ht="15" hidden="1" customHeight="1">
      <c r="A253">
        <v>512405</v>
      </c>
      <c r="B253" s="34">
        <v>1</v>
      </c>
      <c r="C253" t="s">
        <v>25</v>
      </c>
      <c r="D253" t="s">
        <v>728</v>
      </c>
      <c r="E253" s="23" t="s">
        <v>737</v>
      </c>
      <c r="F253" s="24">
        <v>2</v>
      </c>
      <c r="G253" s="25">
        <v>16428.509999999998</v>
      </c>
      <c r="H253" s="25">
        <f t="shared" si="89"/>
        <v>32857.019999999997</v>
      </c>
      <c r="I253" s="26">
        <v>46332</v>
      </c>
      <c r="J253" s="10">
        <v>46087</v>
      </c>
      <c r="K253" s="10">
        <v>46087</v>
      </c>
      <c r="L253" s="27" t="str">
        <f t="shared" si="87"/>
        <v>On time</v>
      </c>
      <c r="M253" s="58">
        <v>46098</v>
      </c>
      <c r="N253" s="27" t="str">
        <f t="shared" si="86"/>
        <v>Atrasado</v>
      </c>
      <c r="O253" s="27">
        <f t="shared" si="100"/>
        <v>11</v>
      </c>
      <c r="P253" s="28" t="str">
        <f t="shared" si="85"/>
        <v>On time</v>
      </c>
      <c r="Q253" s="27">
        <f t="shared" si="101"/>
        <v>245</v>
      </c>
      <c r="R253" s="29" t="s">
        <v>722</v>
      </c>
      <c r="S253" t="s">
        <v>48</v>
      </c>
      <c r="T253" s="34">
        <v>6</v>
      </c>
      <c r="U253" t="s">
        <v>728</v>
      </c>
      <c r="V253" s="27">
        <v>2</v>
      </c>
      <c r="W253" s="9">
        <v>1050</v>
      </c>
      <c r="X253" s="53">
        <f t="shared" si="103"/>
        <v>2100</v>
      </c>
      <c r="Z253" s="10">
        <v>46101</v>
      </c>
      <c r="AA253" s="10">
        <v>46121</v>
      </c>
      <c r="AB253" s="10">
        <v>46157</v>
      </c>
      <c r="AC253" s="10">
        <v>46222</v>
      </c>
      <c r="AD253" s="31">
        <f t="shared" ca="1" si="108"/>
        <v>14</v>
      </c>
      <c r="AE253" s="55">
        <v>1</v>
      </c>
      <c r="AF253" s="63" t="s">
        <v>62</v>
      </c>
      <c r="AG253" s="10" t="s">
        <v>78</v>
      </c>
      <c r="AI253" s="9" t="s">
        <v>53</v>
      </c>
      <c r="AL253" t="s">
        <v>2071</v>
      </c>
      <c r="AM253" s="27" t="str">
        <f t="shared" si="91"/>
        <v>Atrasado</v>
      </c>
      <c r="AN253" s="27" t="str">
        <f t="shared" ca="1" si="88"/>
        <v>No prazo</v>
      </c>
      <c r="AO253" s="27" t="str">
        <f t="shared" ca="1" si="84"/>
        <v/>
      </c>
      <c r="AP253" t="s">
        <v>2070</v>
      </c>
    </row>
    <row r="254" spans="1:42" ht="15" hidden="1" customHeight="1">
      <c r="A254">
        <v>512677</v>
      </c>
      <c r="B254" s="34">
        <v>2</v>
      </c>
      <c r="C254" t="s">
        <v>25</v>
      </c>
      <c r="D254" t="s">
        <v>729</v>
      </c>
      <c r="E254" s="23" t="s">
        <v>1975</v>
      </c>
      <c r="F254" s="24">
        <v>1</v>
      </c>
      <c r="G254" s="25">
        <v>257.56</v>
      </c>
      <c r="H254" s="25">
        <f t="shared" si="89"/>
        <v>257.56</v>
      </c>
      <c r="I254" s="26">
        <v>46244</v>
      </c>
      <c r="J254" s="10">
        <v>46091</v>
      </c>
      <c r="K254" s="10">
        <v>46092</v>
      </c>
      <c r="L254" s="27" t="str">
        <f t="shared" si="87"/>
        <v>On time</v>
      </c>
      <c r="M254" s="58">
        <v>46098</v>
      </c>
      <c r="N254" s="27" t="str">
        <f t="shared" si="86"/>
        <v>Atrasado</v>
      </c>
      <c r="O254" s="27">
        <f t="shared" si="100"/>
        <v>7</v>
      </c>
      <c r="P254" s="28" t="str">
        <f t="shared" si="85"/>
        <v>On time</v>
      </c>
      <c r="Q254" s="27">
        <f t="shared" si="101"/>
        <v>153</v>
      </c>
      <c r="R254" s="29" t="s">
        <v>722</v>
      </c>
      <c r="S254" t="s">
        <v>48</v>
      </c>
      <c r="T254" s="34">
        <v>7</v>
      </c>
      <c r="U254" t="s">
        <v>729</v>
      </c>
      <c r="V254" s="27">
        <v>20</v>
      </c>
      <c r="W254" s="9">
        <v>12.71</v>
      </c>
      <c r="X254" s="53">
        <f t="shared" si="103"/>
        <v>254.20000000000002</v>
      </c>
      <c r="Z254" s="10">
        <v>46101</v>
      </c>
      <c r="AA254" s="10">
        <v>46121</v>
      </c>
      <c r="AB254" s="10">
        <v>46157</v>
      </c>
      <c r="AC254" s="10">
        <v>46222</v>
      </c>
      <c r="AD254" s="31">
        <f t="shared" ca="1" si="108"/>
        <v>14</v>
      </c>
      <c r="AE254" s="55">
        <v>1</v>
      </c>
      <c r="AF254" s="63" t="s">
        <v>62</v>
      </c>
      <c r="AG254" s="10" t="s">
        <v>78</v>
      </c>
      <c r="AI254" s="9" t="s">
        <v>53</v>
      </c>
      <c r="AL254" t="s">
        <v>2069</v>
      </c>
      <c r="AM254" s="27" t="str">
        <f t="shared" si="91"/>
        <v>Atrasado</v>
      </c>
      <c r="AN254" s="27" t="str">
        <f t="shared" ca="1" si="88"/>
        <v>Alerta</v>
      </c>
      <c r="AO254" s="27" t="str">
        <f t="shared" ca="1" si="84"/>
        <v/>
      </c>
    </row>
    <row r="255" spans="1:42" ht="15" hidden="1" customHeight="1">
      <c r="A255">
        <v>512406</v>
      </c>
      <c r="B255" s="34" t="s">
        <v>145</v>
      </c>
      <c r="C255" t="s">
        <v>25</v>
      </c>
      <c r="D255" t="s">
        <v>730</v>
      </c>
      <c r="E255" s="23" t="s">
        <v>738</v>
      </c>
      <c r="F255" s="24">
        <v>2</v>
      </c>
      <c r="G255" s="25">
        <v>3210.6</v>
      </c>
      <c r="H255" s="25">
        <f t="shared" si="89"/>
        <v>6421.2</v>
      </c>
      <c r="I255" s="26">
        <v>46332</v>
      </c>
      <c r="J255" s="10">
        <v>46087</v>
      </c>
      <c r="K255" s="10">
        <v>46087</v>
      </c>
      <c r="L255" s="27" t="str">
        <f t="shared" si="87"/>
        <v>On time</v>
      </c>
      <c r="M255" s="58">
        <v>46098</v>
      </c>
      <c r="N255" s="27" t="str">
        <f t="shared" si="86"/>
        <v>Atrasado</v>
      </c>
      <c r="O255" s="27">
        <f t="shared" si="100"/>
        <v>11</v>
      </c>
      <c r="P255" s="28" t="str">
        <f t="shared" si="85"/>
        <v>On time</v>
      </c>
      <c r="Q255" s="27">
        <f t="shared" si="101"/>
        <v>245</v>
      </c>
      <c r="R255" s="29" t="s">
        <v>722</v>
      </c>
      <c r="S255" t="s">
        <v>48</v>
      </c>
      <c r="T255" s="34">
        <v>8</v>
      </c>
      <c r="U255" t="s">
        <v>730</v>
      </c>
      <c r="V255" s="27">
        <v>2</v>
      </c>
      <c r="W255" s="9">
        <v>203.42</v>
      </c>
      <c r="X255" s="53">
        <f t="shared" si="103"/>
        <v>406.84</v>
      </c>
      <c r="Z255" s="10">
        <v>46101</v>
      </c>
      <c r="AA255" s="10">
        <v>46121</v>
      </c>
      <c r="AB255" s="10">
        <v>46157</v>
      </c>
      <c r="AC255" s="10">
        <v>46222</v>
      </c>
      <c r="AD255" s="31">
        <f t="shared" ca="1" si="108"/>
        <v>14</v>
      </c>
      <c r="AE255" s="55">
        <v>1</v>
      </c>
      <c r="AF255" s="63" t="s">
        <v>62</v>
      </c>
      <c r="AG255" s="10" t="s">
        <v>78</v>
      </c>
      <c r="AI255" s="9" t="s">
        <v>53</v>
      </c>
      <c r="AL255" t="s">
        <v>2069</v>
      </c>
      <c r="AM255" s="27" t="str">
        <f t="shared" si="91"/>
        <v>Atrasado</v>
      </c>
      <c r="AN255" s="27" t="str">
        <f t="shared" ca="1" si="88"/>
        <v>No prazo</v>
      </c>
      <c r="AO255" s="27" t="str">
        <f t="shared" ca="1" si="84"/>
        <v/>
      </c>
    </row>
    <row r="256" spans="1:42" ht="15" hidden="1" customHeight="1">
      <c r="A256">
        <v>512406</v>
      </c>
      <c r="B256" s="34" t="s">
        <v>733</v>
      </c>
      <c r="C256" t="s">
        <v>25</v>
      </c>
      <c r="D256" t="s">
        <v>731</v>
      </c>
      <c r="E256" s="23" t="s">
        <v>739</v>
      </c>
      <c r="F256" s="24">
        <v>3</v>
      </c>
      <c r="G256" s="25">
        <v>6806.1</v>
      </c>
      <c r="H256" s="25">
        <f t="shared" si="89"/>
        <v>20418.300000000003</v>
      </c>
      <c r="I256" s="26">
        <v>46332</v>
      </c>
      <c r="J256" s="10">
        <v>46087</v>
      </c>
      <c r="K256" s="10">
        <v>46087</v>
      </c>
      <c r="L256" s="27" t="str">
        <f t="shared" si="87"/>
        <v>On time</v>
      </c>
      <c r="M256" s="58">
        <v>46098</v>
      </c>
      <c r="N256" s="27" t="str">
        <f t="shared" si="86"/>
        <v>Atrasado</v>
      </c>
      <c r="O256" s="27">
        <f t="shared" si="100"/>
        <v>11</v>
      </c>
      <c r="P256" s="28" t="str">
        <f t="shared" si="85"/>
        <v>On time</v>
      </c>
      <c r="Q256" s="27">
        <f t="shared" si="101"/>
        <v>245</v>
      </c>
      <c r="R256" s="29" t="s">
        <v>722</v>
      </c>
      <c r="S256" t="s">
        <v>48</v>
      </c>
      <c r="T256" s="34">
        <v>9</v>
      </c>
      <c r="U256" t="s">
        <v>731</v>
      </c>
      <c r="V256" s="27">
        <v>3</v>
      </c>
      <c r="W256" s="9">
        <v>506.83</v>
      </c>
      <c r="X256" s="53">
        <f t="shared" si="103"/>
        <v>1520.49</v>
      </c>
      <c r="Z256" s="10">
        <v>46101</v>
      </c>
      <c r="AA256" s="10">
        <v>46121</v>
      </c>
      <c r="AB256" s="10">
        <v>46157</v>
      </c>
      <c r="AC256" s="10">
        <v>46222</v>
      </c>
      <c r="AD256" s="31">
        <f t="shared" ca="1" si="108"/>
        <v>14</v>
      </c>
      <c r="AE256" s="55">
        <v>1</v>
      </c>
      <c r="AF256" s="63" t="s">
        <v>62</v>
      </c>
      <c r="AG256" s="10" t="s">
        <v>78</v>
      </c>
      <c r="AI256" s="9" t="s">
        <v>53</v>
      </c>
      <c r="AL256" t="s">
        <v>2069</v>
      </c>
      <c r="AM256" s="27" t="str">
        <f t="shared" si="91"/>
        <v>Atrasado</v>
      </c>
      <c r="AN256" s="27" t="str">
        <f t="shared" ca="1" si="88"/>
        <v>No prazo</v>
      </c>
      <c r="AO256" s="27" t="str">
        <f t="shared" ca="1" si="84"/>
        <v/>
      </c>
    </row>
    <row r="257" spans="1:41" ht="15" hidden="1" customHeight="1">
      <c r="A257">
        <v>512436</v>
      </c>
      <c r="B257" s="34">
        <v>1</v>
      </c>
      <c r="C257" t="s">
        <v>25</v>
      </c>
      <c r="D257" t="s">
        <v>732</v>
      </c>
      <c r="E257" s="23" t="s">
        <v>740</v>
      </c>
      <c r="F257" s="24">
        <v>6</v>
      </c>
      <c r="G257" s="25">
        <v>187.2</v>
      </c>
      <c r="H257" s="25">
        <f t="shared" si="89"/>
        <v>1123.1999999999998</v>
      </c>
      <c r="I257" s="26">
        <v>46238</v>
      </c>
      <c r="J257" s="10">
        <v>46087</v>
      </c>
      <c r="K257" s="10">
        <v>46090</v>
      </c>
      <c r="L257" s="27" t="str">
        <f t="shared" si="87"/>
        <v>On time</v>
      </c>
      <c r="M257" s="58">
        <v>46098</v>
      </c>
      <c r="N257" s="27" t="str">
        <f t="shared" si="86"/>
        <v>Atrasado</v>
      </c>
      <c r="O257" s="27">
        <f t="shared" si="100"/>
        <v>11</v>
      </c>
      <c r="P257" s="28" t="str">
        <f t="shared" si="85"/>
        <v>On time</v>
      </c>
      <c r="Q257" s="27">
        <f t="shared" si="101"/>
        <v>151</v>
      </c>
      <c r="R257" s="29" t="s">
        <v>722</v>
      </c>
      <c r="S257" t="s">
        <v>48</v>
      </c>
      <c r="T257" s="34">
        <v>10</v>
      </c>
      <c r="U257" t="s">
        <v>732</v>
      </c>
      <c r="V257" s="27">
        <v>26</v>
      </c>
      <c r="W257" s="9">
        <v>13.38</v>
      </c>
      <c r="X257" s="53">
        <f t="shared" si="103"/>
        <v>347.88</v>
      </c>
      <c r="Z257" s="10">
        <v>46101</v>
      </c>
      <c r="AA257" s="10">
        <v>46121</v>
      </c>
      <c r="AB257" s="10">
        <v>46157</v>
      </c>
      <c r="AC257" s="10">
        <v>46222</v>
      </c>
      <c r="AD257" s="31">
        <f t="shared" ca="1" si="108"/>
        <v>14</v>
      </c>
      <c r="AE257" s="55">
        <v>1</v>
      </c>
      <c r="AF257" s="63" t="s">
        <v>62</v>
      </c>
      <c r="AG257" s="10" t="s">
        <v>78</v>
      </c>
      <c r="AI257" s="9" t="s">
        <v>53</v>
      </c>
      <c r="AL257" t="s">
        <v>2069</v>
      </c>
      <c r="AM257" s="27" t="str">
        <f t="shared" si="91"/>
        <v>Atrasado</v>
      </c>
      <c r="AN257" s="27" t="str">
        <f t="shared" ca="1" si="88"/>
        <v>Verificar aéreo</v>
      </c>
      <c r="AO257" s="27" t="str">
        <f t="shared" ca="1" si="84"/>
        <v/>
      </c>
    </row>
    <row r="258" spans="1:41" ht="15" hidden="1" customHeight="1">
      <c r="A258">
        <v>513195</v>
      </c>
      <c r="B258" s="34">
        <v>1</v>
      </c>
      <c r="C258" t="s">
        <v>25</v>
      </c>
      <c r="D258" t="s">
        <v>744</v>
      </c>
      <c r="E258" s="23" t="s">
        <v>761</v>
      </c>
      <c r="F258" s="24">
        <v>132</v>
      </c>
      <c r="G258" s="25">
        <v>186.66</v>
      </c>
      <c r="H258" s="25">
        <f t="shared" si="89"/>
        <v>24639.119999999999</v>
      </c>
      <c r="I258" s="26">
        <v>46251</v>
      </c>
      <c r="J258" s="10">
        <v>46098</v>
      </c>
      <c r="K258" s="10">
        <v>46099</v>
      </c>
      <c r="L258" s="27" t="str">
        <f t="shared" si="87"/>
        <v>On time</v>
      </c>
      <c r="M258" s="58">
        <v>46099</v>
      </c>
      <c r="N258" s="27" t="str">
        <f t="shared" si="86"/>
        <v>On time</v>
      </c>
      <c r="O258" s="27">
        <f t="shared" si="100"/>
        <v>1</v>
      </c>
      <c r="P258" s="28" t="str">
        <f t="shared" si="85"/>
        <v>On time</v>
      </c>
      <c r="Q258" s="27">
        <f t="shared" si="101"/>
        <v>153</v>
      </c>
      <c r="R258" s="29" t="s">
        <v>778</v>
      </c>
      <c r="S258" t="s">
        <v>65</v>
      </c>
      <c r="T258" s="35">
        <v>1</v>
      </c>
      <c r="U258" t="s">
        <v>744</v>
      </c>
      <c r="V258" s="27">
        <v>132</v>
      </c>
      <c r="W258" s="9">
        <v>8.51</v>
      </c>
      <c r="X258" s="9">
        <f>W258*V258</f>
        <v>1123.32</v>
      </c>
      <c r="Z258" s="10">
        <v>46108</v>
      </c>
      <c r="AA258" s="10">
        <v>46124</v>
      </c>
      <c r="AB258" s="10">
        <v>46132</v>
      </c>
      <c r="AC258" s="10">
        <v>46197</v>
      </c>
      <c r="AD258" s="31">
        <f t="shared" ca="1" si="78"/>
        <v>11</v>
      </c>
      <c r="AE258" s="55" t="s">
        <v>247</v>
      </c>
      <c r="AF258" s="63" t="s">
        <v>2030</v>
      </c>
      <c r="AG258" s="10" t="s">
        <v>78</v>
      </c>
      <c r="AI258" s="9" t="s">
        <v>53</v>
      </c>
      <c r="AL258" t="s">
        <v>2040</v>
      </c>
      <c r="AM258" s="27" t="str">
        <f t="shared" si="91"/>
        <v>On time</v>
      </c>
      <c r="AN258" s="27" t="str">
        <f t="shared" ca="1" si="88"/>
        <v>No prazo</v>
      </c>
      <c r="AO258" s="27" t="str">
        <f t="shared" ca="1" si="84"/>
        <v/>
      </c>
    </row>
    <row r="259" spans="1:41" ht="15" hidden="1" customHeight="1">
      <c r="A259">
        <v>513195</v>
      </c>
      <c r="B259" s="34">
        <v>2</v>
      </c>
      <c r="C259" t="s">
        <v>25</v>
      </c>
      <c r="D259" t="s">
        <v>745</v>
      </c>
      <c r="E259" s="23" t="s">
        <v>762</v>
      </c>
      <c r="F259" s="24">
        <v>20</v>
      </c>
      <c r="G259" s="25">
        <v>666.53</v>
      </c>
      <c r="H259" s="25">
        <f t="shared" si="89"/>
        <v>13330.599999999999</v>
      </c>
      <c r="I259" s="26">
        <v>46251</v>
      </c>
      <c r="J259" s="10">
        <v>46098</v>
      </c>
      <c r="K259" s="10">
        <v>46099</v>
      </c>
      <c r="L259" s="27" t="str">
        <f t="shared" si="87"/>
        <v>On time</v>
      </c>
      <c r="M259" s="58">
        <v>46099</v>
      </c>
      <c r="N259" s="27" t="str">
        <f t="shared" si="86"/>
        <v>On time</v>
      </c>
      <c r="O259" s="27">
        <f t="shared" si="100"/>
        <v>1</v>
      </c>
      <c r="P259" s="28" t="str">
        <f t="shared" si="85"/>
        <v>On time</v>
      </c>
      <c r="Q259" s="27">
        <f t="shared" si="101"/>
        <v>153</v>
      </c>
      <c r="R259" s="29" t="s">
        <v>778</v>
      </c>
      <c r="S259" t="s">
        <v>65</v>
      </c>
      <c r="T259" s="35">
        <v>2</v>
      </c>
      <c r="U259" t="s">
        <v>745</v>
      </c>
      <c r="V259" s="27">
        <v>20</v>
      </c>
      <c r="W259" s="9">
        <v>25.56</v>
      </c>
      <c r="X259" s="9">
        <f t="shared" ref="X259:X279" si="109">W259*V259</f>
        <v>511.2</v>
      </c>
      <c r="Z259" s="10">
        <v>46108</v>
      </c>
      <c r="AA259" s="10">
        <v>46124</v>
      </c>
      <c r="AB259" s="10">
        <v>46132</v>
      </c>
      <c r="AC259" s="10">
        <v>46197</v>
      </c>
      <c r="AD259" s="31">
        <f t="shared" ca="1" si="78"/>
        <v>11</v>
      </c>
      <c r="AE259" s="55" t="s">
        <v>247</v>
      </c>
      <c r="AF259" s="63" t="s">
        <v>2030</v>
      </c>
      <c r="AG259" s="10" t="s">
        <v>78</v>
      </c>
      <c r="AI259" s="9" t="s">
        <v>53</v>
      </c>
      <c r="AL259" t="s">
        <v>2040</v>
      </c>
      <c r="AM259" s="27" t="str">
        <f t="shared" si="91"/>
        <v>On time</v>
      </c>
      <c r="AN259" s="27" t="str">
        <f t="shared" ca="1" si="88"/>
        <v>No prazo</v>
      </c>
      <c r="AO259" s="27" t="str">
        <f t="shared" ca="1" si="84"/>
        <v/>
      </c>
    </row>
    <row r="260" spans="1:41" ht="15" hidden="1" customHeight="1">
      <c r="A260">
        <v>513195</v>
      </c>
      <c r="B260" s="34">
        <v>3</v>
      </c>
      <c r="C260" t="s">
        <v>25</v>
      </c>
      <c r="D260" t="s">
        <v>746</v>
      </c>
      <c r="E260" s="23" t="s">
        <v>763</v>
      </c>
      <c r="F260" s="24">
        <v>10</v>
      </c>
      <c r="G260" s="25">
        <v>1393.81</v>
      </c>
      <c r="H260" s="25">
        <f t="shared" si="89"/>
        <v>13938.099999999999</v>
      </c>
      <c r="I260" s="26">
        <v>46251</v>
      </c>
      <c r="J260" s="10">
        <v>46098</v>
      </c>
      <c r="K260" s="10">
        <v>46099</v>
      </c>
      <c r="L260" s="27" t="str">
        <f t="shared" si="87"/>
        <v>On time</v>
      </c>
      <c r="M260" s="58">
        <v>46099</v>
      </c>
      <c r="N260" s="27" t="str">
        <f t="shared" si="86"/>
        <v>On time</v>
      </c>
      <c r="O260" s="27">
        <f t="shared" si="100"/>
        <v>1</v>
      </c>
      <c r="P260" s="28" t="str">
        <f t="shared" si="85"/>
        <v>On time</v>
      </c>
      <c r="Q260" s="27">
        <f t="shared" si="101"/>
        <v>153</v>
      </c>
      <c r="R260" s="29" t="s">
        <v>778</v>
      </c>
      <c r="S260" t="s">
        <v>65</v>
      </c>
      <c r="T260" s="35">
        <v>3</v>
      </c>
      <c r="U260" t="s">
        <v>746</v>
      </c>
      <c r="V260" s="27">
        <v>10</v>
      </c>
      <c r="W260" s="9">
        <v>53.45</v>
      </c>
      <c r="X260" s="9">
        <f t="shared" si="109"/>
        <v>534.5</v>
      </c>
      <c r="Z260" s="10">
        <v>46108</v>
      </c>
      <c r="AA260" s="10">
        <v>46124</v>
      </c>
      <c r="AB260" s="10">
        <v>46132</v>
      </c>
      <c r="AC260" s="10">
        <v>46197</v>
      </c>
      <c r="AD260" s="31">
        <f t="shared" ca="1" si="78"/>
        <v>11</v>
      </c>
      <c r="AE260" s="55" t="s">
        <v>247</v>
      </c>
      <c r="AF260" s="63" t="s">
        <v>2030</v>
      </c>
      <c r="AG260" s="10" t="s">
        <v>78</v>
      </c>
      <c r="AI260" s="9" t="s">
        <v>53</v>
      </c>
      <c r="AL260" t="s">
        <v>2040</v>
      </c>
      <c r="AM260" s="27" t="str">
        <f t="shared" si="91"/>
        <v>On time</v>
      </c>
      <c r="AN260" s="27" t="str">
        <f t="shared" ca="1" si="88"/>
        <v>No prazo</v>
      </c>
      <c r="AO260" s="27" t="str">
        <f t="shared" ref="AO260:AO323" ca="1" si="110">IF(AN260="Chegou","Chegou HCI",IF(AND(AJ260&lt;&gt;"",AK260&lt;&gt;""),IF(TODAY()&gt;=AJ260,"Embarcado","Ag. embarque"),IF(AND(AJ260&lt;&gt;"",AK260=""),"Ag. booking","")))</f>
        <v/>
      </c>
    </row>
    <row r="261" spans="1:41" ht="15" hidden="1" customHeight="1">
      <c r="A261">
        <v>513195</v>
      </c>
      <c r="B261" s="34">
        <v>4</v>
      </c>
      <c r="C261" t="s">
        <v>25</v>
      </c>
      <c r="D261" t="s">
        <v>747</v>
      </c>
      <c r="E261" s="23" t="s">
        <v>764</v>
      </c>
      <c r="F261" s="24">
        <v>10</v>
      </c>
      <c r="G261" s="25">
        <v>1318.73</v>
      </c>
      <c r="H261" s="25">
        <f t="shared" si="89"/>
        <v>13187.3</v>
      </c>
      <c r="I261" s="26">
        <v>46251</v>
      </c>
      <c r="J261" s="10">
        <v>46098</v>
      </c>
      <c r="K261" s="10">
        <v>46099</v>
      </c>
      <c r="L261" s="27" t="str">
        <f t="shared" si="87"/>
        <v>On time</v>
      </c>
      <c r="M261" s="58">
        <v>46099</v>
      </c>
      <c r="N261" s="27" t="str">
        <f t="shared" si="86"/>
        <v>On time</v>
      </c>
      <c r="O261" s="27">
        <f t="shared" si="100"/>
        <v>1</v>
      </c>
      <c r="P261" s="28" t="str">
        <f t="shared" ref="P261:P324" si="111">IF(Z261=0," ",IF(M261&gt;=Z261+6,"Atrasado","On time"))</f>
        <v>On time</v>
      </c>
      <c r="Q261" s="27">
        <f t="shared" si="101"/>
        <v>153</v>
      </c>
      <c r="R261" s="29" t="s">
        <v>778</v>
      </c>
      <c r="S261" t="s">
        <v>65</v>
      </c>
      <c r="T261" s="35">
        <v>4</v>
      </c>
      <c r="U261" t="s">
        <v>747</v>
      </c>
      <c r="V261" s="27">
        <v>10</v>
      </c>
      <c r="W261" s="9">
        <v>30.29</v>
      </c>
      <c r="X261" s="9">
        <f t="shared" si="109"/>
        <v>302.89999999999998</v>
      </c>
      <c r="Z261" s="10">
        <v>46108</v>
      </c>
      <c r="AA261" s="10">
        <v>46124</v>
      </c>
      <c r="AB261" s="10">
        <v>46132</v>
      </c>
      <c r="AC261" s="10">
        <v>46197</v>
      </c>
      <c r="AD261" s="31">
        <f t="shared" ca="1" si="78"/>
        <v>11</v>
      </c>
      <c r="AE261" s="55" t="s">
        <v>247</v>
      </c>
      <c r="AF261" s="63" t="s">
        <v>2030</v>
      </c>
      <c r="AG261" s="10" t="s">
        <v>78</v>
      </c>
      <c r="AI261" s="9" t="s">
        <v>53</v>
      </c>
      <c r="AL261" t="s">
        <v>2040</v>
      </c>
      <c r="AM261" s="27" t="str">
        <f t="shared" si="91"/>
        <v>On time</v>
      </c>
      <c r="AN261" s="27" t="str">
        <f t="shared" ca="1" si="88"/>
        <v>No prazo</v>
      </c>
      <c r="AO261" s="27" t="str">
        <f t="shared" ca="1" si="110"/>
        <v/>
      </c>
    </row>
    <row r="262" spans="1:41" ht="15" hidden="1" customHeight="1">
      <c r="A262">
        <v>513106</v>
      </c>
      <c r="B262" s="34">
        <v>2</v>
      </c>
      <c r="C262" t="s">
        <v>25</v>
      </c>
      <c r="D262" t="s">
        <v>748</v>
      </c>
      <c r="E262" s="23" t="s">
        <v>765</v>
      </c>
      <c r="F262" s="24">
        <v>2</v>
      </c>
      <c r="G262" s="25">
        <v>839.48</v>
      </c>
      <c r="H262" s="25">
        <f t="shared" si="89"/>
        <v>1678.96</v>
      </c>
      <c r="I262" s="26">
        <v>46248</v>
      </c>
      <c r="J262" s="10">
        <v>46097</v>
      </c>
      <c r="K262" s="10">
        <v>46098</v>
      </c>
      <c r="L262" s="27" t="str">
        <f t="shared" si="87"/>
        <v>On time</v>
      </c>
      <c r="M262" s="58">
        <v>46099</v>
      </c>
      <c r="N262" s="27" t="str">
        <f t="shared" si="86"/>
        <v>On time</v>
      </c>
      <c r="O262" s="27">
        <f t="shared" si="100"/>
        <v>2</v>
      </c>
      <c r="P262" s="28" t="str">
        <f t="shared" si="111"/>
        <v>On time</v>
      </c>
      <c r="Q262" s="27">
        <f t="shared" si="101"/>
        <v>151</v>
      </c>
      <c r="R262" s="29" t="s">
        <v>778</v>
      </c>
      <c r="S262" t="s">
        <v>65</v>
      </c>
      <c r="T262" s="35">
        <v>5</v>
      </c>
      <c r="U262" t="s">
        <v>748</v>
      </c>
      <c r="V262" s="27">
        <v>2</v>
      </c>
      <c r="W262" s="9">
        <v>40.24</v>
      </c>
      <c r="X262" s="9">
        <f t="shared" si="109"/>
        <v>80.48</v>
      </c>
      <c r="Z262" s="10">
        <v>46108</v>
      </c>
      <c r="AA262" s="10">
        <v>46124</v>
      </c>
      <c r="AB262" s="10">
        <v>46132</v>
      </c>
      <c r="AC262" s="10">
        <v>46197</v>
      </c>
      <c r="AD262" s="31">
        <f t="shared" ca="1" si="78"/>
        <v>11</v>
      </c>
      <c r="AE262" s="55" t="s">
        <v>247</v>
      </c>
      <c r="AF262" s="63" t="s">
        <v>2030</v>
      </c>
      <c r="AG262" s="10" t="s">
        <v>78</v>
      </c>
      <c r="AI262" s="9" t="s">
        <v>53</v>
      </c>
      <c r="AL262" t="s">
        <v>2040</v>
      </c>
      <c r="AM262" s="27" t="str">
        <f t="shared" si="91"/>
        <v>On time</v>
      </c>
      <c r="AN262" s="27" t="str">
        <f t="shared" ca="1" si="88"/>
        <v>No prazo</v>
      </c>
      <c r="AO262" s="27" t="str">
        <f t="shared" ca="1" si="110"/>
        <v/>
      </c>
    </row>
    <row r="263" spans="1:41" ht="15" hidden="1" customHeight="1">
      <c r="A263">
        <v>513106</v>
      </c>
      <c r="B263" s="34">
        <v>3</v>
      </c>
      <c r="C263" t="s">
        <v>25</v>
      </c>
      <c r="D263" t="s">
        <v>749</v>
      </c>
      <c r="E263" s="23" t="s">
        <v>766</v>
      </c>
      <c r="F263" s="24">
        <v>15</v>
      </c>
      <c r="G263" s="25">
        <v>3131.38</v>
      </c>
      <c r="H263" s="25">
        <f t="shared" si="89"/>
        <v>46970.700000000004</v>
      </c>
      <c r="I263" s="26">
        <v>46248</v>
      </c>
      <c r="J263" s="10">
        <v>46097</v>
      </c>
      <c r="K263" s="10">
        <v>46098</v>
      </c>
      <c r="L263" s="27" t="str">
        <f t="shared" si="87"/>
        <v>On time</v>
      </c>
      <c r="M263" s="58">
        <v>46099</v>
      </c>
      <c r="N263" s="27" t="str">
        <f t="shared" si="86"/>
        <v>On time</v>
      </c>
      <c r="O263" s="27">
        <f t="shared" si="100"/>
        <v>2</v>
      </c>
      <c r="P263" s="28" t="str">
        <f t="shared" si="111"/>
        <v>On time</v>
      </c>
      <c r="Q263" s="27">
        <f t="shared" si="101"/>
        <v>151</v>
      </c>
      <c r="R263" s="29" t="s">
        <v>778</v>
      </c>
      <c r="S263" t="s">
        <v>65</v>
      </c>
      <c r="T263" s="35">
        <v>6</v>
      </c>
      <c r="U263" t="s">
        <v>749</v>
      </c>
      <c r="V263" s="27">
        <v>15</v>
      </c>
      <c r="W263" s="9">
        <v>152.76</v>
      </c>
      <c r="X263" s="9">
        <f t="shared" si="109"/>
        <v>2291.3999999999996</v>
      </c>
      <c r="Z263" s="10">
        <v>46108</v>
      </c>
      <c r="AA263" s="10">
        <v>46124</v>
      </c>
      <c r="AB263" s="10">
        <v>46132</v>
      </c>
      <c r="AC263" s="10">
        <v>46197</v>
      </c>
      <c r="AD263" s="31">
        <f t="shared" ref="AD263:AD325" ca="1" si="112">TODAY()-AA263</f>
        <v>11</v>
      </c>
      <c r="AE263" s="55" t="s">
        <v>247</v>
      </c>
      <c r="AF263" s="63" t="s">
        <v>2030</v>
      </c>
      <c r="AG263" s="10" t="s">
        <v>78</v>
      </c>
      <c r="AI263" s="9" t="s">
        <v>53</v>
      </c>
      <c r="AL263" t="s">
        <v>2040</v>
      </c>
      <c r="AM263" s="27" t="str">
        <f t="shared" si="91"/>
        <v>On time</v>
      </c>
      <c r="AN263" s="27" t="str">
        <f t="shared" ca="1" si="88"/>
        <v>No prazo</v>
      </c>
      <c r="AO263" s="27" t="str">
        <f t="shared" ca="1" si="110"/>
        <v/>
      </c>
    </row>
    <row r="264" spans="1:41" ht="15" hidden="1" customHeight="1">
      <c r="A264">
        <v>513106</v>
      </c>
      <c r="B264" s="34">
        <v>7</v>
      </c>
      <c r="C264" t="s">
        <v>25</v>
      </c>
      <c r="D264" t="s">
        <v>750</v>
      </c>
      <c r="E264" s="23" t="s">
        <v>767</v>
      </c>
      <c r="F264" s="24">
        <v>2</v>
      </c>
      <c r="G264" s="25">
        <v>42.77</v>
      </c>
      <c r="H264" s="25">
        <f t="shared" si="89"/>
        <v>85.54</v>
      </c>
      <c r="I264" s="26">
        <v>46248</v>
      </c>
      <c r="J264" s="10">
        <v>46097</v>
      </c>
      <c r="K264" s="10">
        <v>46098</v>
      </c>
      <c r="L264" s="27" t="str">
        <f t="shared" si="87"/>
        <v>On time</v>
      </c>
      <c r="M264" s="58">
        <v>46099</v>
      </c>
      <c r="N264" s="27" t="str">
        <f t="shared" si="86"/>
        <v>On time</v>
      </c>
      <c r="O264" s="27">
        <f t="shared" si="100"/>
        <v>2</v>
      </c>
      <c r="P264" s="28" t="str">
        <f t="shared" si="111"/>
        <v>On time</v>
      </c>
      <c r="Q264" s="27">
        <f t="shared" si="101"/>
        <v>151</v>
      </c>
      <c r="R264" s="29" t="s">
        <v>778</v>
      </c>
      <c r="S264" t="s">
        <v>65</v>
      </c>
      <c r="T264" s="35">
        <v>7</v>
      </c>
      <c r="U264" t="s">
        <v>750</v>
      </c>
      <c r="V264" s="79">
        <v>6</v>
      </c>
      <c r="W264" s="70">
        <v>2.0499999999999998</v>
      </c>
      <c r="X264" s="80">
        <f t="shared" si="109"/>
        <v>12.299999999999999</v>
      </c>
      <c r="Z264" s="10">
        <v>46108</v>
      </c>
      <c r="AA264" s="10">
        <v>46124</v>
      </c>
      <c r="AB264" s="10">
        <v>46132</v>
      </c>
      <c r="AC264" s="10">
        <v>46197</v>
      </c>
      <c r="AD264" s="31">
        <f t="shared" ca="1" si="112"/>
        <v>11</v>
      </c>
      <c r="AE264" s="55" t="s">
        <v>247</v>
      </c>
      <c r="AF264" s="63" t="s">
        <v>2030</v>
      </c>
      <c r="AG264" s="10" t="s">
        <v>78</v>
      </c>
      <c r="AI264" s="9" t="s">
        <v>53</v>
      </c>
      <c r="AL264" t="s">
        <v>2040</v>
      </c>
      <c r="AM264" s="27" t="str">
        <f t="shared" si="91"/>
        <v>On time</v>
      </c>
      <c r="AN264" s="27" t="str">
        <f t="shared" ca="1" si="88"/>
        <v>No prazo</v>
      </c>
      <c r="AO264" s="27" t="str">
        <f t="shared" ca="1" si="110"/>
        <v/>
      </c>
    </row>
    <row r="265" spans="1:41" ht="15" hidden="1" customHeight="1">
      <c r="A265">
        <v>513287</v>
      </c>
      <c r="B265" s="34">
        <v>2</v>
      </c>
      <c r="C265" t="s">
        <v>25</v>
      </c>
      <c r="D265" t="s">
        <v>750</v>
      </c>
      <c r="E265" s="23" t="s">
        <v>767</v>
      </c>
      <c r="F265" s="24">
        <v>4</v>
      </c>
      <c r="G265" s="25">
        <v>42.77</v>
      </c>
      <c r="H265" s="25">
        <f t="shared" si="89"/>
        <v>171.08</v>
      </c>
      <c r="I265" s="26">
        <v>46248</v>
      </c>
      <c r="J265" s="10">
        <v>46100</v>
      </c>
      <c r="K265" s="10">
        <v>46100</v>
      </c>
      <c r="L265" s="27" t="str">
        <f t="shared" si="87"/>
        <v>On time</v>
      </c>
      <c r="M265" s="58">
        <v>46099</v>
      </c>
      <c r="N265" s="27" t="str">
        <f t="shared" si="86"/>
        <v>On time</v>
      </c>
      <c r="O265" s="27">
        <f t="shared" si="100"/>
        <v>-1</v>
      </c>
      <c r="P265" s="28" t="str">
        <f t="shared" si="111"/>
        <v>On time</v>
      </c>
      <c r="Q265" s="27">
        <f t="shared" si="101"/>
        <v>148</v>
      </c>
      <c r="R265" s="29" t="s">
        <v>778</v>
      </c>
      <c r="S265" t="s">
        <v>65</v>
      </c>
      <c r="T265" s="35">
        <v>7</v>
      </c>
      <c r="U265" t="s">
        <v>750</v>
      </c>
      <c r="V265" s="79"/>
      <c r="W265" s="70">
        <v>2.0499999999999998</v>
      </c>
      <c r="X265" s="80"/>
      <c r="Z265" s="10">
        <v>46108</v>
      </c>
      <c r="AA265" s="10">
        <v>46124</v>
      </c>
      <c r="AB265" s="10">
        <v>46132</v>
      </c>
      <c r="AC265" s="10">
        <v>46197</v>
      </c>
      <c r="AD265" s="31">
        <f t="shared" ca="1" si="112"/>
        <v>11</v>
      </c>
      <c r="AE265" s="55" t="s">
        <v>247</v>
      </c>
      <c r="AF265" s="63" t="s">
        <v>2030</v>
      </c>
      <c r="AG265" s="10" t="s">
        <v>78</v>
      </c>
      <c r="AI265" s="9" t="s">
        <v>53</v>
      </c>
      <c r="AL265" t="s">
        <v>2040</v>
      </c>
      <c r="AM265" s="27" t="str">
        <f t="shared" si="91"/>
        <v>On time</v>
      </c>
      <c r="AN265" s="27" t="str">
        <f t="shared" ca="1" si="88"/>
        <v>No prazo</v>
      </c>
      <c r="AO265" s="27" t="str">
        <f t="shared" ca="1" si="110"/>
        <v/>
      </c>
    </row>
    <row r="266" spans="1:41" ht="15" hidden="1" customHeight="1">
      <c r="A266">
        <v>513106</v>
      </c>
      <c r="B266" s="34">
        <v>8</v>
      </c>
      <c r="C266" t="s">
        <v>25</v>
      </c>
      <c r="D266" t="s">
        <v>751</v>
      </c>
      <c r="E266" s="23" t="s">
        <v>768</v>
      </c>
      <c r="F266" s="24">
        <v>10</v>
      </c>
      <c r="G266" s="25">
        <v>308.88</v>
      </c>
      <c r="H266" s="25">
        <f t="shared" si="89"/>
        <v>3088.8</v>
      </c>
      <c r="I266" s="26">
        <v>46248</v>
      </c>
      <c r="J266" s="10">
        <v>46097</v>
      </c>
      <c r="K266" s="10">
        <v>46098</v>
      </c>
      <c r="L266" s="27" t="str">
        <f t="shared" si="87"/>
        <v>On time</v>
      </c>
      <c r="M266" s="58">
        <v>46099</v>
      </c>
      <c r="N266" s="27" t="str">
        <f t="shared" ref="N266:N329" si="113">IF(J266=0," ",IF(M266&lt;=J266+6,"On time","Atrasado"))</f>
        <v>On time</v>
      </c>
      <c r="O266" s="27">
        <f t="shared" si="100"/>
        <v>2</v>
      </c>
      <c r="P266" s="28" t="str">
        <f t="shared" si="111"/>
        <v>On time</v>
      </c>
      <c r="Q266" s="27">
        <f t="shared" si="101"/>
        <v>151</v>
      </c>
      <c r="R266" s="29" t="s">
        <v>778</v>
      </c>
      <c r="S266" t="s">
        <v>65</v>
      </c>
      <c r="T266" s="35">
        <v>8</v>
      </c>
      <c r="U266" t="s">
        <v>751</v>
      </c>
      <c r="V266" s="27">
        <v>10</v>
      </c>
      <c r="W266" s="9">
        <v>10.54</v>
      </c>
      <c r="X266" s="9">
        <f t="shared" si="109"/>
        <v>105.39999999999999</v>
      </c>
      <c r="Z266" s="10">
        <v>46108</v>
      </c>
      <c r="AA266" s="10">
        <v>46124</v>
      </c>
      <c r="AB266" s="10">
        <v>46132</v>
      </c>
      <c r="AC266" s="10">
        <v>46197</v>
      </c>
      <c r="AD266" s="31">
        <f t="shared" ca="1" si="112"/>
        <v>11</v>
      </c>
      <c r="AE266" s="55" t="s">
        <v>247</v>
      </c>
      <c r="AF266" s="63" t="s">
        <v>2030</v>
      </c>
      <c r="AG266" s="10" t="s">
        <v>78</v>
      </c>
      <c r="AI266" s="9" t="s">
        <v>53</v>
      </c>
      <c r="AL266" t="s">
        <v>2040</v>
      </c>
      <c r="AM266" s="27" t="str">
        <f t="shared" si="91"/>
        <v>On time</v>
      </c>
      <c r="AN266" s="27" t="str">
        <f t="shared" ca="1" si="88"/>
        <v>No prazo</v>
      </c>
      <c r="AO266" s="27" t="str">
        <f t="shared" ca="1" si="110"/>
        <v/>
      </c>
    </row>
    <row r="267" spans="1:41" ht="15" hidden="1" customHeight="1">
      <c r="A267">
        <v>513106</v>
      </c>
      <c r="B267" s="34">
        <v>11</v>
      </c>
      <c r="C267" t="s">
        <v>25</v>
      </c>
      <c r="D267" t="s">
        <v>752</v>
      </c>
      <c r="E267" s="23" t="s">
        <v>769</v>
      </c>
      <c r="F267" s="24">
        <v>2</v>
      </c>
      <c r="G267" s="25">
        <v>1395.02</v>
      </c>
      <c r="H267" s="25">
        <f t="shared" si="89"/>
        <v>2790.04</v>
      </c>
      <c r="I267" s="26">
        <v>46248</v>
      </c>
      <c r="J267" s="10">
        <v>46097</v>
      </c>
      <c r="K267" s="10">
        <v>46098</v>
      </c>
      <c r="L267" s="27" t="str">
        <f t="shared" ref="L267:L330" si="114">IF(J267=0," ",IF(K267&lt;=J267+6,"On time","Atrasado"))</f>
        <v>On time</v>
      </c>
      <c r="M267" s="58">
        <v>46099</v>
      </c>
      <c r="N267" s="27" t="str">
        <f t="shared" si="113"/>
        <v>On time</v>
      </c>
      <c r="O267" s="27">
        <f t="shared" si="100"/>
        <v>2</v>
      </c>
      <c r="P267" s="28" t="str">
        <f t="shared" si="111"/>
        <v>On time</v>
      </c>
      <c r="Q267" s="27">
        <f t="shared" si="101"/>
        <v>151</v>
      </c>
      <c r="R267" s="29" t="s">
        <v>778</v>
      </c>
      <c r="S267" t="s">
        <v>65</v>
      </c>
      <c r="T267" s="35">
        <v>9</v>
      </c>
      <c r="U267" t="s">
        <v>752</v>
      </c>
      <c r="V267" s="27">
        <v>2</v>
      </c>
      <c r="W267" s="9">
        <v>66.87</v>
      </c>
      <c r="X267" s="9">
        <f t="shared" si="109"/>
        <v>133.74</v>
      </c>
      <c r="Z267" s="10">
        <v>46108</v>
      </c>
      <c r="AA267" s="10">
        <v>46124</v>
      </c>
      <c r="AB267" s="10">
        <v>46132</v>
      </c>
      <c r="AC267" s="10">
        <v>46197</v>
      </c>
      <c r="AD267" s="31">
        <f t="shared" ca="1" si="112"/>
        <v>11</v>
      </c>
      <c r="AE267" s="55" t="s">
        <v>247</v>
      </c>
      <c r="AF267" s="63" t="s">
        <v>2030</v>
      </c>
      <c r="AG267" s="10" t="s">
        <v>78</v>
      </c>
      <c r="AI267" s="9" t="s">
        <v>53</v>
      </c>
      <c r="AL267" t="s">
        <v>2040</v>
      </c>
      <c r="AM267" s="27" t="str">
        <f t="shared" si="91"/>
        <v>On time</v>
      </c>
      <c r="AN267" s="27" t="str">
        <f t="shared" ca="1" si="88"/>
        <v>No prazo</v>
      </c>
      <c r="AO267" s="27" t="str">
        <f t="shared" ca="1" si="110"/>
        <v/>
      </c>
    </row>
    <row r="268" spans="1:41" ht="15" hidden="1" customHeight="1">
      <c r="A268">
        <v>513106</v>
      </c>
      <c r="B268" s="34">
        <v>12</v>
      </c>
      <c r="C268" t="s">
        <v>25</v>
      </c>
      <c r="D268" t="s">
        <v>753</v>
      </c>
      <c r="E268" s="23" t="s">
        <v>770</v>
      </c>
      <c r="F268" s="24">
        <v>4</v>
      </c>
      <c r="G268" s="25">
        <v>1023.91</v>
      </c>
      <c r="H268" s="25">
        <f t="shared" si="89"/>
        <v>4095.64</v>
      </c>
      <c r="I268" s="26">
        <v>46248</v>
      </c>
      <c r="J268" s="10">
        <v>46097</v>
      </c>
      <c r="K268" s="10">
        <v>46098</v>
      </c>
      <c r="L268" s="27" t="str">
        <f t="shared" si="114"/>
        <v>On time</v>
      </c>
      <c r="M268" s="58">
        <v>46099</v>
      </c>
      <c r="N268" s="27" t="str">
        <f t="shared" si="113"/>
        <v>On time</v>
      </c>
      <c r="O268" s="27">
        <f t="shared" si="100"/>
        <v>2</v>
      </c>
      <c r="P268" s="28" t="str">
        <f t="shared" si="111"/>
        <v>On time</v>
      </c>
      <c r="Q268" s="27">
        <f t="shared" si="101"/>
        <v>151</v>
      </c>
      <c r="R268" s="29" t="s">
        <v>778</v>
      </c>
      <c r="S268" t="s">
        <v>65</v>
      </c>
      <c r="T268" s="35">
        <v>10</v>
      </c>
      <c r="U268" t="s">
        <v>753</v>
      </c>
      <c r="V268" s="27">
        <v>4</v>
      </c>
      <c r="W268" s="70">
        <v>64.180000000000007</v>
      </c>
      <c r="X268" s="70">
        <f t="shared" si="109"/>
        <v>256.72000000000003</v>
      </c>
      <c r="Z268" s="10">
        <v>46108</v>
      </c>
      <c r="AA268" s="10">
        <v>46124</v>
      </c>
      <c r="AB268" s="10">
        <v>46132</v>
      </c>
      <c r="AC268" s="10">
        <v>46197</v>
      </c>
      <c r="AD268" s="31">
        <f t="shared" ca="1" si="112"/>
        <v>11</v>
      </c>
      <c r="AE268" s="55" t="s">
        <v>247</v>
      </c>
      <c r="AF268" s="63" t="s">
        <v>2030</v>
      </c>
      <c r="AG268" s="10" t="s">
        <v>78</v>
      </c>
      <c r="AI268" s="9" t="s">
        <v>53</v>
      </c>
      <c r="AL268" t="s">
        <v>2040</v>
      </c>
      <c r="AM268" s="27" t="str">
        <f t="shared" si="91"/>
        <v>On time</v>
      </c>
      <c r="AN268" s="27" t="str">
        <f t="shared" ca="1" si="88"/>
        <v>No prazo</v>
      </c>
      <c r="AO268" s="27" t="str">
        <f t="shared" ca="1" si="110"/>
        <v/>
      </c>
    </row>
    <row r="269" spans="1:41" ht="15" hidden="1" customHeight="1">
      <c r="A269">
        <v>511679</v>
      </c>
      <c r="B269" s="34">
        <v>9</v>
      </c>
      <c r="C269" t="s">
        <v>25</v>
      </c>
      <c r="D269" t="s">
        <v>754</v>
      </c>
      <c r="E269" s="23" t="s">
        <v>771</v>
      </c>
      <c r="F269" s="24">
        <v>15</v>
      </c>
      <c r="G269" s="25">
        <v>767.98</v>
      </c>
      <c r="H269" s="25">
        <f t="shared" si="89"/>
        <v>11519.7</v>
      </c>
      <c r="I269" s="26">
        <v>46230</v>
      </c>
      <c r="J269" s="10">
        <v>46078</v>
      </c>
      <c r="K269" s="10">
        <v>46079</v>
      </c>
      <c r="L269" s="27" t="str">
        <f t="shared" si="114"/>
        <v>On time</v>
      </c>
      <c r="M269" s="58">
        <v>46099</v>
      </c>
      <c r="N269" s="27" t="str">
        <f t="shared" si="113"/>
        <v>Atrasado</v>
      </c>
      <c r="O269" s="27">
        <f t="shared" si="100"/>
        <v>21</v>
      </c>
      <c r="P269" s="28" t="str">
        <f t="shared" si="111"/>
        <v>On time</v>
      </c>
      <c r="Q269" s="27">
        <f t="shared" si="101"/>
        <v>152</v>
      </c>
      <c r="R269" s="29" t="s">
        <v>778</v>
      </c>
      <c r="S269" t="s">
        <v>65</v>
      </c>
      <c r="T269" s="35">
        <v>11</v>
      </c>
      <c r="U269" t="s">
        <v>754</v>
      </c>
      <c r="V269" s="79">
        <v>17</v>
      </c>
      <c r="W269" s="9">
        <v>45.39</v>
      </c>
      <c r="X269" s="80">
        <f>W269*V269</f>
        <v>771.63</v>
      </c>
      <c r="Z269" s="10">
        <v>46108</v>
      </c>
      <c r="AA269" s="10">
        <v>46124</v>
      </c>
      <c r="AB269" s="10">
        <v>46132</v>
      </c>
      <c r="AC269" s="10">
        <v>46197</v>
      </c>
      <c r="AD269" s="31">
        <f t="shared" ca="1" si="112"/>
        <v>11</v>
      </c>
      <c r="AE269" s="55" t="s">
        <v>247</v>
      </c>
      <c r="AF269" s="63" t="s">
        <v>2030</v>
      </c>
      <c r="AG269" s="10" t="s">
        <v>78</v>
      </c>
      <c r="AI269" s="9" t="s">
        <v>53</v>
      </c>
      <c r="AL269" t="s">
        <v>2040</v>
      </c>
      <c r="AM269" s="27" t="str">
        <f t="shared" si="91"/>
        <v>On time</v>
      </c>
      <c r="AN269" s="27" t="str">
        <f t="shared" ca="1" si="88"/>
        <v>No prazo</v>
      </c>
      <c r="AO269" s="27" t="str">
        <f t="shared" ca="1" si="110"/>
        <v/>
      </c>
    </row>
    <row r="270" spans="1:41" ht="15" hidden="1" customHeight="1">
      <c r="A270">
        <v>513106</v>
      </c>
      <c r="B270" s="34">
        <v>13</v>
      </c>
      <c r="C270" t="s">
        <v>25</v>
      </c>
      <c r="D270" t="s">
        <v>754</v>
      </c>
      <c r="E270" s="23" t="s">
        <v>771</v>
      </c>
      <c r="F270" s="24">
        <v>2</v>
      </c>
      <c r="G270" s="25">
        <v>767.98</v>
      </c>
      <c r="H270" s="25">
        <f t="shared" si="89"/>
        <v>1535.96</v>
      </c>
      <c r="I270" s="26">
        <v>46248</v>
      </c>
      <c r="J270" s="10">
        <v>46097</v>
      </c>
      <c r="K270" s="10">
        <v>46098</v>
      </c>
      <c r="L270" s="27" t="str">
        <f t="shared" si="114"/>
        <v>On time</v>
      </c>
      <c r="M270" s="58">
        <v>46099</v>
      </c>
      <c r="N270" s="27" t="str">
        <f t="shared" si="113"/>
        <v>On time</v>
      </c>
      <c r="O270" s="27">
        <f t="shared" si="100"/>
        <v>2</v>
      </c>
      <c r="P270" s="28" t="str">
        <f t="shared" si="111"/>
        <v>On time</v>
      </c>
      <c r="Q270" s="27">
        <f t="shared" si="101"/>
        <v>151</v>
      </c>
      <c r="R270" s="29" t="s">
        <v>778</v>
      </c>
      <c r="S270" t="s">
        <v>65</v>
      </c>
      <c r="T270" s="35">
        <v>11</v>
      </c>
      <c r="U270" t="s">
        <v>754</v>
      </c>
      <c r="V270" s="79"/>
      <c r="W270" s="9">
        <v>45.39</v>
      </c>
      <c r="X270" s="80"/>
      <c r="Z270" s="10">
        <v>46108</v>
      </c>
      <c r="AA270" s="10">
        <v>46124</v>
      </c>
      <c r="AB270" s="10">
        <v>46132</v>
      </c>
      <c r="AC270" s="10">
        <v>46197</v>
      </c>
      <c r="AD270" s="31">
        <f t="shared" ca="1" si="112"/>
        <v>11</v>
      </c>
      <c r="AE270" s="55" t="s">
        <v>247</v>
      </c>
      <c r="AF270" s="63" t="s">
        <v>2030</v>
      </c>
      <c r="AG270" s="10" t="s">
        <v>78</v>
      </c>
      <c r="AI270" s="9" t="s">
        <v>53</v>
      </c>
      <c r="AL270" t="s">
        <v>2040</v>
      </c>
      <c r="AM270" s="27" t="str">
        <f t="shared" si="91"/>
        <v>On time</v>
      </c>
      <c r="AN270" s="27" t="str">
        <f t="shared" ref="AN270:AN334" ca="1" si="115">IF(AND(AC270&lt;&gt;"",AC270&lt;=TODAY()),"Chegou",IF(A270="","Estoque",IF(OR(AC270="",I270=""),"",IF(I270-AC270&lt;=0,"Atrasado",IF(I270-AC270&lt;=9,"Crítico",IF(I270-AC270&lt;=20,"Verificar aéreo",IF(I270-AC270&lt;=25,"Alerta","No prazo")        ))))))</f>
        <v>No prazo</v>
      </c>
      <c r="AO270" s="27" t="str">
        <f t="shared" ca="1" si="110"/>
        <v/>
      </c>
    </row>
    <row r="271" spans="1:41" ht="15" hidden="1" customHeight="1">
      <c r="A271">
        <v>513106</v>
      </c>
      <c r="B271" s="34">
        <v>15</v>
      </c>
      <c r="C271" t="s">
        <v>25</v>
      </c>
      <c r="D271" t="s">
        <v>755</v>
      </c>
      <c r="E271" s="23" t="s">
        <v>772</v>
      </c>
      <c r="F271" s="24">
        <v>4</v>
      </c>
      <c r="G271" s="25">
        <v>1023.91</v>
      </c>
      <c r="H271" s="25">
        <f t="shared" si="89"/>
        <v>4095.64</v>
      </c>
      <c r="I271" s="26">
        <v>46248</v>
      </c>
      <c r="J271" s="10">
        <v>46097</v>
      </c>
      <c r="K271" s="10">
        <v>46098</v>
      </c>
      <c r="L271" s="27" t="str">
        <f t="shared" si="114"/>
        <v>On time</v>
      </c>
      <c r="M271" s="58">
        <v>46099</v>
      </c>
      <c r="N271" s="27" t="str">
        <f t="shared" si="113"/>
        <v>On time</v>
      </c>
      <c r="O271" s="27">
        <f t="shared" si="100"/>
        <v>2</v>
      </c>
      <c r="P271" s="28" t="str">
        <f t="shared" si="111"/>
        <v>On time</v>
      </c>
      <c r="Q271" s="27">
        <f t="shared" si="101"/>
        <v>151</v>
      </c>
      <c r="R271" s="29" t="s">
        <v>778</v>
      </c>
      <c r="S271" t="s">
        <v>65</v>
      </c>
      <c r="T271" s="35">
        <v>12</v>
      </c>
      <c r="U271" t="s">
        <v>755</v>
      </c>
      <c r="V271" s="27">
        <v>4</v>
      </c>
      <c r="W271" s="9">
        <v>64.180000000000007</v>
      </c>
      <c r="X271" s="9">
        <f t="shared" si="109"/>
        <v>256.72000000000003</v>
      </c>
      <c r="Z271" s="10">
        <v>46108</v>
      </c>
      <c r="AA271" s="10">
        <v>46124</v>
      </c>
      <c r="AB271" s="10">
        <v>46132</v>
      </c>
      <c r="AC271" s="10">
        <v>46197</v>
      </c>
      <c r="AD271" s="31">
        <f t="shared" ca="1" si="112"/>
        <v>11</v>
      </c>
      <c r="AE271" s="55" t="s">
        <v>247</v>
      </c>
      <c r="AF271" s="63" t="s">
        <v>2030</v>
      </c>
      <c r="AG271" s="10" t="s">
        <v>78</v>
      </c>
      <c r="AI271" s="9" t="s">
        <v>53</v>
      </c>
      <c r="AL271" t="s">
        <v>2040</v>
      </c>
      <c r="AM271" s="27" t="str">
        <f t="shared" si="91"/>
        <v>On time</v>
      </c>
      <c r="AN271" s="27" t="str">
        <f t="shared" ca="1" si="115"/>
        <v>No prazo</v>
      </c>
      <c r="AO271" s="27" t="str">
        <f t="shared" ca="1" si="110"/>
        <v/>
      </c>
    </row>
    <row r="272" spans="1:41" ht="15" hidden="1" customHeight="1">
      <c r="A272">
        <v>513106</v>
      </c>
      <c r="B272" s="34">
        <v>17</v>
      </c>
      <c r="C272" t="s">
        <v>25</v>
      </c>
      <c r="D272" t="s">
        <v>756</v>
      </c>
      <c r="E272" s="23" t="s">
        <v>773</v>
      </c>
      <c r="F272" s="24">
        <v>10</v>
      </c>
      <c r="G272" s="25">
        <v>286.38</v>
      </c>
      <c r="H272" s="25">
        <f t="shared" si="89"/>
        <v>2863.8</v>
      </c>
      <c r="I272" s="26">
        <v>46248</v>
      </c>
      <c r="J272" s="10">
        <v>46097</v>
      </c>
      <c r="K272" s="10">
        <v>46098</v>
      </c>
      <c r="L272" s="27" t="str">
        <f t="shared" si="114"/>
        <v>On time</v>
      </c>
      <c r="M272" s="58">
        <v>46099</v>
      </c>
      <c r="N272" s="27" t="str">
        <f t="shared" si="113"/>
        <v>On time</v>
      </c>
      <c r="O272" s="27">
        <f t="shared" si="100"/>
        <v>2</v>
      </c>
      <c r="P272" s="28" t="str">
        <f t="shared" si="111"/>
        <v>On time</v>
      </c>
      <c r="Q272" s="27">
        <f t="shared" si="101"/>
        <v>151</v>
      </c>
      <c r="R272" s="29" t="s">
        <v>778</v>
      </c>
      <c r="S272" t="s">
        <v>65</v>
      </c>
      <c r="T272" s="35">
        <v>13</v>
      </c>
      <c r="U272" t="s">
        <v>756</v>
      </c>
      <c r="V272" s="27">
        <v>10</v>
      </c>
      <c r="W272" s="9">
        <v>18.579999999999998</v>
      </c>
      <c r="X272" s="9">
        <f t="shared" si="109"/>
        <v>185.79999999999998</v>
      </c>
      <c r="Z272" s="10">
        <v>46108</v>
      </c>
      <c r="AA272" s="10">
        <v>46124</v>
      </c>
      <c r="AB272" s="10">
        <v>46132</v>
      </c>
      <c r="AC272" s="10">
        <v>46197</v>
      </c>
      <c r="AD272" s="31">
        <f t="shared" ca="1" si="112"/>
        <v>11</v>
      </c>
      <c r="AE272" s="55" t="s">
        <v>247</v>
      </c>
      <c r="AF272" s="63" t="s">
        <v>2030</v>
      </c>
      <c r="AG272" s="10" t="s">
        <v>78</v>
      </c>
      <c r="AI272" s="9" t="s">
        <v>53</v>
      </c>
      <c r="AL272" t="s">
        <v>2040</v>
      </c>
      <c r="AM272" s="27" t="str">
        <f t="shared" si="91"/>
        <v>On time</v>
      </c>
      <c r="AN272" s="27" t="str">
        <f t="shared" ca="1" si="115"/>
        <v>No prazo</v>
      </c>
      <c r="AO272" s="27" t="str">
        <f t="shared" ca="1" si="110"/>
        <v/>
      </c>
    </row>
    <row r="273" spans="1:42" ht="15" hidden="1" customHeight="1">
      <c r="A273">
        <v>513106</v>
      </c>
      <c r="B273" s="34">
        <v>19</v>
      </c>
      <c r="C273" t="s">
        <v>25</v>
      </c>
      <c r="D273" t="s">
        <v>757</v>
      </c>
      <c r="E273" s="23" t="s">
        <v>774</v>
      </c>
      <c r="F273" s="24">
        <v>2</v>
      </c>
      <c r="G273" s="25">
        <v>105.09</v>
      </c>
      <c r="H273" s="25">
        <f t="shared" si="89"/>
        <v>210.18</v>
      </c>
      <c r="I273" s="26">
        <v>46248</v>
      </c>
      <c r="J273" s="10">
        <v>46097</v>
      </c>
      <c r="K273" s="10">
        <v>46098</v>
      </c>
      <c r="L273" s="27" t="str">
        <f t="shared" si="114"/>
        <v>On time</v>
      </c>
      <c r="M273" s="58">
        <v>46099</v>
      </c>
      <c r="N273" s="27" t="str">
        <f t="shared" si="113"/>
        <v>On time</v>
      </c>
      <c r="O273" s="27">
        <f t="shared" si="100"/>
        <v>2</v>
      </c>
      <c r="P273" s="28" t="str">
        <f t="shared" si="111"/>
        <v>On time</v>
      </c>
      <c r="Q273" s="27">
        <f t="shared" si="101"/>
        <v>151</v>
      </c>
      <c r="R273" s="29" t="s">
        <v>778</v>
      </c>
      <c r="S273" t="s">
        <v>65</v>
      </c>
      <c r="T273" s="35">
        <v>14</v>
      </c>
      <c r="U273" t="s">
        <v>757</v>
      </c>
      <c r="V273" s="27">
        <v>2</v>
      </c>
      <c r="W273" s="9">
        <v>4.03</v>
      </c>
      <c r="X273" s="9">
        <f t="shared" si="109"/>
        <v>8.06</v>
      </c>
      <c r="Z273" s="10">
        <v>46108</v>
      </c>
      <c r="AA273" s="10">
        <v>46124</v>
      </c>
      <c r="AB273" s="10">
        <v>46132</v>
      </c>
      <c r="AC273" s="10">
        <v>46197</v>
      </c>
      <c r="AD273" s="31">
        <f t="shared" ca="1" si="112"/>
        <v>11</v>
      </c>
      <c r="AE273" s="55" t="s">
        <v>247</v>
      </c>
      <c r="AF273" s="63" t="s">
        <v>2030</v>
      </c>
      <c r="AG273" s="10" t="s">
        <v>78</v>
      </c>
      <c r="AI273" s="9" t="s">
        <v>53</v>
      </c>
      <c r="AL273" t="s">
        <v>2040</v>
      </c>
      <c r="AM273" s="27" t="str">
        <f t="shared" si="91"/>
        <v>On time</v>
      </c>
      <c r="AN273" s="27" t="str">
        <f t="shared" ca="1" si="115"/>
        <v>No prazo</v>
      </c>
      <c r="AO273" s="27" t="str">
        <f t="shared" ca="1" si="110"/>
        <v/>
      </c>
    </row>
    <row r="274" spans="1:42" ht="15" hidden="1" customHeight="1">
      <c r="A274">
        <v>513200</v>
      </c>
      <c r="B274" s="34">
        <v>2</v>
      </c>
      <c r="C274" t="s">
        <v>25</v>
      </c>
      <c r="D274" t="s">
        <v>758</v>
      </c>
      <c r="E274" s="23" t="s">
        <v>775</v>
      </c>
      <c r="F274" s="24">
        <v>12</v>
      </c>
      <c r="G274" s="25">
        <v>190.27</v>
      </c>
      <c r="H274" s="25">
        <f t="shared" si="89"/>
        <v>2283.2400000000002</v>
      </c>
      <c r="I274" s="26">
        <v>46251</v>
      </c>
      <c r="J274" s="10">
        <v>46098</v>
      </c>
      <c r="K274" s="10">
        <v>46099</v>
      </c>
      <c r="L274" s="27" t="str">
        <f t="shared" si="114"/>
        <v>On time</v>
      </c>
      <c r="M274" s="58">
        <v>46099</v>
      </c>
      <c r="N274" s="27" t="str">
        <f t="shared" si="113"/>
        <v>On time</v>
      </c>
      <c r="O274" s="27">
        <f t="shared" si="100"/>
        <v>1</v>
      </c>
      <c r="P274" s="28" t="str">
        <f t="shared" si="111"/>
        <v>On time</v>
      </c>
      <c r="Q274" s="27">
        <f t="shared" si="101"/>
        <v>153</v>
      </c>
      <c r="R274" s="29" t="s">
        <v>778</v>
      </c>
      <c r="S274" t="s">
        <v>65</v>
      </c>
      <c r="T274" s="35">
        <v>15</v>
      </c>
      <c r="U274" t="s">
        <v>758</v>
      </c>
      <c r="V274" s="27">
        <v>12</v>
      </c>
      <c r="W274" s="9">
        <v>10.119999999999999</v>
      </c>
      <c r="X274" s="9">
        <f t="shared" si="109"/>
        <v>121.44</v>
      </c>
      <c r="Z274" s="10">
        <v>46108</v>
      </c>
      <c r="AA274" s="10">
        <v>46124</v>
      </c>
      <c r="AB274" s="10">
        <v>46132</v>
      </c>
      <c r="AC274" s="10">
        <v>46197</v>
      </c>
      <c r="AD274" s="31">
        <f t="shared" ca="1" si="112"/>
        <v>11</v>
      </c>
      <c r="AE274" s="55" t="s">
        <v>247</v>
      </c>
      <c r="AF274" s="63" t="s">
        <v>2030</v>
      </c>
      <c r="AG274" s="10" t="s">
        <v>78</v>
      </c>
      <c r="AI274" s="9" t="s">
        <v>53</v>
      </c>
      <c r="AL274" t="s">
        <v>2040</v>
      </c>
      <c r="AM274" s="27" t="str">
        <f t="shared" si="91"/>
        <v>On time</v>
      </c>
      <c r="AN274" s="27" t="str">
        <f t="shared" ca="1" si="115"/>
        <v>No prazo</v>
      </c>
      <c r="AO274" s="27" t="str">
        <f t="shared" ca="1" si="110"/>
        <v/>
      </c>
    </row>
    <row r="275" spans="1:42" ht="15" hidden="1" customHeight="1">
      <c r="A275">
        <v>513106</v>
      </c>
      <c r="B275" s="34">
        <v>14</v>
      </c>
      <c r="C275" t="s">
        <v>25</v>
      </c>
      <c r="D275" t="s">
        <v>759</v>
      </c>
      <c r="E275" s="23" t="s">
        <v>776</v>
      </c>
      <c r="F275" s="24">
        <v>2</v>
      </c>
      <c r="G275" s="25">
        <v>925.63</v>
      </c>
      <c r="H275" s="25">
        <f t="shared" si="89"/>
        <v>1851.26</v>
      </c>
      <c r="I275" s="26">
        <v>46248</v>
      </c>
      <c r="J275" s="10">
        <v>46097</v>
      </c>
      <c r="K275" s="10">
        <v>46098</v>
      </c>
      <c r="L275" s="27" t="str">
        <f t="shared" si="114"/>
        <v>On time</v>
      </c>
      <c r="M275" s="58">
        <v>46099</v>
      </c>
      <c r="N275" s="27" t="str">
        <f t="shared" si="113"/>
        <v>On time</v>
      </c>
      <c r="O275" s="27">
        <f t="shared" si="100"/>
        <v>2</v>
      </c>
      <c r="P275" s="28" t="str">
        <f t="shared" si="111"/>
        <v>On time</v>
      </c>
      <c r="Q275" s="27">
        <f t="shared" si="101"/>
        <v>151</v>
      </c>
      <c r="R275" s="29" t="s">
        <v>778</v>
      </c>
      <c r="S275" t="s">
        <v>65</v>
      </c>
      <c r="T275" s="35">
        <v>16</v>
      </c>
      <c r="U275" t="s">
        <v>759</v>
      </c>
      <c r="V275" s="79">
        <v>7</v>
      </c>
      <c r="W275" s="70">
        <v>44.37</v>
      </c>
      <c r="X275" s="80">
        <f t="shared" si="109"/>
        <v>310.58999999999997</v>
      </c>
      <c r="Z275" s="10">
        <v>46108</v>
      </c>
      <c r="AA275" s="10">
        <v>46124</v>
      </c>
      <c r="AB275" s="10">
        <v>46132</v>
      </c>
      <c r="AC275" s="10">
        <v>46197</v>
      </c>
      <c r="AD275" s="31">
        <f t="shared" ca="1" si="112"/>
        <v>11</v>
      </c>
      <c r="AE275" s="55" t="s">
        <v>247</v>
      </c>
      <c r="AF275" s="63" t="s">
        <v>2030</v>
      </c>
      <c r="AG275" s="10" t="s">
        <v>78</v>
      </c>
      <c r="AI275" s="9" t="s">
        <v>53</v>
      </c>
      <c r="AL275" t="s">
        <v>2040</v>
      </c>
      <c r="AM275" s="27" t="str">
        <f t="shared" si="91"/>
        <v>On time</v>
      </c>
      <c r="AN275" s="27" t="str">
        <f t="shared" ca="1" si="115"/>
        <v>No prazo</v>
      </c>
      <c r="AO275" s="27" t="str">
        <f t="shared" ca="1" si="110"/>
        <v/>
      </c>
    </row>
    <row r="276" spans="1:42" ht="15" hidden="1" customHeight="1">
      <c r="A276">
        <v>513200</v>
      </c>
      <c r="B276" s="34">
        <v>5</v>
      </c>
      <c r="C276" t="s">
        <v>25</v>
      </c>
      <c r="D276" t="s">
        <v>759</v>
      </c>
      <c r="E276" s="23" t="s">
        <v>776</v>
      </c>
      <c r="F276" s="24">
        <v>5</v>
      </c>
      <c r="G276" s="25">
        <v>925.63</v>
      </c>
      <c r="H276" s="25">
        <f t="shared" si="89"/>
        <v>4628.1499999999996</v>
      </c>
      <c r="I276" s="26">
        <v>46251</v>
      </c>
      <c r="J276" s="10">
        <v>46098</v>
      </c>
      <c r="K276" s="10">
        <v>46099</v>
      </c>
      <c r="L276" s="27" t="str">
        <f t="shared" si="114"/>
        <v>On time</v>
      </c>
      <c r="M276" s="58">
        <v>46099</v>
      </c>
      <c r="N276" s="27" t="str">
        <f t="shared" si="113"/>
        <v>On time</v>
      </c>
      <c r="O276" s="27">
        <f t="shared" si="100"/>
        <v>1</v>
      </c>
      <c r="P276" s="28" t="str">
        <f t="shared" si="111"/>
        <v>On time</v>
      </c>
      <c r="Q276" s="27">
        <f t="shared" si="101"/>
        <v>153</v>
      </c>
      <c r="R276" s="29" t="s">
        <v>778</v>
      </c>
      <c r="S276" t="s">
        <v>65</v>
      </c>
      <c r="T276" s="35">
        <v>16</v>
      </c>
      <c r="U276" t="s">
        <v>759</v>
      </c>
      <c r="V276" s="79"/>
      <c r="W276" s="70">
        <v>44.37</v>
      </c>
      <c r="X276" s="80"/>
      <c r="Z276" s="10">
        <v>46108</v>
      </c>
      <c r="AA276" s="10">
        <v>46124</v>
      </c>
      <c r="AB276" s="10">
        <v>46132</v>
      </c>
      <c r="AC276" s="10">
        <v>46197</v>
      </c>
      <c r="AD276" s="31">
        <f t="shared" ca="1" si="112"/>
        <v>11</v>
      </c>
      <c r="AE276" s="55" t="s">
        <v>247</v>
      </c>
      <c r="AF276" s="63" t="s">
        <v>2030</v>
      </c>
      <c r="AG276" s="10" t="s">
        <v>78</v>
      </c>
      <c r="AI276" s="9" t="s">
        <v>53</v>
      </c>
      <c r="AL276" t="s">
        <v>2040</v>
      </c>
      <c r="AM276" s="27" t="str">
        <f t="shared" si="91"/>
        <v>On time</v>
      </c>
      <c r="AN276" s="27" t="str">
        <f t="shared" ca="1" si="115"/>
        <v>No prazo</v>
      </c>
      <c r="AO276" s="27" t="str">
        <f t="shared" ca="1" si="110"/>
        <v/>
      </c>
    </row>
    <row r="277" spans="1:42" ht="15" hidden="1" customHeight="1">
      <c r="A277">
        <v>512926</v>
      </c>
      <c r="B277" s="34">
        <v>1</v>
      </c>
      <c r="C277" t="s">
        <v>25</v>
      </c>
      <c r="D277" t="s">
        <v>760</v>
      </c>
      <c r="E277" s="23" t="s">
        <v>777</v>
      </c>
      <c r="F277" s="24">
        <v>6</v>
      </c>
      <c r="G277" s="25">
        <v>441.22</v>
      </c>
      <c r="H277" s="25">
        <f t="shared" si="89"/>
        <v>2647.32</v>
      </c>
      <c r="I277" s="26">
        <v>46247</v>
      </c>
      <c r="J277" s="10">
        <v>46094</v>
      </c>
      <c r="K277" s="10">
        <v>46097</v>
      </c>
      <c r="L277" s="27" t="str">
        <f t="shared" si="114"/>
        <v>On time</v>
      </c>
      <c r="M277" s="58">
        <v>46099</v>
      </c>
      <c r="N277" s="27" t="str">
        <f t="shared" si="113"/>
        <v>On time</v>
      </c>
      <c r="O277" s="27">
        <f t="shared" si="100"/>
        <v>5</v>
      </c>
      <c r="P277" s="28" t="str">
        <f t="shared" si="111"/>
        <v>On time</v>
      </c>
      <c r="Q277" s="27">
        <f t="shared" si="101"/>
        <v>153</v>
      </c>
      <c r="R277" s="29" t="s">
        <v>778</v>
      </c>
      <c r="S277" t="s">
        <v>65</v>
      </c>
      <c r="T277" s="35">
        <v>17</v>
      </c>
      <c r="U277" t="s">
        <v>760</v>
      </c>
      <c r="V277" s="27">
        <v>6</v>
      </c>
      <c r="W277" s="9">
        <v>16.920000000000002</v>
      </c>
      <c r="X277" s="9">
        <f t="shared" si="109"/>
        <v>101.52000000000001</v>
      </c>
      <c r="Z277" s="10">
        <v>46108</v>
      </c>
      <c r="AA277" s="10">
        <v>46124</v>
      </c>
      <c r="AB277" s="10">
        <v>46132</v>
      </c>
      <c r="AC277" s="10">
        <v>46197</v>
      </c>
      <c r="AD277" s="31">
        <f t="shared" ca="1" si="112"/>
        <v>11</v>
      </c>
      <c r="AE277" s="55" t="s">
        <v>247</v>
      </c>
      <c r="AF277" s="63" t="s">
        <v>2030</v>
      </c>
      <c r="AG277" s="10" t="s">
        <v>78</v>
      </c>
      <c r="AI277" s="9" t="s">
        <v>53</v>
      </c>
      <c r="AL277" t="s">
        <v>2040</v>
      </c>
      <c r="AM277" s="27" t="str">
        <f t="shared" si="91"/>
        <v>On time</v>
      </c>
      <c r="AN277" s="27" t="str">
        <f t="shared" ca="1" si="115"/>
        <v>No prazo</v>
      </c>
      <c r="AO277" s="27" t="str">
        <f t="shared" ca="1" si="110"/>
        <v/>
      </c>
    </row>
    <row r="278" spans="1:42" ht="15" hidden="1" customHeight="1">
      <c r="A278">
        <v>513276</v>
      </c>
      <c r="B278" s="34">
        <v>15</v>
      </c>
      <c r="C278" t="s">
        <v>780</v>
      </c>
      <c r="D278" t="s">
        <v>781</v>
      </c>
      <c r="E278" s="23" t="s">
        <v>1976</v>
      </c>
      <c r="F278" s="24">
        <v>1</v>
      </c>
      <c r="G278" s="25">
        <v>15349.49</v>
      </c>
      <c r="H278" s="25">
        <f t="shared" si="89"/>
        <v>15349.49</v>
      </c>
      <c r="I278" s="26">
        <v>46160</v>
      </c>
      <c r="J278" s="10">
        <v>46099</v>
      </c>
      <c r="K278" s="10">
        <v>46099</v>
      </c>
      <c r="L278" s="27" t="str">
        <f t="shared" si="114"/>
        <v>On time</v>
      </c>
      <c r="M278" s="58">
        <v>46106</v>
      </c>
      <c r="N278" s="27" t="str">
        <f t="shared" si="113"/>
        <v>Atrasado</v>
      </c>
      <c r="O278" s="27">
        <f t="shared" si="100"/>
        <v>7</v>
      </c>
      <c r="P278" s="28" t="str">
        <f t="shared" si="111"/>
        <v>On time</v>
      </c>
      <c r="Q278" s="27">
        <f t="shared" si="101"/>
        <v>61</v>
      </c>
      <c r="R278" s="29" t="s">
        <v>783</v>
      </c>
      <c r="S278" t="s">
        <v>90</v>
      </c>
      <c r="T278" s="35">
        <v>1</v>
      </c>
      <c r="U278" t="s">
        <v>781</v>
      </c>
      <c r="V278" s="27">
        <v>1</v>
      </c>
      <c r="W278" s="66">
        <v>201.43</v>
      </c>
      <c r="X278" s="9">
        <f t="shared" si="109"/>
        <v>201.43</v>
      </c>
      <c r="Y278">
        <v>47</v>
      </c>
      <c r="Z278" s="10">
        <v>46107</v>
      </c>
      <c r="AA278" s="10">
        <v>46122</v>
      </c>
      <c r="AB278" s="10">
        <v>46122</v>
      </c>
      <c r="AC278" s="10">
        <v>46148</v>
      </c>
      <c r="AD278" s="31">
        <f ca="1">TODAY()-AA278</f>
        <v>13</v>
      </c>
      <c r="AE278" s="36">
        <v>1</v>
      </c>
      <c r="AF278" s="63" t="s">
        <v>155</v>
      </c>
      <c r="AG278" s="10" t="s">
        <v>78</v>
      </c>
      <c r="AI278" s="9" t="s">
        <v>57</v>
      </c>
      <c r="AJ278" s="10">
        <v>46139</v>
      </c>
      <c r="AK278" s="10">
        <v>46141</v>
      </c>
      <c r="AL278" t="s">
        <v>2063</v>
      </c>
      <c r="AM278" s="27" t="str">
        <f t="shared" si="91"/>
        <v>On time</v>
      </c>
      <c r="AN278" s="27" t="str">
        <f t="shared" ca="1" si="115"/>
        <v>Verificar aéreo</v>
      </c>
      <c r="AO278" s="27" t="str">
        <f t="shared" ca="1" si="110"/>
        <v>Ag. embarque</v>
      </c>
    </row>
    <row r="279" spans="1:42" ht="15" hidden="1" customHeight="1">
      <c r="A279">
        <v>513276</v>
      </c>
      <c r="B279" s="34">
        <v>22</v>
      </c>
      <c r="C279" t="s">
        <v>780</v>
      </c>
      <c r="D279" t="s">
        <v>782</v>
      </c>
      <c r="E279" s="23" t="s">
        <v>784</v>
      </c>
      <c r="F279" s="24">
        <v>5</v>
      </c>
      <c r="G279" s="25">
        <v>4217.07</v>
      </c>
      <c r="H279" s="25">
        <f t="shared" si="89"/>
        <v>21085.35</v>
      </c>
      <c r="I279" s="26">
        <v>46160</v>
      </c>
      <c r="J279" s="10">
        <v>46099</v>
      </c>
      <c r="K279" s="10">
        <v>46099</v>
      </c>
      <c r="L279" s="27" t="str">
        <f t="shared" si="114"/>
        <v>On time</v>
      </c>
      <c r="M279" s="58">
        <v>46106</v>
      </c>
      <c r="N279" s="27" t="str">
        <f t="shared" si="113"/>
        <v>Atrasado</v>
      </c>
      <c r="O279" s="27">
        <f t="shared" si="100"/>
        <v>7</v>
      </c>
      <c r="P279" s="28" t="str">
        <f t="shared" si="111"/>
        <v>On time</v>
      </c>
      <c r="Q279" s="27">
        <f t="shared" si="101"/>
        <v>61</v>
      </c>
      <c r="R279" s="29" t="s">
        <v>783</v>
      </c>
      <c r="S279" t="s">
        <v>90</v>
      </c>
      <c r="T279" s="35">
        <v>2</v>
      </c>
      <c r="U279" t="s">
        <v>782</v>
      </c>
      <c r="V279" s="27">
        <v>5</v>
      </c>
      <c r="W279" s="66">
        <v>78.290000000000006</v>
      </c>
      <c r="X279" s="9">
        <f t="shared" si="109"/>
        <v>391.45000000000005</v>
      </c>
      <c r="Y279">
        <v>12</v>
      </c>
      <c r="Z279" s="10">
        <v>46107</v>
      </c>
      <c r="AA279" s="10">
        <v>46122</v>
      </c>
      <c r="AB279" s="10">
        <v>46122</v>
      </c>
      <c r="AC279" s="10">
        <v>46148</v>
      </c>
      <c r="AD279" s="31">
        <f t="shared" ca="1" si="112"/>
        <v>13</v>
      </c>
      <c r="AE279" s="36">
        <v>1</v>
      </c>
      <c r="AF279" s="63" t="s">
        <v>155</v>
      </c>
      <c r="AG279" s="10" t="s">
        <v>78</v>
      </c>
      <c r="AI279" s="9" t="s">
        <v>57</v>
      </c>
      <c r="AJ279" s="10">
        <v>46139</v>
      </c>
      <c r="AK279" s="10">
        <v>46141</v>
      </c>
      <c r="AL279" t="s">
        <v>2063</v>
      </c>
      <c r="AM279" s="27" t="str">
        <f t="shared" si="91"/>
        <v>On time</v>
      </c>
      <c r="AN279" s="27" t="str">
        <f t="shared" ca="1" si="115"/>
        <v>Verificar aéreo</v>
      </c>
      <c r="AO279" s="27" t="str">
        <f t="shared" ca="1" si="110"/>
        <v>Ag. embarque</v>
      </c>
    </row>
    <row r="280" spans="1:42" ht="15" hidden="1" customHeight="1">
      <c r="B280" s="34"/>
      <c r="D280" t="s">
        <v>1492</v>
      </c>
      <c r="E280" s="23" t="s">
        <v>1493</v>
      </c>
      <c r="F280" s="24"/>
      <c r="I280" s="26"/>
      <c r="J280" s="10"/>
      <c r="K280" s="10"/>
      <c r="L280" s="27" t="str">
        <f t="shared" si="114"/>
        <v xml:space="preserve"> </v>
      </c>
      <c r="M280" s="58"/>
      <c r="N280" s="27" t="str">
        <f t="shared" si="113"/>
        <v xml:space="preserve"> </v>
      </c>
      <c r="O280" s="27">
        <f t="shared" si="100"/>
        <v>0</v>
      </c>
      <c r="P280" s="28" t="str">
        <f t="shared" si="111"/>
        <v>On time</v>
      </c>
      <c r="Q280" s="27">
        <f t="shared" si="101"/>
        <v>0</v>
      </c>
      <c r="R280" s="29" t="s">
        <v>821</v>
      </c>
      <c r="S280" s="12" t="s">
        <v>524</v>
      </c>
      <c r="T280">
        <v>1</v>
      </c>
      <c r="U280" t="s">
        <v>969</v>
      </c>
      <c r="V280" s="27">
        <v>50</v>
      </c>
      <c r="W280" s="9">
        <v>6.8</v>
      </c>
      <c r="X280" s="9">
        <f t="shared" si="90"/>
        <v>340</v>
      </c>
      <c r="Z280" s="10">
        <v>46106</v>
      </c>
      <c r="AA280" s="10">
        <v>46126</v>
      </c>
      <c r="AB280" s="10">
        <v>46167</v>
      </c>
      <c r="AC280" s="10">
        <v>46232</v>
      </c>
      <c r="AD280" s="31">
        <f t="shared" ref="AD280" ca="1" si="116">TODAY()-AA280</f>
        <v>9</v>
      </c>
      <c r="AE280" s="36">
        <v>1</v>
      </c>
      <c r="AF280" t="s">
        <v>833</v>
      </c>
      <c r="AG280" s="10" t="s">
        <v>78</v>
      </c>
      <c r="AI280" s="9" t="s">
        <v>53</v>
      </c>
      <c r="AL280" t="s">
        <v>2211</v>
      </c>
      <c r="AM280" s="27" t="str">
        <f t="shared" ref="AM280:AM286" si="117">IF(AB280=0," ",IF(AB280&lt;=AA280+10,"On time","Atrasado"))</f>
        <v>Atrasado</v>
      </c>
      <c r="AN280" s="27" t="str">
        <f t="shared" ca="1" si="115"/>
        <v>Estoque</v>
      </c>
      <c r="AO280" s="27" t="str">
        <f t="shared" ca="1" si="110"/>
        <v/>
      </c>
      <c r="AP280" t="s">
        <v>822</v>
      </c>
    </row>
    <row r="281" spans="1:42" ht="15" hidden="1" customHeight="1">
      <c r="B281" s="34"/>
      <c r="D281" t="s">
        <v>1494</v>
      </c>
      <c r="E281" s="23" t="s">
        <v>1495</v>
      </c>
      <c r="F281" s="24"/>
      <c r="I281" s="26"/>
      <c r="J281" s="10"/>
      <c r="K281" s="10"/>
      <c r="L281" s="27" t="str">
        <f t="shared" si="114"/>
        <v xml:space="preserve"> </v>
      </c>
      <c r="M281" s="58"/>
      <c r="N281" s="27" t="str">
        <f t="shared" si="113"/>
        <v xml:space="preserve"> </v>
      </c>
      <c r="O281" s="27">
        <f t="shared" si="100"/>
        <v>0</v>
      </c>
      <c r="P281" s="28" t="str">
        <f t="shared" si="111"/>
        <v>On time</v>
      </c>
      <c r="Q281" s="27">
        <f t="shared" si="101"/>
        <v>0</v>
      </c>
      <c r="R281" s="29" t="s">
        <v>821</v>
      </c>
      <c r="S281" s="12" t="s">
        <v>524</v>
      </c>
      <c r="T281">
        <v>2</v>
      </c>
      <c r="U281" t="s">
        <v>970</v>
      </c>
      <c r="V281" s="27">
        <v>200</v>
      </c>
      <c r="W281" s="9">
        <v>5.39</v>
      </c>
      <c r="X281" s="9">
        <f t="shared" si="90"/>
        <v>1078</v>
      </c>
      <c r="Z281" s="10">
        <v>46106</v>
      </c>
      <c r="AA281" s="10">
        <v>46126</v>
      </c>
      <c r="AB281" s="10">
        <v>46167</v>
      </c>
      <c r="AC281" s="10">
        <v>46232</v>
      </c>
      <c r="AD281" s="31">
        <f t="shared" ref="AD281:AD298" ca="1" si="118">TODAY()-AA281</f>
        <v>9</v>
      </c>
      <c r="AE281" s="36">
        <v>1</v>
      </c>
      <c r="AF281" t="s">
        <v>833</v>
      </c>
      <c r="AG281" s="10" t="s">
        <v>78</v>
      </c>
      <c r="AI281" s="9" t="s">
        <v>53</v>
      </c>
      <c r="AL281" t="s">
        <v>2211</v>
      </c>
      <c r="AM281" s="27" t="str">
        <f t="shared" si="117"/>
        <v>Atrasado</v>
      </c>
      <c r="AN281" s="27" t="str">
        <f t="shared" ca="1" si="115"/>
        <v>Estoque</v>
      </c>
      <c r="AO281" s="27" t="str">
        <f t="shared" ca="1" si="110"/>
        <v/>
      </c>
      <c r="AP281" t="s">
        <v>822</v>
      </c>
    </row>
    <row r="282" spans="1:42" ht="15" hidden="1" customHeight="1">
      <c r="B282" s="34"/>
      <c r="D282" t="s">
        <v>1496</v>
      </c>
      <c r="E282" s="23" t="s">
        <v>1497</v>
      </c>
      <c r="F282" s="24"/>
      <c r="I282" s="26"/>
      <c r="J282" s="10"/>
      <c r="K282" s="10"/>
      <c r="L282" s="27" t="str">
        <f t="shared" si="114"/>
        <v xml:space="preserve"> </v>
      </c>
      <c r="M282" s="58"/>
      <c r="N282" s="27" t="str">
        <f t="shared" si="113"/>
        <v xml:space="preserve"> </v>
      </c>
      <c r="O282" s="27">
        <f t="shared" si="100"/>
        <v>0</v>
      </c>
      <c r="P282" s="28" t="str">
        <f t="shared" si="111"/>
        <v>On time</v>
      </c>
      <c r="Q282" s="27">
        <f t="shared" si="101"/>
        <v>0</v>
      </c>
      <c r="R282" s="29" t="s">
        <v>821</v>
      </c>
      <c r="S282" s="12" t="s">
        <v>524</v>
      </c>
      <c r="T282">
        <v>3</v>
      </c>
      <c r="U282" t="s">
        <v>971</v>
      </c>
      <c r="V282" s="27">
        <v>20</v>
      </c>
      <c r="W282" s="9">
        <v>4.5599999999999996</v>
      </c>
      <c r="X282" s="9">
        <f t="shared" si="90"/>
        <v>91.199999999999989</v>
      </c>
      <c r="Z282" s="10">
        <v>46106</v>
      </c>
      <c r="AA282" s="10">
        <v>46126</v>
      </c>
      <c r="AB282" s="10">
        <v>46167</v>
      </c>
      <c r="AC282" s="10">
        <v>46232</v>
      </c>
      <c r="AD282" s="31">
        <f t="shared" ca="1" si="118"/>
        <v>9</v>
      </c>
      <c r="AE282" s="36">
        <v>1</v>
      </c>
      <c r="AF282" t="s">
        <v>833</v>
      </c>
      <c r="AG282" s="10" t="s">
        <v>78</v>
      </c>
      <c r="AI282" s="9" t="s">
        <v>53</v>
      </c>
      <c r="AL282" t="s">
        <v>2211</v>
      </c>
      <c r="AM282" s="27" t="str">
        <f t="shared" si="117"/>
        <v>Atrasado</v>
      </c>
      <c r="AN282" s="27" t="str">
        <f t="shared" ca="1" si="115"/>
        <v>Estoque</v>
      </c>
      <c r="AO282" s="27" t="str">
        <f t="shared" ca="1" si="110"/>
        <v/>
      </c>
      <c r="AP282" t="s">
        <v>822</v>
      </c>
    </row>
    <row r="283" spans="1:42" ht="15" hidden="1" customHeight="1">
      <c r="B283" s="34"/>
      <c r="D283" t="s">
        <v>1498</v>
      </c>
      <c r="E283" s="23" t="s">
        <v>1499</v>
      </c>
      <c r="F283" s="24"/>
      <c r="I283" s="26"/>
      <c r="J283" s="10"/>
      <c r="K283" s="10"/>
      <c r="L283" s="27" t="str">
        <f t="shared" si="114"/>
        <v xml:space="preserve"> </v>
      </c>
      <c r="M283" s="58"/>
      <c r="N283" s="27" t="str">
        <f t="shared" si="113"/>
        <v xml:space="preserve"> </v>
      </c>
      <c r="O283" s="27">
        <f t="shared" si="100"/>
        <v>0</v>
      </c>
      <c r="P283" s="28" t="str">
        <f t="shared" si="111"/>
        <v>On time</v>
      </c>
      <c r="Q283" s="27">
        <f t="shared" si="101"/>
        <v>0</v>
      </c>
      <c r="R283" s="29" t="s">
        <v>821</v>
      </c>
      <c r="S283" s="12" t="s">
        <v>524</v>
      </c>
      <c r="T283">
        <v>4</v>
      </c>
      <c r="U283" t="s">
        <v>972</v>
      </c>
      <c r="V283" s="27">
        <v>5</v>
      </c>
      <c r="W283" s="9">
        <v>25.89</v>
      </c>
      <c r="X283" s="9">
        <f t="shared" si="90"/>
        <v>129.44999999999999</v>
      </c>
      <c r="Z283" s="10">
        <v>46106</v>
      </c>
      <c r="AA283" s="10">
        <v>46126</v>
      </c>
      <c r="AB283" s="10">
        <v>46167</v>
      </c>
      <c r="AC283" s="10">
        <v>46232</v>
      </c>
      <c r="AD283" s="31">
        <f t="shared" ca="1" si="118"/>
        <v>9</v>
      </c>
      <c r="AE283" s="36">
        <v>1</v>
      </c>
      <c r="AF283" t="s">
        <v>833</v>
      </c>
      <c r="AG283" s="10" t="s">
        <v>78</v>
      </c>
      <c r="AI283" s="9" t="s">
        <v>53</v>
      </c>
      <c r="AL283" t="s">
        <v>2211</v>
      </c>
      <c r="AM283" s="27" t="str">
        <f t="shared" si="117"/>
        <v>Atrasado</v>
      </c>
      <c r="AN283" s="27" t="str">
        <f t="shared" ca="1" si="115"/>
        <v>Estoque</v>
      </c>
      <c r="AO283" s="27" t="str">
        <f t="shared" ca="1" si="110"/>
        <v/>
      </c>
      <c r="AP283" t="s">
        <v>822</v>
      </c>
    </row>
    <row r="284" spans="1:42" ht="15" hidden="1" customHeight="1">
      <c r="B284" s="34"/>
      <c r="D284" t="s">
        <v>1500</v>
      </c>
      <c r="E284" s="23" t="s">
        <v>1501</v>
      </c>
      <c r="F284" s="24"/>
      <c r="I284" s="26"/>
      <c r="J284" s="10"/>
      <c r="K284" s="10"/>
      <c r="L284" s="27" t="str">
        <f t="shared" si="114"/>
        <v xml:space="preserve"> </v>
      </c>
      <c r="M284" s="58"/>
      <c r="N284" s="27" t="str">
        <f t="shared" si="113"/>
        <v xml:space="preserve"> </v>
      </c>
      <c r="O284" s="27">
        <f t="shared" si="100"/>
        <v>0</v>
      </c>
      <c r="P284" s="28" t="str">
        <f t="shared" si="111"/>
        <v>On time</v>
      </c>
      <c r="Q284" s="27">
        <f t="shared" si="101"/>
        <v>0</v>
      </c>
      <c r="R284" s="29" t="s">
        <v>821</v>
      </c>
      <c r="S284" s="12" t="s">
        <v>524</v>
      </c>
      <c r="T284">
        <v>5</v>
      </c>
      <c r="U284" t="s">
        <v>973</v>
      </c>
      <c r="V284" s="27">
        <v>5</v>
      </c>
      <c r="W284" s="9">
        <v>19.68</v>
      </c>
      <c r="X284" s="9">
        <f t="shared" si="90"/>
        <v>98.4</v>
      </c>
      <c r="Z284" s="10">
        <v>46106</v>
      </c>
      <c r="AA284" s="10">
        <v>46126</v>
      </c>
      <c r="AB284" s="10">
        <v>46167</v>
      </c>
      <c r="AC284" s="10">
        <v>46232</v>
      </c>
      <c r="AD284" s="31">
        <f t="shared" ca="1" si="118"/>
        <v>9</v>
      </c>
      <c r="AE284" s="36">
        <v>1</v>
      </c>
      <c r="AF284" t="s">
        <v>833</v>
      </c>
      <c r="AG284" s="10" t="s">
        <v>78</v>
      </c>
      <c r="AI284" s="9" t="s">
        <v>53</v>
      </c>
      <c r="AL284" t="s">
        <v>2211</v>
      </c>
      <c r="AM284" s="27" t="str">
        <f t="shared" si="117"/>
        <v>Atrasado</v>
      </c>
      <c r="AN284" s="27" t="str">
        <f t="shared" ca="1" si="115"/>
        <v>Estoque</v>
      </c>
      <c r="AO284" s="27" t="str">
        <f t="shared" ca="1" si="110"/>
        <v/>
      </c>
      <c r="AP284" t="s">
        <v>822</v>
      </c>
    </row>
    <row r="285" spans="1:42" ht="15" hidden="1" customHeight="1">
      <c r="B285" s="34"/>
      <c r="D285" t="s">
        <v>1502</v>
      </c>
      <c r="E285" s="23" t="s">
        <v>1503</v>
      </c>
      <c r="F285" s="24"/>
      <c r="I285" s="26"/>
      <c r="J285" s="10"/>
      <c r="K285" s="10"/>
      <c r="L285" s="27" t="str">
        <f t="shared" si="114"/>
        <v xml:space="preserve"> </v>
      </c>
      <c r="M285" s="58"/>
      <c r="N285" s="27" t="str">
        <f t="shared" si="113"/>
        <v xml:space="preserve"> </v>
      </c>
      <c r="O285" s="27">
        <f t="shared" si="100"/>
        <v>0</v>
      </c>
      <c r="P285" s="28" t="str">
        <f t="shared" si="111"/>
        <v>On time</v>
      </c>
      <c r="Q285" s="27">
        <f t="shared" si="101"/>
        <v>0</v>
      </c>
      <c r="R285" s="29" t="s">
        <v>821</v>
      </c>
      <c r="S285" s="12" t="s">
        <v>524</v>
      </c>
      <c r="T285">
        <v>6</v>
      </c>
      <c r="U285" t="s">
        <v>153</v>
      </c>
      <c r="V285" s="27">
        <v>5</v>
      </c>
      <c r="W285" s="9">
        <v>37.29</v>
      </c>
      <c r="X285" s="9">
        <f t="shared" si="90"/>
        <v>186.45</v>
      </c>
      <c r="Z285" s="10">
        <v>46106</v>
      </c>
      <c r="AA285" s="10">
        <v>46126</v>
      </c>
      <c r="AB285" s="10">
        <v>46167</v>
      </c>
      <c r="AC285" s="10">
        <v>46232</v>
      </c>
      <c r="AD285" s="31">
        <f t="shared" ca="1" si="118"/>
        <v>9</v>
      </c>
      <c r="AE285" s="36">
        <v>1</v>
      </c>
      <c r="AF285" t="s">
        <v>833</v>
      </c>
      <c r="AG285" s="10" t="s">
        <v>78</v>
      </c>
      <c r="AI285" s="9" t="s">
        <v>53</v>
      </c>
      <c r="AL285" t="s">
        <v>2211</v>
      </c>
      <c r="AM285" s="27" t="str">
        <f t="shared" si="117"/>
        <v>Atrasado</v>
      </c>
      <c r="AN285" s="27" t="str">
        <f t="shared" ca="1" si="115"/>
        <v>Estoque</v>
      </c>
      <c r="AO285" s="27" t="str">
        <f t="shared" ca="1" si="110"/>
        <v/>
      </c>
      <c r="AP285" t="s">
        <v>822</v>
      </c>
    </row>
    <row r="286" spans="1:42" ht="15" hidden="1" customHeight="1">
      <c r="A286">
        <v>514993</v>
      </c>
      <c r="B286" s="34">
        <v>10</v>
      </c>
      <c r="C286" t="s">
        <v>25</v>
      </c>
      <c r="D286" t="s">
        <v>1504</v>
      </c>
      <c r="E286" s="23" t="s">
        <v>1505</v>
      </c>
      <c r="F286" s="24">
        <v>3</v>
      </c>
      <c r="G286" s="25">
        <v>53.45</v>
      </c>
      <c r="H286" s="25">
        <f t="shared" si="89"/>
        <v>160.35000000000002</v>
      </c>
      <c r="I286" s="26">
        <v>46244</v>
      </c>
      <c r="J286" s="10">
        <v>46122</v>
      </c>
      <c r="K286" s="10">
        <v>46122</v>
      </c>
      <c r="L286" s="27" t="str">
        <f t="shared" si="114"/>
        <v>On time</v>
      </c>
      <c r="M286" s="58">
        <v>46106</v>
      </c>
      <c r="N286" s="27" t="str">
        <f t="shared" si="113"/>
        <v>On time</v>
      </c>
      <c r="O286" s="27">
        <f t="shared" si="100"/>
        <v>-16</v>
      </c>
      <c r="P286" s="28" t="str">
        <f t="shared" si="111"/>
        <v>On time</v>
      </c>
      <c r="Q286" s="27">
        <f t="shared" si="101"/>
        <v>122</v>
      </c>
      <c r="R286" s="29" t="s">
        <v>821</v>
      </c>
      <c r="S286" s="12" t="s">
        <v>524</v>
      </c>
      <c r="T286">
        <v>7</v>
      </c>
      <c r="U286" t="s">
        <v>974</v>
      </c>
      <c r="V286" s="27">
        <v>100</v>
      </c>
      <c r="W286" s="9">
        <v>1.86</v>
      </c>
      <c r="X286" s="9">
        <f t="shared" si="90"/>
        <v>186</v>
      </c>
      <c r="Y286">
        <v>1.1299999999999999</v>
      </c>
      <c r="Z286" s="10">
        <v>46106</v>
      </c>
      <c r="AA286" s="10">
        <v>46126</v>
      </c>
      <c r="AB286" s="10">
        <v>46167</v>
      </c>
      <c r="AC286" s="10">
        <v>46232</v>
      </c>
      <c r="AD286" s="31">
        <f t="shared" ca="1" si="118"/>
        <v>9</v>
      </c>
      <c r="AE286" s="36">
        <v>1</v>
      </c>
      <c r="AF286" t="s">
        <v>833</v>
      </c>
      <c r="AG286" s="10" t="s">
        <v>78</v>
      </c>
      <c r="AI286" s="9" t="s">
        <v>53</v>
      </c>
      <c r="AL286" t="s">
        <v>2211</v>
      </c>
      <c r="AM286" s="27" t="str">
        <f t="shared" si="117"/>
        <v>Atrasado</v>
      </c>
      <c r="AN286" s="27" t="str">
        <f t="shared" ca="1" si="115"/>
        <v>Verificar aéreo</v>
      </c>
      <c r="AO286" s="27" t="str">
        <f t="shared" ca="1" si="110"/>
        <v/>
      </c>
      <c r="AP286" t="s">
        <v>822</v>
      </c>
    </row>
    <row r="287" spans="1:42" ht="15" hidden="1" customHeight="1">
      <c r="A287">
        <v>513086</v>
      </c>
      <c r="B287" s="34">
        <v>1</v>
      </c>
      <c r="C287" t="s">
        <v>25</v>
      </c>
      <c r="D287" t="s">
        <v>820</v>
      </c>
      <c r="E287" s="23" t="s">
        <v>1298</v>
      </c>
      <c r="F287" s="24">
        <v>2</v>
      </c>
      <c r="G287" s="25">
        <v>72.209999999999994</v>
      </c>
      <c r="H287" s="25">
        <f t="shared" si="89"/>
        <v>144.41999999999999</v>
      </c>
      <c r="I287" s="26">
        <v>46217</v>
      </c>
      <c r="J287" s="10">
        <v>46097</v>
      </c>
      <c r="K287" s="10">
        <v>46098</v>
      </c>
      <c r="L287" s="27" t="str">
        <f t="shared" si="114"/>
        <v>On time</v>
      </c>
      <c r="M287" s="58">
        <v>46104</v>
      </c>
      <c r="N287" s="27" t="str">
        <f t="shared" si="113"/>
        <v>Atrasado</v>
      </c>
      <c r="O287" s="27">
        <f t="shared" si="100"/>
        <v>7</v>
      </c>
      <c r="P287" s="28" t="str">
        <f t="shared" si="111"/>
        <v>On time</v>
      </c>
      <c r="Q287" s="27">
        <f t="shared" si="101"/>
        <v>120</v>
      </c>
      <c r="R287" s="29" t="s">
        <v>821</v>
      </c>
      <c r="S287" t="s">
        <v>524</v>
      </c>
      <c r="T287" s="35">
        <v>8</v>
      </c>
      <c r="U287" t="s">
        <v>820</v>
      </c>
      <c r="V287" s="27">
        <v>30</v>
      </c>
      <c r="W287" s="9">
        <v>3.11</v>
      </c>
      <c r="X287" s="9">
        <f t="shared" si="90"/>
        <v>93.3</v>
      </c>
      <c r="Y287">
        <v>2.27</v>
      </c>
      <c r="Z287" s="10">
        <v>46106</v>
      </c>
      <c r="AA287" s="10">
        <v>46126</v>
      </c>
      <c r="AB287" s="10">
        <v>46167</v>
      </c>
      <c r="AC287" s="10">
        <v>46232</v>
      </c>
      <c r="AD287" s="31">
        <f t="shared" ca="1" si="118"/>
        <v>9</v>
      </c>
      <c r="AE287" s="36">
        <v>1</v>
      </c>
      <c r="AF287" t="s">
        <v>833</v>
      </c>
      <c r="AG287" s="10" t="s">
        <v>78</v>
      </c>
      <c r="AI287" s="9" t="s">
        <v>53</v>
      </c>
      <c r="AL287" t="s">
        <v>2211</v>
      </c>
      <c r="AM287" s="27" t="str">
        <f t="shared" si="91"/>
        <v>Atrasado</v>
      </c>
      <c r="AN287" s="27" t="str">
        <f t="shared" ca="1" si="115"/>
        <v>Atrasado</v>
      </c>
      <c r="AO287" s="27" t="str">
        <f t="shared" ca="1" si="110"/>
        <v/>
      </c>
      <c r="AP287" t="s">
        <v>822</v>
      </c>
    </row>
    <row r="288" spans="1:42" ht="15" hidden="1" customHeight="1">
      <c r="B288" s="34"/>
      <c r="D288" t="s">
        <v>1506</v>
      </c>
      <c r="E288" s="23" t="s">
        <v>1507</v>
      </c>
      <c r="H288"/>
      <c r="I288" s="26"/>
      <c r="J288" s="10"/>
      <c r="K288" s="10"/>
      <c r="L288" s="27" t="str">
        <f t="shared" si="114"/>
        <v xml:space="preserve"> </v>
      </c>
      <c r="M288" s="58"/>
      <c r="N288" s="27" t="str">
        <f t="shared" si="113"/>
        <v xml:space="preserve"> </v>
      </c>
      <c r="O288" s="27">
        <f t="shared" si="100"/>
        <v>0</v>
      </c>
      <c r="P288" s="28" t="str">
        <f t="shared" si="111"/>
        <v>On time</v>
      </c>
      <c r="Q288" s="27">
        <f t="shared" si="101"/>
        <v>0</v>
      </c>
      <c r="R288" s="29" t="s">
        <v>821</v>
      </c>
      <c r="S288" s="12" t="s">
        <v>524</v>
      </c>
      <c r="T288">
        <v>9</v>
      </c>
      <c r="U288" t="s">
        <v>975</v>
      </c>
      <c r="V288" s="27">
        <v>50</v>
      </c>
      <c r="W288" s="9">
        <v>2.4900000000000002</v>
      </c>
      <c r="X288" s="9">
        <f t="shared" si="90"/>
        <v>124.50000000000001</v>
      </c>
      <c r="Z288" s="10">
        <v>46106</v>
      </c>
      <c r="AA288" s="10">
        <v>46126</v>
      </c>
      <c r="AB288" s="10">
        <v>46167</v>
      </c>
      <c r="AC288" s="10">
        <v>46232</v>
      </c>
      <c r="AD288" s="31">
        <f t="shared" ca="1" si="118"/>
        <v>9</v>
      </c>
      <c r="AE288" s="36">
        <v>1</v>
      </c>
      <c r="AF288" t="s">
        <v>833</v>
      </c>
      <c r="AG288" s="10" t="s">
        <v>78</v>
      </c>
      <c r="AI288" s="9" t="s">
        <v>53</v>
      </c>
      <c r="AL288" t="s">
        <v>2211</v>
      </c>
      <c r="AM288" s="27" t="str">
        <f t="shared" ref="AM288:AM296" si="119">IF(AB288=0," ",IF(AB288&lt;=AA288+10,"On time","Atrasado"))</f>
        <v>Atrasado</v>
      </c>
      <c r="AN288" s="27" t="str">
        <f t="shared" ca="1" si="115"/>
        <v>Estoque</v>
      </c>
      <c r="AO288" s="27" t="str">
        <f t="shared" ca="1" si="110"/>
        <v/>
      </c>
      <c r="AP288" t="s">
        <v>822</v>
      </c>
    </row>
    <row r="289" spans="1:42" ht="15" hidden="1" customHeight="1">
      <c r="B289" s="34"/>
      <c r="D289" t="s">
        <v>1508</v>
      </c>
      <c r="E289" s="23" t="s">
        <v>1509</v>
      </c>
      <c r="H289"/>
      <c r="I289" s="26"/>
      <c r="J289" s="10"/>
      <c r="K289" s="10"/>
      <c r="L289" s="27" t="str">
        <f t="shared" si="114"/>
        <v xml:space="preserve"> </v>
      </c>
      <c r="M289" s="58"/>
      <c r="N289" s="27" t="str">
        <f t="shared" si="113"/>
        <v xml:space="preserve"> </v>
      </c>
      <c r="O289" s="27">
        <f t="shared" si="100"/>
        <v>0</v>
      </c>
      <c r="P289" s="28" t="str">
        <f t="shared" si="111"/>
        <v>On time</v>
      </c>
      <c r="Q289" s="27">
        <f t="shared" si="101"/>
        <v>0</v>
      </c>
      <c r="R289" s="29" t="s">
        <v>821</v>
      </c>
      <c r="S289" s="12" t="s">
        <v>524</v>
      </c>
      <c r="T289">
        <v>10</v>
      </c>
      <c r="U289" t="s">
        <v>976</v>
      </c>
      <c r="V289" s="27">
        <v>20</v>
      </c>
      <c r="W289" s="9">
        <v>4.5599999999999996</v>
      </c>
      <c r="X289" s="9">
        <f t="shared" si="90"/>
        <v>91.199999999999989</v>
      </c>
      <c r="Z289" s="10">
        <v>46106</v>
      </c>
      <c r="AA289" s="10">
        <v>46126</v>
      </c>
      <c r="AB289" s="10">
        <v>46167</v>
      </c>
      <c r="AC289" s="10">
        <v>46232</v>
      </c>
      <c r="AD289" s="31">
        <f t="shared" ca="1" si="118"/>
        <v>9</v>
      </c>
      <c r="AE289" s="36">
        <v>1</v>
      </c>
      <c r="AF289" t="s">
        <v>833</v>
      </c>
      <c r="AG289" s="10" t="s">
        <v>78</v>
      </c>
      <c r="AI289" s="9" t="s">
        <v>53</v>
      </c>
      <c r="AL289" t="s">
        <v>2211</v>
      </c>
      <c r="AM289" s="27" t="str">
        <f t="shared" si="119"/>
        <v>Atrasado</v>
      </c>
      <c r="AN289" s="27" t="str">
        <f t="shared" ca="1" si="115"/>
        <v>Estoque</v>
      </c>
      <c r="AO289" s="27" t="str">
        <f t="shared" ca="1" si="110"/>
        <v/>
      </c>
      <c r="AP289" t="s">
        <v>822</v>
      </c>
    </row>
    <row r="290" spans="1:42" ht="15" hidden="1" customHeight="1">
      <c r="B290" s="34"/>
      <c r="D290" t="s">
        <v>1510</v>
      </c>
      <c r="E290" s="23" t="s">
        <v>1511</v>
      </c>
      <c r="H290"/>
      <c r="I290" s="26"/>
      <c r="J290" s="10"/>
      <c r="K290" s="10"/>
      <c r="L290" s="27" t="str">
        <f t="shared" si="114"/>
        <v xml:space="preserve"> </v>
      </c>
      <c r="M290" s="58"/>
      <c r="N290" s="27" t="str">
        <f t="shared" si="113"/>
        <v xml:space="preserve"> </v>
      </c>
      <c r="O290" s="27">
        <f t="shared" si="100"/>
        <v>0</v>
      </c>
      <c r="P290" s="28" t="str">
        <f t="shared" si="111"/>
        <v>On time</v>
      </c>
      <c r="Q290" s="27">
        <f t="shared" si="101"/>
        <v>0</v>
      </c>
      <c r="R290" s="29" t="s">
        <v>821</v>
      </c>
      <c r="S290" s="12" t="s">
        <v>524</v>
      </c>
      <c r="T290">
        <v>11</v>
      </c>
      <c r="U290" t="s">
        <v>977</v>
      </c>
      <c r="V290" s="27">
        <v>20</v>
      </c>
      <c r="W290" s="9">
        <v>3.11</v>
      </c>
      <c r="X290" s="9">
        <f t="shared" si="90"/>
        <v>62.199999999999996</v>
      </c>
      <c r="Z290" s="10">
        <v>46106</v>
      </c>
      <c r="AA290" s="10">
        <v>46126</v>
      </c>
      <c r="AB290" s="10">
        <v>46167</v>
      </c>
      <c r="AC290" s="10">
        <v>46232</v>
      </c>
      <c r="AD290" s="31">
        <f t="shared" ca="1" si="118"/>
        <v>9</v>
      </c>
      <c r="AE290" s="36">
        <v>1</v>
      </c>
      <c r="AF290" t="s">
        <v>833</v>
      </c>
      <c r="AG290" s="10" t="s">
        <v>78</v>
      </c>
      <c r="AI290" s="9" t="s">
        <v>53</v>
      </c>
      <c r="AL290" t="s">
        <v>2211</v>
      </c>
      <c r="AM290" s="27" t="str">
        <f t="shared" si="119"/>
        <v>Atrasado</v>
      </c>
      <c r="AN290" s="27" t="str">
        <f t="shared" ca="1" si="115"/>
        <v>Estoque</v>
      </c>
      <c r="AO290" s="27" t="str">
        <f t="shared" ca="1" si="110"/>
        <v/>
      </c>
      <c r="AP290" t="s">
        <v>822</v>
      </c>
    </row>
    <row r="291" spans="1:42" ht="15" hidden="1" customHeight="1">
      <c r="B291" s="34"/>
      <c r="D291" t="s">
        <v>1512</v>
      </c>
      <c r="E291" s="23" t="s">
        <v>1513</v>
      </c>
      <c r="H291"/>
      <c r="I291" s="26"/>
      <c r="J291" s="10"/>
      <c r="K291" s="10"/>
      <c r="L291" s="27" t="str">
        <f t="shared" si="114"/>
        <v xml:space="preserve"> </v>
      </c>
      <c r="M291" s="58"/>
      <c r="N291" s="27" t="str">
        <f t="shared" si="113"/>
        <v xml:space="preserve"> </v>
      </c>
      <c r="O291" s="27">
        <f t="shared" si="100"/>
        <v>0</v>
      </c>
      <c r="P291" s="28" t="str">
        <f t="shared" si="111"/>
        <v>On time</v>
      </c>
      <c r="Q291" s="27">
        <f t="shared" si="101"/>
        <v>0</v>
      </c>
      <c r="R291" s="29" t="s">
        <v>821</v>
      </c>
      <c r="S291" s="12" t="s">
        <v>524</v>
      </c>
      <c r="T291">
        <v>12</v>
      </c>
      <c r="U291" t="s">
        <v>978</v>
      </c>
      <c r="V291" s="27">
        <v>30</v>
      </c>
      <c r="W291" s="9">
        <v>8.6999999999999993</v>
      </c>
      <c r="X291" s="9">
        <f t="shared" si="90"/>
        <v>261</v>
      </c>
      <c r="Z291" s="10">
        <v>46106</v>
      </c>
      <c r="AA291" s="10">
        <v>46126</v>
      </c>
      <c r="AB291" s="10">
        <v>46167</v>
      </c>
      <c r="AC291" s="10">
        <v>46232</v>
      </c>
      <c r="AD291" s="31">
        <f t="shared" ca="1" si="118"/>
        <v>9</v>
      </c>
      <c r="AE291" s="36">
        <v>1</v>
      </c>
      <c r="AF291" t="s">
        <v>833</v>
      </c>
      <c r="AG291" s="10" t="s">
        <v>78</v>
      </c>
      <c r="AI291" s="9" t="s">
        <v>53</v>
      </c>
      <c r="AL291" t="s">
        <v>2211</v>
      </c>
      <c r="AM291" s="27" t="str">
        <f t="shared" si="119"/>
        <v>Atrasado</v>
      </c>
      <c r="AN291" s="27" t="str">
        <f t="shared" ca="1" si="115"/>
        <v>Estoque</v>
      </c>
      <c r="AO291" s="27" t="str">
        <f t="shared" ca="1" si="110"/>
        <v/>
      </c>
      <c r="AP291" t="s">
        <v>822</v>
      </c>
    </row>
    <row r="292" spans="1:42" ht="15" hidden="1" customHeight="1">
      <c r="B292" s="34"/>
      <c r="D292" t="s">
        <v>1514</v>
      </c>
      <c r="E292" s="23" t="s">
        <v>1515</v>
      </c>
      <c r="H292"/>
      <c r="I292" s="26"/>
      <c r="J292" s="10"/>
      <c r="K292" s="10"/>
      <c r="L292" s="27" t="str">
        <f t="shared" si="114"/>
        <v xml:space="preserve"> </v>
      </c>
      <c r="M292" s="58"/>
      <c r="N292" s="27" t="str">
        <f t="shared" si="113"/>
        <v xml:space="preserve"> </v>
      </c>
      <c r="O292" s="27">
        <f t="shared" si="100"/>
        <v>0</v>
      </c>
      <c r="P292" s="28" t="str">
        <f t="shared" si="111"/>
        <v>On time</v>
      </c>
      <c r="Q292" s="27">
        <f t="shared" si="101"/>
        <v>0</v>
      </c>
      <c r="R292" s="29" t="s">
        <v>821</v>
      </c>
      <c r="S292" s="12" t="s">
        <v>524</v>
      </c>
      <c r="T292">
        <v>13</v>
      </c>
      <c r="U292" t="s">
        <v>979</v>
      </c>
      <c r="V292" s="27">
        <v>30</v>
      </c>
      <c r="W292" s="9">
        <v>15.1</v>
      </c>
      <c r="X292" s="9">
        <f t="shared" si="90"/>
        <v>453</v>
      </c>
      <c r="Z292" s="10">
        <v>46106</v>
      </c>
      <c r="AA292" s="10">
        <v>46126</v>
      </c>
      <c r="AB292" s="10">
        <v>46167</v>
      </c>
      <c r="AC292" s="10">
        <v>46232</v>
      </c>
      <c r="AD292" s="31">
        <f t="shared" ca="1" si="118"/>
        <v>9</v>
      </c>
      <c r="AE292" s="36">
        <v>1</v>
      </c>
      <c r="AF292" t="s">
        <v>833</v>
      </c>
      <c r="AG292" s="10" t="s">
        <v>78</v>
      </c>
      <c r="AI292" s="9" t="s">
        <v>53</v>
      </c>
      <c r="AL292" t="s">
        <v>2211</v>
      </c>
      <c r="AM292" s="27" t="str">
        <f t="shared" si="119"/>
        <v>Atrasado</v>
      </c>
      <c r="AN292" s="27" t="str">
        <f t="shared" ca="1" si="115"/>
        <v>Estoque</v>
      </c>
      <c r="AO292" s="27" t="str">
        <f t="shared" ca="1" si="110"/>
        <v/>
      </c>
      <c r="AP292" t="s">
        <v>822</v>
      </c>
    </row>
    <row r="293" spans="1:42" ht="15" hidden="1" customHeight="1">
      <c r="B293" s="34"/>
      <c r="D293" t="s">
        <v>1516</v>
      </c>
      <c r="E293" s="23" t="s">
        <v>1517</v>
      </c>
      <c r="H293"/>
      <c r="I293" s="26"/>
      <c r="J293" s="10"/>
      <c r="K293" s="10"/>
      <c r="L293" s="27" t="str">
        <f t="shared" si="114"/>
        <v xml:space="preserve"> </v>
      </c>
      <c r="M293" s="58"/>
      <c r="N293" s="27" t="str">
        <f t="shared" si="113"/>
        <v xml:space="preserve"> </v>
      </c>
      <c r="O293" s="27">
        <f t="shared" si="100"/>
        <v>0</v>
      </c>
      <c r="P293" s="28" t="str">
        <f t="shared" si="111"/>
        <v>On time</v>
      </c>
      <c r="Q293" s="27">
        <f t="shared" si="101"/>
        <v>0</v>
      </c>
      <c r="R293" s="29" t="s">
        <v>821</v>
      </c>
      <c r="S293" s="12" t="s">
        <v>524</v>
      </c>
      <c r="T293">
        <v>14</v>
      </c>
      <c r="U293" t="s">
        <v>980</v>
      </c>
      <c r="V293" s="27">
        <v>20</v>
      </c>
      <c r="W293" s="9">
        <v>12.01</v>
      </c>
      <c r="X293" s="9">
        <f t="shared" si="90"/>
        <v>240.2</v>
      </c>
      <c r="Z293" s="10">
        <v>46106</v>
      </c>
      <c r="AA293" s="10">
        <v>46126</v>
      </c>
      <c r="AB293" s="10">
        <v>46167</v>
      </c>
      <c r="AC293" s="10">
        <v>46232</v>
      </c>
      <c r="AD293" s="31">
        <f t="shared" ca="1" si="118"/>
        <v>9</v>
      </c>
      <c r="AE293" s="36">
        <v>1</v>
      </c>
      <c r="AF293" t="s">
        <v>833</v>
      </c>
      <c r="AG293" s="10" t="s">
        <v>78</v>
      </c>
      <c r="AI293" s="9" t="s">
        <v>53</v>
      </c>
      <c r="AL293" t="s">
        <v>2211</v>
      </c>
      <c r="AM293" s="27" t="str">
        <f t="shared" si="119"/>
        <v>Atrasado</v>
      </c>
      <c r="AN293" s="27" t="str">
        <f t="shared" ca="1" si="115"/>
        <v>Estoque</v>
      </c>
      <c r="AO293" s="27" t="str">
        <f t="shared" ca="1" si="110"/>
        <v/>
      </c>
      <c r="AP293" t="s">
        <v>822</v>
      </c>
    </row>
    <row r="294" spans="1:42" ht="15" hidden="1" customHeight="1">
      <c r="B294" s="34"/>
      <c r="D294" t="s">
        <v>1518</v>
      </c>
      <c r="E294" s="23" t="s">
        <v>1519</v>
      </c>
      <c r="H294"/>
      <c r="I294" s="26"/>
      <c r="J294" s="10"/>
      <c r="K294" s="10"/>
      <c r="L294" s="27" t="str">
        <f t="shared" si="114"/>
        <v xml:space="preserve"> </v>
      </c>
      <c r="M294" s="58"/>
      <c r="N294" s="27" t="str">
        <f t="shared" si="113"/>
        <v xml:space="preserve"> </v>
      </c>
      <c r="O294" s="27">
        <f t="shared" si="100"/>
        <v>0</v>
      </c>
      <c r="P294" s="28" t="str">
        <f t="shared" si="111"/>
        <v>On time</v>
      </c>
      <c r="Q294" s="27">
        <f t="shared" si="101"/>
        <v>0</v>
      </c>
      <c r="R294" s="29" t="s">
        <v>821</v>
      </c>
      <c r="S294" s="12" t="s">
        <v>524</v>
      </c>
      <c r="T294">
        <v>15</v>
      </c>
      <c r="U294" t="s">
        <v>981</v>
      </c>
      <c r="V294" s="27">
        <v>30</v>
      </c>
      <c r="W294" s="9">
        <v>10.15</v>
      </c>
      <c r="X294" s="9">
        <f t="shared" si="90"/>
        <v>304.5</v>
      </c>
      <c r="Z294" s="10">
        <v>46106</v>
      </c>
      <c r="AA294" s="10">
        <v>46126</v>
      </c>
      <c r="AB294" s="10">
        <v>46167</v>
      </c>
      <c r="AC294" s="10">
        <v>46232</v>
      </c>
      <c r="AD294" s="31">
        <f t="shared" ca="1" si="118"/>
        <v>9</v>
      </c>
      <c r="AE294" s="36">
        <v>1</v>
      </c>
      <c r="AF294" t="s">
        <v>833</v>
      </c>
      <c r="AG294" s="10" t="s">
        <v>78</v>
      </c>
      <c r="AI294" s="9" t="s">
        <v>53</v>
      </c>
      <c r="AL294" t="s">
        <v>2211</v>
      </c>
      <c r="AM294" s="27" t="str">
        <f t="shared" si="119"/>
        <v>Atrasado</v>
      </c>
      <c r="AN294" s="27" t="str">
        <f t="shared" ca="1" si="115"/>
        <v>Estoque</v>
      </c>
      <c r="AO294" s="27" t="str">
        <f t="shared" ca="1" si="110"/>
        <v/>
      </c>
      <c r="AP294" t="s">
        <v>822</v>
      </c>
    </row>
    <row r="295" spans="1:42" ht="15" hidden="1" customHeight="1">
      <c r="B295" s="34"/>
      <c r="D295" t="s">
        <v>1520</v>
      </c>
      <c r="E295" s="23" t="s">
        <v>1521</v>
      </c>
      <c r="H295"/>
      <c r="I295" s="26"/>
      <c r="J295" s="10"/>
      <c r="K295" s="10"/>
      <c r="L295" s="27" t="str">
        <f t="shared" si="114"/>
        <v xml:space="preserve"> </v>
      </c>
      <c r="M295" s="58"/>
      <c r="N295" s="27" t="str">
        <f t="shared" si="113"/>
        <v xml:space="preserve"> </v>
      </c>
      <c r="O295" s="27">
        <f t="shared" si="100"/>
        <v>0</v>
      </c>
      <c r="P295" s="28" t="str">
        <f t="shared" si="111"/>
        <v>On time</v>
      </c>
      <c r="Q295" s="27">
        <f t="shared" si="101"/>
        <v>0</v>
      </c>
      <c r="R295" s="29" t="s">
        <v>821</v>
      </c>
      <c r="S295" s="12" t="s">
        <v>524</v>
      </c>
      <c r="T295">
        <v>16</v>
      </c>
      <c r="U295" t="s">
        <v>982</v>
      </c>
      <c r="V295" s="27">
        <v>20</v>
      </c>
      <c r="W295" s="9">
        <v>17.61</v>
      </c>
      <c r="X295" s="9">
        <f t="shared" si="90"/>
        <v>352.2</v>
      </c>
      <c r="Z295" s="10">
        <v>46106</v>
      </c>
      <c r="AA295" s="10">
        <v>46126</v>
      </c>
      <c r="AB295" s="10">
        <v>46167</v>
      </c>
      <c r="AC295" s="10">
        <v>46232</v>
      </c>
      <c r="AD295" s="31">
        <f t="shared" ca="1" si="118"/>
        <v>9</v>
      </c>
      <c r="AE295" s="36">
        <v>1</v>
      </c>
      <c r="AF295" t="s">
        <v>833</v>
      </c>
      <c r="AG295" s="10" t="s">
        <v>78</v>
      </c>
      <c r="AI295" s="9" t="s">
        <v>53</v>
      </c>
      <c r="AL295" t="s">
        <v>2211</v>
      </c>
      <c r="AM295" s="27" t="str">
        <f t="shared" si="119"/>
        <v>Atrasado</v>
      </c>
      <c r="AN295" s="27" t="str">
        <f t="shared" ca="1" si="115"/>
        <v>Estoque</v>
      </c>
      <c r="AO295" s="27" t="str">
        <f t="shared" ca="1" si="110"/>
        <v/>
      </c>
      <c r="AP295" t="s">
        <v>822</v>
      </c>
    </row>
    <row r="296" spans="1:42" ht="15" hidden="1" customHeight="1">
      <c r="B296" s="34"/>
      <c r="D296" t="s">
        <v>1522</v>
      </c>
      <c r="E296" s="23" t="s">
        <v>1523</v>
      </c>
      <c r="H296"/>
      <c r="I296" s="26"/>
      <c r="J296" s="10"/>
      <c r="K296" s="10"/>
      <c r="L296" s="27" t="str">
        <f t="shared" si="114"/>
        <v xml:space="preserve"> </v>
      </c>
      <c r="M296" s="58"/>
      <c r="N296" s="27" t="str">
        <f t="shared" si="113"/>
        <v xml:space="preserve"> </v>
      </c>
      <c r="O296" s="27">
        <f t="shared" si="100"/>
        <v>0</v>
      </c>
      <c r="P296" s="28" t="str">
        <f t="shared" si="111"/>
        <v>On time</v>
      </c>
      <c r="Q296" s="27">
        <f t="shared" si="101"/>
        <v>0</v>
      </c>
      <c r="R296" s="29" t="s">
        <v>821</v>
      </c>
      <c r="S296" s="12" t="s">
        <v>524</v>
      </c>
      <c r="T296">
        <v>17</v>
      </c>
      <c r="U296" t="s">
        <v>983</v>
      </c>
      <c r="V296" s="27">
        <v>15</v>
      </c>
      <c r="W296" s="9">
        <v>12.84</v>
      </c>
      <c r="X296" s="9">
        <f t="shared" si="90"/>
        <v>192.6</v>
      </c>
      <c r="Z296" s="10">
        <v>46106</v>
      </c>
      <c r="AA296" s="10">
        <v>46126</v>
      </c>
      <c r="AB296" s="10">
        <v>46167</v>
      </c>
      <c r="AC296" s="10">
        <v>46232</v>
      </c>
      <c r="AD296" s="31">
        <f t="shared" ca="1" si="118"/>
        <v>9</v>
      </c>
      <c r="AE296" s="36">
        <v>1</v>
      </c>
      <c r="AF296" t="s">
        <v>833</v>
      </c>
      <c r="AG296" s="10" t="s">
        <v>78</v>
      </c>
      <c r="AI296" s="9" t="s">
        <v>53</v>
      </c>
      <c r="AL296" t="s">
        <v>2211</v>
      </c>
      <c r="AM296" s="27" t="str">
        <f t="shared" si="119"/>
        <v>Atrasado</v>
      </c>
      <c r="AN296" s="27" t="str">
        <f t="shared" ca="1" si="115"/>
        <v>Estoque</v>
      </c>
      <c r="AO296" s="27" t="str">
        <f t="shared" ca="1" si="110"/>
        <v/>
      </c>
      <c r="AP296" t="s">
        <v>822</v>
      </c>
    </row>
    <row r="297" spans="1:42" ht="15" hidden="1" customHeight="1">
      <c r="A297">
        <v>512931</v>
      </c>
      <c r="B297">
        <v>1</v>
      </c>
      <c r="C297" t="s">
        <v>25</v>
      </c>
      <c r="D297" t="s">
        <v>835</v>
      </c>
      <c r="E297" s="23" t="s">
        <v>1299</v>
      </c>
      <c r="F297" s="24">
        <v>2</v>
      </c>
      <c r="G297" s="25">
        <v>346.62</v>
      </c>
      <c r="H297" s="25">
        <f t="shared" si="89"/>
        <v>693.24</v>
      </c>
      <c r="I297" s="26">
        <v>46279</v>
      </c>
      <c r="J297" s="10">
        <v>46097</v>
      </c>
      <c r="K297" s="10">
        <v>46097</v>
      </c>
      <c r="L297" s="27" t="str">
        <f t="shared" si="114"/>
        <v>On time</v>
      </c>
      <c r="M297" s="58">
        <v>46104</v>
      </c>
      <c r="N297" s="27" t="str">
        <f t="shared" si="113"/>
        <v>Atrasado</v>
      </c>
      <c r="O297" s="27">
        <f t="shared" si="100"/>
        <v>7</v>
      </c>
      <c r="P297" s="28" t="str">
        <f t="shared" si="111"/>
        <v>On time</v>
      </c>
      <c r="Q297" s="27">
        <f t="shared" si="101"/>
        <v>182</v>
      </c>
      <c r="R297" s="29" t="s">
        <v>821</v>
      </c>
      <c r="S297" t="s">
        <v>524</v>
      </c>
      <c r="T297" s="35">
        <v>18</v>
      </c>
      <c r="U297" t="s">
        <v>835</v>
      </c>
      <c r="V297" s="27">
        <v>15</v>
      </c>
      <c r="W297" s="9">
        <v>15.69</v>
      </c>
      <c r="X297" s="9">
        <f t="shared" si="90"/>
        <v>235.35</v>
      </c>
      <c r="Z297" s="10">
        <v>46114</v>
      </c>
      <c r="AA297" s="10">
        <v>46126</v>
      </c>
      <c r="AB297" s="10">
        <v>46167</v>
      </c>
      <c r="AC297" s="10">
        <v>46232</v>
      </c>
      <c r="AD297" s="31">
        <f t="shared" ca="1" si="118"/>
        <v>9</v>
      </c>
      <c r="AE297" s="36">
        <v>1</v>
      </c>
      <c r="AF297" t="s">
        <v>833</v>
      </c>
      <c r="AG297" s="10" t="s">
        <v>78</v>
      </c>
      <c r="AI297" s="9" t="s">
        <v>53</v>
      </c>
      <c r="AL297" t="s">
        <v>2211</v>
      </c>
      <c r="AM297" s="27" t="str">
        <f t="shared" si="91"/>
        <v>Atrasado</v>
      </c>
      <c r="AN297" s="27" t="str">
        <f t="shared" ca="1" si="115"/>
        <v>No prazo</v>
      </c>
      <c r="AO297" s="27" t="str">
        <f t="shared" ca="1" si="110"/>
        <v/>
      </c>
      <c r="AP297" t="s">
        <v>822</v>
      </c>
    </row>
    <row r="298" spans="1:42" ht="15" hidden="1" customHeight="1">
      <c r="D298" t="s">
        <v>1524</v>
      </c>
      <c r="E298" s="23" t="s">
        <v>1525</v>
      </c>
      <c r="F298" s="24"/>
      <c r="I298" s="26"/>
      <c r="J298" s="10"/>
      <c r="K298" s="10"/>
      <c r="L298" s="27" t="str">
        <f t="shared" si="114"/>
        <v xml:space="preserve"> </v>
      </c>
      <c r="M298" s="58"/>
      <c r="N298" s="27" t="str">
        <f t="shared" si="113"/>
        <v xml:space="preserve"> </v>
      </c>
      <c r="O298" s="27">
        <f t="shared" si="100"/>
        <v>0</v>
      </c>
      <c r="P298" s="28" t="str">
        <f t="shared" si="111"/>
        <v>On time</v>
      </c>
      <c r="Q298" s="27">
        <f t="shared" si="101"/>
        <v>0</v>
      </c>
      <c r="R298" s="29" t="s">
        <v>821</v>
      </c>
      <c r="S298" t="s">
        <v>524</v>
      </c>
      <c r="T298" s="35">
        <v>19</v>
      </c>
      <c r="U298" t="s">
        <v>835</v>
      </c>
      <c r="V298" s="27">
        <v>50</v>
      </c>
      <c r="W298" s="9">
        <v>3.43</v>
      </c>
      <c r="X298" s="9">
        <f t="shared" ref="X298" si="120">W298*V298</f>
        <v>171.5</v>
      </c>
      <c r="Z298" s="10">
        <v>46114</v>
      </c>
      <c r="AA298" s="10">
        <v>46126</v>
      </c>
      <c r="AB298" s="10">
        <v>46167</v>
      </c>
      <c r="AC298" s="10">
        <v>46232</v>
      </c>
      <c r="AD298" s="31">
        <f t="shared" ca="1" si="118"/>
        <v>9</v>
      </c>
      <c r="AE298" s="36">
        <v>1</v>
      </c>
      <c r="AF298" t="s">
        <v>833</v>
      </c>
      <c r="AG298" s="10" t="s">
        <v>78</v>
      </c>
      <c r="AI298" s="9" t="s">
        <v>53</v>
      </c>
      <c r="AL298" t="s">
        <v>2211</v>
      </c>
      <c r="AM298" s="27" t="str">
        <f t="shared" ref="AM298" si="121">IF(AB298=0," ",IF(AB298&lt;=AA298+10,"On time","Atrasado"))</f>
        <v>Atrasado</v>
      </c>
      <c r="AN298" s="27" t="str">
        <f t="shared" ref="AN298" ca="1" si="122">IF(AND(AC298&lt;&gt;"",AC298&lt;=TODAY()),"Chegou",IF(A298="","Estoque",IF(OR(AC298="",I298=""),"",IF(I298-AC298&lt;=0,"Atrasado",IF(I298-AC298&lt;=9,"Crítico",IF(I298-AC298&lt;=20,"Verificar aéreo",IF(I298-AC298&lt;=25,"Alerta","No prazo")        ))))))</f>
        <v>Estoque</v>
      </c>
      <c r="AO298" s="27" t="str">
        <f t="shared" ca="1" si="110"/>
        <v/>
      </c>
      <c r="AP298" t="s">
        <v>822</v>
      </c>
    </row>
    <row r="299" spans="1:42" ht="15" hidden="1" customHeight="1">
      <c r="D299" t="s">
        <v>1564</v>
      </c>
      <c r="E299" s="23" t="s">
        <v>1565</v>
      </c>
      <c r="F299" s="24"/>
      <c r="I299" s="26"/>
      <c r="J299" s="10"/>
      <c r="K299" s="10"/>
      <c r="L299" s="27" t="str">
        <f t="shared" si="114"/>
        <v xml:space="preserve"> </v>
      </c>
      <c r="M299" s="58"/>
      <c r="N299" s="27" t="str">
        <f t="shared" si="113"/>
        <v xml:space="preserve"> </v>
      </c>
      <c r="O299" s="27">
        <f t="shared" si="100"/>
        <v>0</v>
      </c>
      <c r="P299" s="28" t="str">
        <f t="shared" si="111"/>
        <v>On time</v>
      </c>
      <c r="Q299" s="27">
        <f t="shared" si="101"/>
        <v>0</v>
      </c>
      <c r="R299" s="29" t="s">
        <v>836</v>
      </c>
      <c r="S299" t="s">
        <v>524</v>
      </c>
      <c r="T299" s="35">
        <v>1</v>
      </c>
      <c r="U299" t="s">
        <v>1004</v>
      </c>
      <c r="V299" s="27">
        <v>15</v>
      </c>
      <c r="W299" s="9">
        <v>77.2</v>
      </c>
      <c r="X299" s="9">
        <f t="shared" si="90"/>
        <v>1158</v>
      </c>
      <c r="Z299" s="10">
        <v>46114</v>
      </c>
      <c r="AA299" s="10">
        <v>46126</v>
      </c>
      <c r="AB299" s="10">
        <v>46167</v>
      </c>
      <c r="AC299" s="10">
        <v>46232</v>
      </c>
      <c r="AD299" s="31">
        <f t="shared" ref="AD299" ca="1" si="123">TODAY()-AA299</f>
        <v>9</v>
      </c>
      <c r="AE299" s="36" t="s">
        <v>247</v>
      </c>
      <c r="AF299" t="s">
        <v>833</v>
      </c>
      <c r="AG299" s="10" t="s">
        <v>78</v>
      </c>
      <c r="AI299" s="9" t="s">
        <v>53</v>
      </c>
      <c r="AL299" t="s">
        <v>2212</v>
      </c>
      <c r="AM299" s="27" t="str">
        <f t="shared" ref="AM299:AM323" si="124">IF(AB299=0," ",IF(AB299&lt;=AA299+10,"On time","Atrasado"))</f>
        <v>Atrasado</v>
      </c>
      <c r="AN299" s="27" t="str">
        <f t="shared" ca="1" si="115"/>
        <v>Estoque</v>
      </c>
      <c r="AO299" s="27" t="str">
        <f t="shared" ca="1" si="110"/>
        <v/>
      </c>
    </row>
    <row r="300" spans="1:42" ht="15" hidden="1" customHeight="1">
      <c r="D300" t="s">
        <v>1566</v>
      </c>
      <c r="E300" s="23" t="s">
        <v>1567</v>
      </c>
      <c r="F300" s="24"/>
      <c r="I300" s="26"/>
      <c r="J300" s="10"/>
      <c r="K300" s="10"/>
      <c r="L300" s="27" t="str">
        <f t="shared" si="114"/>
        <v xml:space="preserve"> </v>
      </c>
      <c r="M300" s="58"/>
      <c r="N300" s="27" t="str">
        <f t="shared" si="113"/>
        <v xml:space="preserve"> </v>
      </c>
      <c r="O300" s="27">
        <f t="shared" si="100"/>
        <v>0</v>
      </c>
      <c r="P300" s="28" t="str">
        <f t="shared" si="111"/>
        <v>On time</v>
      </c>
      <c r="Q300" s="27">
        <f t="shared" si="101"/>
        <v>0</v>
      </c>
      <c r="R300" s="29" t="s">
        <v>836</v>
      </c>
      <c r="S300" t="s">
        <v>524</v>
      </c>
      <c r="T300" s="35">
        <v>2</v>
      </c>
      <c r="U300" t="s">
        <v>1005</v>
      </c>
      <c r="V300" s="27">
        <v>10</v>
      </c>
      <c r="W300" s="9">
        <v>105.5</v>
      </c>
      <c r="X300" s="9">
        <f t="shared" si="90"/>
        <v>1055</v>
      </c>
      <c r="Z300" s="10">
        <v>46114</v>
      </c>
      <c r="AA300" s="10">
        <v>46126</v>
      </c>
      <c r="AB300" s="10">
        <v>46167</v>
      </c>
      <c r="AC300" s="10">
        <v>46232</v>
      </c>
      <c r="AD300" s="31">
        <f t="shared" ref="AD300:AD324" ca="1" si="125">TODAY()-AA300</f>
        <v>9</v>
      </c>
      <c r="AE300" s="36" t="s">
        <v>247</v>
      </c>
      <c r="AF300" t="s">
        <v>833</v>
      </c>
      <c r="AG300" s="10" t="s">
        <v>78</v>
      </c>
      <c r="AI300" s="9" t="s">
        <v>53</v>
      </c>
      <c r="AL300" t="s">
        <v>2212</v>
      </c>
      <c r="AM300" s="27" t="str">
        <f t="shared" si="124"/>
        <v>Atrasado</v>
      </c>
      <c r="AN300" s="27" t="str">
        <f t="shared" ca="1" si="115"/>
        <v>Estoque</v>
      </c>
      <c r="AO300" s="27" t="str">
        <f t="shared" ca="1" si="110"/>
        <v/>
      </c>
    </row>
    <row r="301" spans="1:42" ht="15" hidden="1" customHeight="1">
      <c r="D301" t="s">
        <v>1568</v>
      </c>
      <c r="E301" s="23" t="s">
        <v>1569</v>
      </c>
      <c r="F301" s="24"/>
      <c r="I301" s="26"/>
      <c r="J301" s="10"/>
      <c r="K301" s="10"/>
      <c r="L301" s="27" t="str">
        <f t="shared" si="114"/>
        <v xml:space="preserve"> </v>
      </c>
      <c r="M301" s="58"/>
      <c r="N301" s="27" t="str">
        <f t="shared" si="113"/>
        <v xml:space="preserve"> </v>
      </c>
      <c r="O301" s="27">
        <f t="shared" si="100"/>
        <v>0</v>
      </c>
      <c r="P301" s="28" t="str">
        <f t="shared" si="111"/>
        <v>On time</v>
      </c>
      <c r="Q301" s="27">
        <f t="shared" si="101"/>
        <v>0</v>
      </c>
      <c r="R301" s="29" t="s">
        <v>836</v>
      </c>
      <c r="S301" t="s">
        <v>524</v>
      </c>
      <c r="T301" s="35">
        <v>3</v>
      </c>
      <c r="U301" t="s">
        <v>1006</v>
      </c>
      <c r="V301" s="27">
        <v>3</v>
      </c>
      <c r="W301" s="9">
        <v>131.9</v>
      </c>
      <c r="X301" s="9">
        <f t="shared" si="90"/>
        <v>395.70000000000005</v>
      </c>
      <c r="Z301" s="10">
        <v>46114</v>
      </c>
      <c r="AA301" s="10">
        <v>46126</v>
      </c>
      <c r="AB301" s="10">
        <v>46167</v>
      </c>
      <c r="AC301" s="10">
        <v>46232</v>
      </c>
      <c r="AD301" s="31">
        <f t="shared" ca="1" si="125"/>
        <v>9</v>
      </c>
      <c r="AE301" s="36" t="s">
        <v>247</v>
      </c>
      <c r="AF301" t="s">
        <v>833</v>
      </c>
      <c r="AG301" s="10" t="s">
        <v>78</v>
      </c>
      <c r="AI301" s="9" t="s">
        <v>53</v>
      </c>
      <c r="AL301" t="s">
        <v>2212</v>
      </c>
      <c r="AM301" s="27" t="str">
        <f t="shared" si="124"/>
        <v>Atrasado</v>
      </c>
      <c r="AN301" s="27" t="str">
        <f t="shared" ca="1" si="115"/>
        <v>Estoque</v>
      </c>
      <c r="AO301" s="27" t="str">
        <f t="shared" ca="1" si="110"/>
        <v/>
      </c>
    </row>
    <row r="302" spans="1:42" ht="15" hidden="1" customHeight="1">
      <c r="D302" t="s">
        <v>1570</v>
      </c>
      <c r="E302" s="23" t="s">
        <v>1571</v>
      </c>
      <c r="F302" s="24"/>
      <c r="I302" s="26"/>
      <c r="J302" s="10"/>
      <c r="K302" s="10"/>
      <c r="L302" s="27" t="str">
        <f t="shared" si="114"/>
        <v xml:space="preserve"> </v>
      </c>
      <c r="M302" s="58"/>
      <c r="N302" s="27" t="str">
        <f t="shared" si="113"/>
        <v xml:space="preserve"> </v>
      </c>
      <c r="O302" s="27">
        <f t="shared" si="100"/>
        <v>0</v>
      </c>
      <c r="P302" s="28" t="str">
        <f t="shared" si="111"/>
        <v>On time</v>
      </c>
      <c r="Q302" s="27">
        <f t="shared" si="101"/>
        <v>0</v>
      </c>
      <c r="R302" s="29" t="s">
        <v>836</v>
      </c>
      <c r="S302" t="s">
        <v>524</v>
      </c>
      <c r="T302" s="35">
        <v>4</v>
      </c>
      <c r="U302" t="s">
        <v>1007</v>
      </c>
      <c r="V302" s="27">
        <v>50</v>
      </c>
      <c r="W302" s="9">
        <v>18.23</v>
      </c>
      <c r="X302" s="9">
        <f t="shared" si="90"/>
        <v>911.5</v>
      </c>
      <c r="Z302" s="10">
        <v>46114</v>
      </c>
      <c r="AA302" s="10">
        <v>46126</v>
      </c>
      <c r="AB302" s="10">
        <v>46167</v>
      </c>
      <c r="AC302" s="10">
        <v>46232</v>
      </c>
      <c r="AD302" s="31">
        <f t="shared" ca="1" si="125"/>
        <v>9</v>
      </c>
      <c r="AE302" s="36" t="s">
        <v>247</v>
      </c>
      <c r="AF302" t="s">
        <v>833</v>
      </c>
      <c r="AG302" s="10" t="s">
        <v>78</v>
      </c>
      <c r="AI302" s="9" t="s">
        <v>53</v>
      </c>
      <c r="AL302" t="s">
        <v>2212</v>
      </c>
      <c r="AM302" s="27" t="str">
        <f t="shared" si="124"/>
        <v>Atrasado</v>
      </c>
      <c r="AN302" s="27" t="str">
        <f t="shared" ca="1" si="115"/>
        <v>Estoque</v>
      </c>
      <c r="AO302" s="27" t="str">
        <f t="shared" ca="1" si="110"/>
        <v/>
      </c>
    </row>
    <row r="303" spans="1:42" ht="15" hidden="1" customHeight="1">
      <c r="D303" t="s">
        <v>1572</v>
      </c>
      <c r="E303" s="23" t="s">
        <v>1573</v>
      </c>
      <c r="F303" s="24"/>
      <c r="I303" s="26"/>
      <c r="J303" s="10"/>
      <c r="K303" s="10"/>
      <c r="L303" s="27" t="str">
        <f t="shared" si="114"/>
        <v xml:space="preserve"> </v>
      </c>
      <c r="M303" s="58"/>
      <c r="N303" s="27" t="str">
        <f t="shared" si="113"/>
        <v xml:space="preserve"> </v>
      </c>
      <c r="O303" s="27">
        <f t="shared" si="100"/>
        <v>0</v>
      </c>
      <c r="P303" s="28" t="str">
        <f t="shared" si="111"/>
        <v>On time</v>
      </c>
      <c r="Q303" s="27">
        <f t="shared" si="101"/>
        <v>0</v>
      </c>
      <c r="R303" s="29" t="s">
        <v>836</v>
      </c>
      <c r="S303" t="s">
        <v>524</v>
      </c>
      <c r="T303" s="35">
        <v>5</v>
      </c>
      <c r="U303" t="s">
        <v>1008</v>
      </c>
      <c r="V303" s="27">
        <v>50</v>
      </c>
      <c r="W303" s="9">
        <v>28.39</v>
      </c>
      <c r="X303" s="9">
        <f t="shared" si="90"/>
        <v>1419.5</v>
      </c>
      <c r="Z303" s="10">
        <v>46114</v>
      </c>
      <c r="AA303" s="10">
        <v>46126</v>
      </c>
      <c r="AB303" s="10">
        <v>46167</v>
      </c>
      <c r="AC303" s="10">
        <v>46232</v>
      </c>
      <c r="AD303" s="31">
        <f t="shared" ca="1" si="125"/>
        <v>9</v>
      </c>
      <c r="AE303" s="36" t="s">
        <v>247</v>
      </c>
      <c r="AF303" t="s">
        <v>833</v>
      </c>
      <c r="AG303" s="10" t="s">
        <v>78</v>
      </c>
      <c r="AI303" s="9" t="s">
        <v>53</v>
      </c>
      <c r="AL303" t="s">
        <v>2212</v>
      </c>
      <c r="AM303" s="27" t="str">
        <f t="shared" si="124"/>
        <v>Atrasado</v>
      </c>
      <c r="AN303" s="27" t="str">
        <f t="shared" ca="1" si="115"/>
        <v>Estoque</v>
      </c>
      <c r="AO303" s="27" t="str">
        <f t="shared" ca="1" si="110"/>
        <v/>
      </c>
    </row>
    <row r="304" spans="1:42" ht="15" hidden="1" customHeight="1">
      <c r="D304" t="s">
        <v>1574</v>
      </c>
      <c r="E304" s="23" t="s">
        <v>1575</v>
      </c>
      <c r="F304" s="24"/>
      <c r="I304" s="26"/>
      <c r="J304" s="10"/>
      <c r="K304" s="10"/>
      <c r="L304" s="27" t="str">
        <f t="shared" si="114"/>
        <v xml:space="preserve"> </v>
      </c>
      <c r="M304" s="58"/>
      <c r="N304" s="27" t="str">
        <f t="shared" si="113"/>
        <v xml:space="preserve"> </v>
      </c>
      <c r="O304" s="27">
        <f t="shared" si="100"/>
        <v>0</v>
      </c>
      <c r="P304" s="28" t="str">
        <f t="shared" si="111"/>
        <v>On time</v>
      </c>
      <c r="Q304" s="27">
        <f t="shared" si="101"/>
        <v>0</v>
      </c>
      <c r="R304" s="29" t="s">
        <v>836</v>
      </c>
      <c r="S304" t="s">
        <v>524</v>
      </c>
      <c r="T304" s="35">
        <v>6</v>
      </c>
      <c r="U304" t="s">
        <v>1009</v>
      </c>
      <c r="V304" s="27">
        <v>10</v>
      </c>
      <c r="W304" s="9">
        <v>43.3</v>
      </c>
      <c r="X304" s="9">
        <f t="shared" si="90"/>
        <v>433</v>
      </c>
      <c r="Z304" s="10">
        <v>46114</v>
      </c>
      <c r="AA304" s="10">
        <v>46126</v>
      </c>
      <c r="AB304" s="10">
        <v>46167</v>
      </c>
      <c r="AC304" s="10">
        <v>46232</v>
      </c>
      <c r="AD304" s="31">
        <f t="shared" ca="1" si="125"/>
        <v>9</v>
      </c>
      <c r="AE304" s="36" t="s">
        <v>247</v>
      </c>
      <c r="AF304" t="s">
        <v>833</v>
      </c>
      <c r="AG304" s="10" t="s">
        <v>78</v>
      </c>
      <c r="AI304" s="9" t="s">
        <v>53</v>
      </c>
      <c r="AL304" t="s">
        <v>2212</v>
      </c>
      <c r="AM304" s="27" t="str">
        <f t="shared" si="124"/>
        <v>Atrasado</v>
      </c>
      <c r="AN304" s="27" t="str">
        <f t="shared" ca="1" si="115"/>
        <v>Estoque</v>
      </c>
      <c r="AO304" s="27" t="str">
        <f t="shared" ca="1" si="110"/>
        <v/>
      </c>
    </row>
    <row r="305" spans="4:41" ht="15" hidden="1" customHeight="1">
      <c r="D305" t="s">
        <v>1576</v>
      </c>
      <c r="E305" s="23" t="s">
        <v>1577</v>
      </c>
      <c r="F305" s="24"/>
      <c r="I305" s="26"/>
      <c r="J305" s="10"/>
      <c r="K305" s="10"/>
      <c r="L305" s="27" t="str">
        <f t="shared" si="114"/>
        <v xml:space="preserve"> </v>
      </c>
      <c r="M305" s="58"/>
      <c r="N305" s="27" t="str">
        <f t="shared" si="113"/>
        <v xml:space="preserve"> </v>
      </c>
      <c r="O305" s="27">
        <f t="shared" si="100"/>
        <v>0</v>
      </c>
      <c r="P305" s="28" t="str">
        <f t="shared" si="111"/>
        <v>On time</v>
      </c>
      <c r="Q305" s="27">
        <f t="shared" si="101"/>
        <v>0</v>
      </c>
      <c r="R305" s="29" t="s">
        <v>836</v>
      </c>
      <c r="S305" t="s">
        <v>524</v>
      </c>
      <c r="T305" s="35">
        <v>7</v>
      </c>
      <c r="U305" t="s">
        <v>1010</v>
      </c>
      <c r="V305" s="27">
        <v>5</v>
      </c>
      <c r="W305" s="9">
        <v>81</v>
      </c>
      <c r="X305" s="9">
        <f t="shared" si="90"/>
        <v>405</v>
      </c>
      <c r="Z305" s="10">
        <v>46114</v>
      </c>
      <c r="AA305" s="10">
        <v>46126</v>
      </c>
      <c r="AB305" s="10">
        <v>46167</v>
      </c>
      <c r="AC305" s="10">
        <v>46232</v>
      </c>
      <c r="AD305" s="31">
        <f t="shared" ca="1" si="125"/>
        <v>9</v>
      </c>
      <c r="AE305" s="36" t="s">
        <v>247</v>
      </c>
      <c r="AF305" t="s">
        <v>833</v>
      </c>
      <c r="AG305" s="10" t="s">
        <v>78</v>
      </c>
      <c r="AI305" s="9" t="s">
        <v>53</v>
      </c>
      <c r="AL305" t="s">
        <v>2212</v>
      </c>
      <c r="AM305" s="27" t="str">
        <f t="shared" si="124"/>
        <v>Atrasado</v>
      </c>
      <c r="AN305" s="27" t="str">
        <f t="shared" ca="1" si="115"/>
        <v>Estoque</v>
      </c>
      <c r="AO305" s="27" t="str">
        <f t="shared" ca="1" si="110"/>
        <v/>
      </c>
    </row>
    <row r="306" spans="4:41" ht="15" hidden="1" customHeight="1">
      <c r="D306" t="s">
        <v>1578</v>
      </c>
      <c r="E306" s="23" t="s">
        <v>1579</v>
      </c>
      <c r="F306" s="24"/>
      <c r="I306" s="26"/>
      <c r="J306" s="10"/>
      <c r="K306" s="10"/>
      <c r="L306" s="27" t="str">
        <f t="shared" si="114"/>
        <v xml:space="preserve"> </v>
      </c>
      <c r="M306" s="58"/>
      <c r="N306" s="27" t="str">
        <f t="shared" si="113"/>
        <v xml:space="preserve"> </v>
      </c>
      <c r="O306" s="27">
        <f t="shared" si="100"/>
        <v>0</v>
      </c>
      <c r="P306" s="28" t="str">
        <f t="shared" si="111"/>
        <v>On time</v>
      </c>
      <c r="Q306" s="27">
        <f t="shared" si="101"/>
        <v>0</v>
      </c>
      <c r="R306" s="29" t="s">
        <v>836</v>
      </c>
      <c r="S306" t="s">
        <v>524</v>
      </c>
      <c r="T306" s="35">
        <v>8</v>
      </c>
      <c r="U306" t="s">
        <v>1011</v>
      </c>
      <c r="V306" s="27">
        <v>5</v>
      </c>
      <c r="W306" s="9">
        <v>113</v>
      </c>
      <c r="X306" s="9">
        <f t="shared" si="90"/>
        <v>565</v>
      </c>
      <c r="Z306" s="10">
        <v>46114</v>
      </c>
      <c r="AA306" s="10">
        <v>46126</v>
      </c>
      <c r="AB306" s="10">
        <v>46167</v>
      </c>
      <c r="AC306" s="10">
        <v>46232</v>
      </c>
      <c r="AD306" s="31">
        <f t="shared" ca="1" si="125"/>
        <v>9</v>
      </c>
      <c r="AE306" s="36" t="s">
        <v>247</v>
      </c>
      <c r="AF306" t="s">
        <v>833</v>
      </c>
      <c r="AG306" s="10" t="s">
        <v>78</v>
      </c>
      <c r="AI306" s="9" t="s">
        <v>53</v>
      </c>
      <c r="AL306" t="s">
        <v>2212</v>
      </c>
      <c r="AM306" s="27" t="str">
        <f t="shared" si="124"/>
        <v>Atrasado</v>
      </c>
      <c r="AN306" s="27" t="str">
        <f t="shared" ca="1" si="115"/>
        <v>Estoque</v>
      </c>
      <c r="AO306" s="27" t="str">
        <f t="shared" ca="1" si="110"/>
        <v/>
      </c>
    </row>
    <row r="307" spans="4:41" ht="15" hidden="1" customHeight="1">
      <c r="D307" t="s">
        <v>1580</v>
      </c>
      <c r="E307" s="23" t="s">
        <v>1581</v>
      </c>
      <c r="F307" s="24"/>
      <c r="I307" s="26"/>
      <c r="J307" s="10"/>
      <c r="K307" s="10"/>
      <c r="L307" s="27" t="str">
        <f t="shared" si="114"/>
        <v xml:space="preserve"> </v>
      </c>
      <c r="M307" s="58"/>
      <c r="N307" s="27" t="str">
        <f t="shared" si="113"/>
        <v xml:space="preserve"> </v>
      </c>
      <c r="O307" s="27">
        <f t="shared" ref="O307:O370" si="126">M307-J307</f>
        <v>0</v>
      </c>
      <c r="P307" s="28" t="str">
        <f t="shared" si="111"/>
        <v>On time</v>
      </c>
      <c r="Q307" s="27">
        <f t="shared" ref="Q307:Q370" si="127">I307-J307</f>
        <v>0</v>
      </c>
      <c r="R307" s="29" t="s">
        <v>836</v>
      </c>
      <c r="S307" t="s">
        <v>524</v>
      </c>
      <c r="T307" s="35">
        <v>9</v>
      </c>
      <c r="U307" t="s">
        <v>1012</v>
      </c>
      <c r="V307" s="27">
        <v>30</v>
      </c>
      <c r="W307" s="9">
        <v>5.7</v>
      </c>
      <c r="X307" s="9">
        <f t="shared" si="90"/>
        <v>171</v>
      </c>
      <c r="Z307" s="10">
        <v>46114</v>
      </c>
      <c r="AA307" s="10">
        <v>46126</v>
      </c>
      <c r="AB307" s="10">
        <v>46167</v>
      </c>
      <c r="AC307" s="10">
        <v>46232</v>
      </c>
      <c r="AD307" s="31">
        <f t="shared" ca="1" si="125"/>
        <v>9</v>
      </c>
      <c r="AE307" s="36" t="s">
        <v>247</v>
      </c>
      <c r="AF307" t="s">
        <v>833</v>
      </c>
      <c r="AG307" s="10" t="s">
        <v>78</v>
      </c>
      <c r="AI307" s="9" t="s">
        <v>53</v>
      </c>
      <c r="AL307" t="s">
        <v>2212</v>
      </c>
      <c r="AM307" s="27" t="str">
        <f t="shared" si="124"/>
        <v>Atrasado</v>
      </c>
      <c r="AN307" s="27" t="str">
        <f t="shared" ca="1" si="115"/>
        <v>Estoque</v>
      </c>
      <c r="AO307" s="27" t="str">
        <f t="shared" ca="1" si="110"/>
        <v/>
      </c>
    </row>
    <row r="308" spans="4:41" ht="15" hidden="1" customHeight="1">
      <c r="D308" t="s">
        <v>1582</v>
      </c>
      <c r="E308" s="23" t="s">
        <v>1583</v>
      </c>
      <c r="F308" s="24"/>
      <c r="I308" s="26"/>
      <c r="J308" s="10"/>
      <c r="K308" s="10"/>
      <c r="L308" s="27" t="str">
        <f t="shared" si="114"/>
        <v xml:space="preserve"> </v>
      </c>
      <c r="M308" s="58"/>
      <c r="N308" s="27" t="str">
        <f t="shared" si="113"/>
        <v xml:space="preserve"> </v>
      </c>
      <c r="O308" s="27">
        <f t="shared" si="126"/>
        <v>0</v>
      </c>
      <c r="P308" s="28" t="str">
        <f t="shared" si="111"/>
        <v>On time</v>
      </c>
      <c r="Q308" s="27">
        <f t="shared" si="127"/>
        <v>0</v>
      </c>
      <c r="R308" s="29" t="s">
        <v>836</v>
      </c>
      <c r="S308" t="s">
        <v>524</v>
      </c>
      <c r="T308" s="35">
        <v>10</v>
      </c>
      <c r="U308" t="s">
        <v>1013</v>
      </c>
      <c r="V308" s="27">
        <v>500</v>
      </c>
      <c r="W308" s="9">
        <v>1.7</v>
      </c>
      <c r="X308" s="9">
        <f t="shared" si="90"/>
        <v>850</v>
      </c>
      <c r="Z308" s="10">
        <v>46114</v>
      </c>
      <c r="AA308" s="10">
        <v>46126</v>
      </c>
      <c r="AB308" s="10">
        <v>46167</v>
      </c>
      <c r="AC308" s="10">
        <v>46232</v>
      </c>
      <c r="AD308" s="31">
        <f t="shared" ca="1" si="125"/>
        <v>9</v>
      </c>
      <c r="AE308" s="36" t="s">
        <v>247</v>
      </c>
      <c r="AF308" t="s">
        <v>833</v>
      </c>
      <c r="AG308" s="10" t="s">
        <v>78</v>
      </c>
      <c r="AI308" s="9" t="s">
        <v>53</v>
      </c>
      <c r="AL308" t="s">
        <v>2212</v>
      </c>
      <c r="AM308" s="27" t="str">
        <f t="shared" si="124"/>
        <v>Atrasado</v>
      </c>
      <c r="AN308" s="27" t="str">
        <f t="shared" ca="1" si="115"/>
        <v>Estoque</v>
      </c>
      <c r="AO308" s="27" t="str">
        <f t="shared" ca="1" si="110"/>
        <v/>
      </c>
    </row>
    <row r="309" spans="4:41" ht="15" hidden="1" customHeight="1">
      <c r="D309" t="s">
        <v>1584</v>
      </c>
      <c r="E309" s="23" t="s">
        <v>1585</v>
      </c>
      <c r="F309" s="24"/>
      <c r="I309" s="26"/>
      <c r="J309" s="10"/>
      <c r="K309" s="10"/>
      <c r="L309" s="27" t="str">
        <f t="shared" si="114"/>
        <v xml:space="preserve"> </v>
      </c>
      <c r="M309" s="58"/>
      <c r="N309" s="27" t="str">
        <f t="shared" si="113"/>
        <v xml:space="preserve"> </v>
      </c>
      <c r="O309" s="27">
        <f t="shared" si="126"/>
        <v>0</v>
      </c>
      <c r="P309" s="28" t="str">
        <f t="shared" si="111"/>
        <v>On time</v>
      </c>
      <c r="Q309" s="27">
        <f t="shared" si="127"/>
        <v>0</v>
      </c>
      <c r="R309" s="29" t="s">
        <v>836</v>
      </c>
      <c r="S309" t="s">
        <v>524</v>
      </c>
      <c r="T309" s="35">
        <v>11</v>
      </c>
      <c r="U309" t="s">
        <v>1014</v>
      </c>
      <c r="V309" s="27">
        <v>500</v>
      </c>
      <c r="W309" s="9">
        <v>3.94</v>
      </c>
      <c r="X309" s="9">
        <f t="shared" si="90"/>
        <v>1970</v>
      </c>
      <c r="Z309" s="10">
        <v>46114</v>
      </c>
      <c r="AA309" s="10">
        <v>46126</v>
      </c>
      <c r="AB309" s="10">
        <v>46167</v>
      </c>
      <c r="AC309" s="10">
        <v>46232</v>
      </c>
      <c r="AD309" s="31">
        <f t="shared" ca="1" si="125"/>
        <v>9</v>
      </c>
      <c r="AE309" s="36" t="s">
        <v>247</v>
      </c>
      <c r="AF309" t="s">
        <v>833</v>
      </c>
      <c r="AG309" s="10" t="s">
        <v>78</v>
      </c>
      <c r="AI309" s="9" t="s">
        <v>53</v>
      </c>
      <c r="AL309" t="s">
        <v>2212</v>
      </c>
      <c r="AM309" s="27" t="str">
        <f t="shared" si="124"/>
        <v>Atrasado</v>
      </c>
      <c r="AN309" s="27" t="str">
        <f t="shared" ca="1" si="115"/>
        <v>Estoque</v>
      </c>
      <c r="AO309" s="27" t="str">
        <f t="shared" ca="1" si="110"/>
        <v/>
      </c>
    </row>
    <row r="310" spans="4:41" ht="15" hidden="1" customHeight="1">
      <c r="D310" t="s">
        <v>1586</v>
      </c>
      <c r="E310" s="23" t="s">
        <v>1587</v>
      </c>
      <c r="F310" s="24"/>
      <c r="I310" s="26"/>
      <c r="J310" s="10"/>
      <c r="K310" s="10"/>
      <c r="L310" s="27" t="str">
        <f t="shared" si="114"/>
        <v xml:space="preserve"> </v>
      </c>
      <c r="M310" s="58"/>
      <c r="N310" s="27" t="str">
        <f t="shared" si="113"/>
        <v xml:space="preserve"> </v>
      </c>
      <c r="O310" s="27">
        <f t="shared" si="126"/>
        <v>0</v>
      </c>
      <c r="P310" s="28" t="str">
        <f t="shared" si="111"/>
        <v>On time</v>
      </c>
      <c r="Q310" s="27">
        <f t="shared" si="127"/>
        <v>0</v>
      </c>
      <c r="R310" s="29" t="s">
        <v>836</v>
      </c>
      <c r="S310" t="s">
        <v>524</v>
      </c>
      <c r="T310" s="35">
        <v>12</v>
      </c>
      <c r="U310" t="s">
        <v>1015</v>
      </c>
      <c r="V310" s="27">
        <v>500</v>
      </c>
      <c r="W310" s="9">
        <v>6.11</v>
      </c>
      <c r="X310" s="9">
        <f t="shared" si="90"/>
        <v>3055</v>
      </c>
      <c r="Z310" s="10">
        <v>46114</v>
      </c>
      <c r="AA310" s="10">
        <v>46126</v>
      </c>
      <c r="AB310" s="10">
        <v>46167</v>
      </c>
      <c r="AC310" s="10">
        <v>46232</v>
      </c>
      <c r="AD310" s="31">
        <f t="shared" ca="1" si="125"/>
        <v>9</v>
      </c>
      <c r="AE310" s="36" t="s">
        <v>247</v>
      </c>
      <c r="AF310" t="s">
        <v>833</v>
      </c>
      <c r="AG310" s="10" t="s">
        <v>78</v>
      </c>
      <c r="AI310" s="9" t="s">
        <v>53</v>
      </c>
      <c r="AL310" t="s">
        <v>2212</v>
      </c>
      <c r="AM310" s="27" t="str">
        <f t="shared" si="124"/>
        <v>Atrasado</v>
      </c>
      <c r="AN310" s="27" t="str">
        <f t="shared" ca="1" si="115"/>
        <v>Estoque</v>
      </c>
      <c r="AO310" s="27" t="str">
        <f t="shared" ca="1" si="110"/>
        <v/>
      </c>
    </row>
    <row r="311" spans="4:41" ht="15" hidden="1" customHeight="1">
      <c r="D311" t="s">
        <v>1588</v>
      </c>
      <c r="E311" s="23" t="s">
        <v>1589</v>
      </c>
      <c r="F311" s="24"/>
      <c r="I311" s="26"/>
      <c r="J311" s="10"/>
      <c r="K311" s="10"/>
      <c r="L311" s="27" t="str">
        <f t="shared" si="114"/>
        <v xml:space="preserve"> </v>
      </c>
      <c r="M311" s="58"/>
      <c r="N311" s="27" t="str">
        <f t="shared" si="113"/>
        <v xml:space="preserve"> </v>
      </c>
      <c r="O311" s="27">
        <f t="shared" si="126"/>
        <v>0</v>
      </c>
      <c r="P311" s="28" t="str">
        <f t="shared" si="111"/>
        <v>On time</v>
      </c>
      <c r="Q311" s="27">
        <f t="shared" si="127"/>
        <v>0</v>
      </c>
      <c r="R311" s="29" t="s">
        <v>836</v>
      </c>
      <c r="S311" t="s">
        <v>524</v>
      </c>
      <c r="T311" s="35">
        <v>13</v>
      </c>
      <c r="U311" t="s">
        <v>1016</v>
      </c>
      <c r="V311" s="27">
        <v>300</v>
      </c>
      <c r="W311" s="9">
        <v>12.6</v>
      </c>
      <c r="X311" s="9">
        <f t="shared" si="90"/>
        <v>3780</v>
      </c>
      <c r="Z311" s="10">
        <v>46114</v>
      </c>
      <c r="AA311" s="10">
        <v>46126</v>
      </c>
      <c r="AB311" s="10">
        <v>46167</v>
      </c>
      <c r="AC311" s="10">
        <v>46232</v>
      </c>
      <c r="AD311" s="31">
        <f t="shared" ca="1" si="125"/>
        <v>9</v>
      </c>
      <c r="AE311" s="36" t="s">
        <v>247</v>
      </c>
      <c r="AF311" t="s">
        <v>833</v>
      </c>
      <c r="AG311" s="10" t="s">
        <v>78</v>
      </c>
      <c r="AI311" s="9" t="s">
        <v>53</v>
      </c>
      <c r="AL311" t="s">
        <v>2212</v>
      </c>
      <c r="AM311" s="27" t="str">
        <f t="shared" si="124"/>
        <v>Atrasado</v>
      </c>
      <c r="AN311" s="27" t="str">
        <f t="shared" ca="1" si="115"/>
        <v>Estoque</v>
      </c>
      <c r="AO311" s="27" t="str">
        <f t="shared" ca="1" si="110"/>
        <v/>
      </c>
    </row>
    <row r="312" spans="4:41" ht="15" hidden="1" customHeight="1">
      <c r="D312" t="s">
        <v>1590</v>
      </c>
      <c r="E312" s="23" t="s">
        <v>1591</v>
      </c>
      <c r="F312" s="24"/>
      <c r="I312" s="26"/>
      <c r="J312" s="10"/>
      <c r="K312" s="10"/>
      <c r="L312" s="27" t="str">
        <f t="shared" si="114"/>
        <v xml:space="preserve"> </v>
      </c>
      <c r="M312" s="58"/>
      <c r="N312" s="27" t="str">
        <f t="shared" si="113"/>
        <v xml:space="preserve"> </v>
      </c>
      <c r="O312" s="27">
        <f t="shared" si="126"/>
        <v>0</v>
      </c>
      <c r="P312" s="28" t="str">
        <f t="shared" si="111"/>
        <v>On time</v>
      </c>
      <c r="Q312" s="27">
        <f t="shared" si="127"/>
        <v>0</v>
      </c>
      <c r="R312" s="29" t="s">
        <v>836</v>
      </c>
      <c r="S312" t="s">
        <v>524</v>
      </c>
      <c r="T312" s="35">
        <v>14</v>
      </c>
      <c r="U312" t="s">
        <v>1017</v>
      </c>
      <c r="V312" s="27">
        <v>100</v>
      </c>
      <c r="W312" s="9">
        <v>20.7</v>
      </c>
      <c r="X312" s="9">
        <f t="shared" si="90"/>
        <v>2070</v>
      </c>
      <c r="Z312" s="10">
        <v>46114</v>
      </c>
      <c r="AA312" s="10">
        <v>46126</v>
      </c>
      <c r="AB312" s="10">
        <v>46167</v>
      </c>
      <c r="AC312" s="10">
        <v>46232</v>
      </c>
      <c r="AD312" s="31">
        <f t="shared" ca="1" si="125"/>
        <v>9</v>
      </c>
      <c r="AE312" s="36" t="s">
        <v>247</v>
      </c>
      <c r="AF312" t="s">
        <v>833</v>
      </c>
      <c r="AG312" s="10" t="s">
        <v>78</v>
      </c>
      <c r="AI312" s="9" t="s">
        <v>53</v>
      </c>
      <c r="AL312" t="s">
        <v>2212</v>
      </c>
      <c r="AM312" s="27" t="str">
        <f t="shared" si="124"/>
        <v>Atrasado</v>
      </c>
      <c r="AN312" s="27" t="str">
        <f t="shared" ca="1" si="115"/>
        <v>Estoque</v>
      </c>
      <c r="AO312" s="27" t="str">
        <f t="shared" ca="1" si="110"/>
        <v/>
      </c>
    </row>
    <row r="313" spans="4:41" ht="15" hidden="1" customHeight="1">
      <c r="D313" t="s">
        <v>1592</v>
      </c>
      <c r="E313" s="23" t="s">
        <v>1593</v>
      </c>
      <c r="F313" s="24"/>
      <c r="I313" s="26"/>
      <c r="J313" s="10"/>
      <c r="K313" s="10"/>
      <c r="L313" s="27" t="str">
        <f t="shared" si="114"/>
        <v xml:space="preserve"> </v>
      </c>
      <c r="M313" s="58"/>
      <c r="N313" s="27" t="str">
        <f t="shared" si="113"/>
        <v xml:space="preserve"> </v>
      </c>
      <c r="O313" s="27">
        <f t="shared" si="126"/>
        <v>0</v>
      </c>
      <c r="P313" s="28" t="str">
        <f t="shared" si="111"/>
        <v>On time</v>
      </c>
      <c r="Q313" s="27">
        <f t="shared" si="127"/>
        <v>0</v>
      </c>
      <c r="R313" s="29" t="s">
        <v>836</v>
      </c>
      <c r="S313" t="s">
        <v>524</v>
      </c>
      <c r="T313" s="35">
        <v>15</v>
      </c>
      <c r="U313" t="s">
        <v>1018</v>
      </c>
      <c r="V313" s="27">
        <v>10</v>
      </c>
      <c r="W313" s="9">
        <v>51.8</v>
      </c>
      <c r="X313" s="9">
        <f t="shared" si="90"/>
        <v>518</v>
      </c>
      <c r="Z313" s="10">
        <v>46114</v>
      </c>
      <c r="AA313" s="10">
        <v>46126</v>
      </c>
      <c r="AB313" s="10">
        <v>46167</v>
      </c>
      <c r="AC313" s="10">
        <v>46232</v>
      </c>
      <c r="AD313" s="31">
        <f t="shared" ca="1" si="125"/>
        <v>9</v>
      </c>
      <c r="AE313" s="36" t="s">
        <v>247</v>
      </c>
      <c r="AF313" t="s">
        <v>833</v>
      </c>
      <c r="AG313" s="10" t="s">
        <v>78</v>
      </c>
      <c r="AI313" s="9" t="s">
        <v>53</v>
      </c>
      <c r="AL313" t="s">
        <v>2212</v>
      </c>
      <c r="AM313" s="27" t="str">
        <f t="shared" si="124"/>
        <v>Atrasado</v>
      </c>
      <c r="AN313" s="27" t="str">
        <f t="shared" ca="1" si="115"/>
        <v>Estoque</v>
      </c>
      <c r="AO313" s="27" t="str">
        <f t="shared" ca="1" si="110"/>
        <v/>
      </c>
    </row>
    <row r="314" spans="4:41" ht="15" hidden="1" customHeight="1">
      <c r="D314" t="s">
        <v>1594</v>
      </c>
      <c r="E314" s="23" t="s">
        <v>1595</v>
      </c>
      <c r="F314" s="24"/>
      <c r="I314" s="26"/>
      <c r="J314" s="10"/>
      <c r="K314" s="10"/>
      <c r="L314" s="27" t="str">
        <f t="shared" si="114"/>
        <v xml:space="preserve"> </v>
      </c>
      <c r="M314" s="58"/>
      <c r="N314" s="27" t="str">
        <f t="shared" si="113"/>
        <v xml:space="preserve"> </v>
      </c>
      <c r="O314" s="27">
        <f t="shared" si="126"/>
        <v>0</v>
      </c>
      <c r="P314" s="28" t="str">
        <f t="shared" si="111"/>
        <v>On time</v>
      </c>
      <c r="Q314" s="27">
        <f t="shared" si="127"/>
        <v>0</v>
      </c>
      <c r="R314" s="29" t="s">
        <v>836</v>
      </c>
      <c r="S314" t="s">
        <v>524</v>
      </c>
      <c r="T314" s="35">
        <v>16</v>
      </c>
      <c r="U314" t="s">
        <v>1019</v>
      </c>
      <c r="V314" s="27">
        <v>10</v>
      </c>
      <c r="W314" s="9">
        <v>67.8</v>
      </c>
      <c r="X314" s="9">
        <f t="shared" si="90"/>
        <v>678</v>
      </c>
      <c r="Z314" s="10">
        <v>46114</v>
      </c>
      <c r="AA314" s="10">
        <v>46126</v>
      </c>
      <c r="AB314" s="10">
        <v>46167</v>
      </c>
      <c r="AC314" s="10">
        <v>46232</v>
      </c>
      <c r="AD314" s="31">
        <f t="shared" ca="1" si="125"/>
        <v>9</v>
      </c>
      <c r="AE314" s="36" t="s">
        <v>247</v>
      </c>
      <c r="AF314" t="s">
        <v>833</v>
      </c>
      <c r="AG314" s="10" t="s">
        <v>78</v>
      </c>
      <c r="AI314" s="9" t="s">
        <v>53</v>
      </c>
      <c r="AL314" t="s">
        <v>2212</v>
      </c>
      <c r="AM314" s="27" t="str">
        <f t="shared" si="124"/>
        <v>Atrasado</v>
      </c>
      <c r="AN314" s="27" t="str">
        <f t="shared" ca="1" si="115"/>
        <v>Estoque</v>
      </c>
      <c r="AO314" s="27" t="str">
        <f t="shared" ca="1" si="110"/>
        <v/>
      </c>
    </row>
    <row r="315" spans="4:41" ht="15" hidden="1" customHeight="1">
      <c r="D315" t="s">
        <v>1596</v>
      </c>
      <c r="E315" s="23" t="s">
        <v>1597</v>
      </c>
      <c r="F315" s="24"/>
      <c r="I315" s="26"/>
      <c r="J315" s="10"/>
      <c r="K315" s="10"/>
      <c r="L315" s="27" t="str">
        <f t="shared" si="114"/>
        <v xml:space="preserve"> </v>
      </c>
      <c r="M315" s="58"/>
      <c r="N315" s="27" t="str">
        <f t="shared" si="113"/>
        <v xml:space="preserve"> </v>
      </c>
      <c r="O315" s="27">
        <f t="shared" si="126"/>
        <v>0</v>
      </c>
      <c r="P315" s="28" t="str">
        <f t="shared" si="111"/>
        <v>On time</v>
      </c>
      <c r="Q315" s="27">
        <f t="shared" si="127"/>
        <v>0</v>
      </c>
      <c r="R315" s="29" t="s">
        <v>836</v>
      </c>
      <c r="S315" t="s">
        <v>524</v>
      </c>
      <c r="T315" s="35">
        <v>17</v>
      </c>
      <c r="U315" t="s">
        <v>1020</v>
      </c>
      <c r="V315" s="27">
        <v>10</v>
      </c>
      <c r="W315" s="9">
        <v>85</v>
      </c>
      <c r="X315" s="9">
        <f t="shared" si="90"/>
        <v>850</v>
      </c>
      <c r="Z315" s="10">
        <v>46114</v>
      </c>
      <c r="AA315" s="10">
        <v>46126</v>
      </c>
      <c r="AB315" s="10">
        <v>46167</v>
      </c>
      <c r="AC315" s="10">
        <v>46232</v>
      </c>
      <c r="AD315" s="31">
        <f t="shared" ca="1" si="125"/>
        <v>9</v>
      </c>
      <c r="AE315" s="36" t="s">
        <v>247</v>
      </c>
      <c r="AF315" t="s">
        <v>833</v>
      </c>
      <c r="AG315" s="10" t="s">
        <v>78</v>
      </c>
      <c r="AI315" s="9" t="s">
        <v>53</v>
      </c>
      <c r="AL315" t="s">
        <v>2212</v>
      </c>
      <c r="AM315" s="27" t="str">
        <f t="shared" si="124"/>
        <v>Atrasado</v>
      </c>
      <c r="AN315" s="27" t="str">
        <f t="shared" ca="1" si="115"/>
        <v>Estoque</v>
      </c>
      <c r="AO315" s="27" t="str">
        <f t="shared" ca="1" si="110"/>
        <v/>
      </c>
    </row>
    <row r="316" spans="4:41" ht="15" hidden="1" customHeight="1">
      <c r="D316" t="s">
        <v>1598</v>
      </c>
      <c r="E316" s="23" t="s">
        <v>1599</v>
      </c>
      <c r="F316" s="24"/>
      <c r="I316" s="26"/>
      <c r="J316" s="10"/>
      <c r="K316" s="10"/>
      <c r="L316" s="27" t="str">
        <f t="shared" si="114"/>
        <v xml:space="preserve"> </v>
      </c>
      <c r="M316" s="58"/>
      <c r="N316" s="27" t="str">
        <f t="shared" si="113"/>
        <v xml:space="preserve"> </v>
      </c>
      <c r="O316" s="27">
        <f t="shared" si="126"/>
        <v>0</v>
      </c>
      <c r="P316" s="28" t="str">
        <f t="shared" si="111"/>
        <v>On time</v>
      </c>
      <c r="Q316" s="27">
        <f t="shared" si="127"/>
        <v>0</v>
      </c>
      <c r="R316" s="29" t="s">
        <v>836</v>
      </c>
      <c r="S316" t="s">
        <v>524</v>
      </c>
      <c r="T316" s="35">
        <v>18</v>
      </c>
      <c r="U316" t="s">
        <v>1021</v>
      </c>
      <c r="V316" s="27">
        <v>5</v>
      </c>
      <c r="W316" s="9">
        <v>118.7</v>
      </c>
      <c r="X316" s="9">
        <f t="shared" si="90"/>
        <v>593.5</v>
      </c>
      <c r="Z316" s="10">
        <v>46114</v>
      </c>
      <c r="AA316" s="10">
        <v>46126</v>
      </c>
      <c r="AB316" s="10">
        <v>46167</v>
      </c>
      <c r="AC316" s="10">
        <v>46232</v>
      </c>
      <c r="AD316" s="31">
        <f t="shared" ca="1" si="125"/>
        <v>9</v>
      </c>
      <c r="AE316" s="36" t="s">
        <v>247</v>
      </c>
      <c r="AF316" t="s">
        <v>833</v>
      </c>
      <c r="AG316" s="10" t="s">
        <v>78</v>
      </c>
      <c r="AI316" s="9" t="s">
        <v>53</v>
      </c>
      <c r="AL316" t="s">
        <v>2212</v>
      </c>
      <c r="AM316" s="27" t="str">
        <f t="shared" si="124"/>
        <v>Atrasado</v>
      </c>
      <c r="AN316" s="27" t="str">
        <f t="shared" ca="1" si="115"/>
        <v>Estoque</v>
      </c>
      <c r="AO316" s="27" t="str">
        <f t="shared" ca="1" si="110"/>
        <v/>
      </c>
    </row>
    <row r="317" spans="4:41" ht="15" hidden="1" customHeight="1">
      <c r="D317" t="s">
        <v>1600</v>
      </c>
      <c r="E317" s="23" t="s">
        <v>1601</v>
      </c>
      <c r="F317" s="24"/>
      <c r="I317" s="26"/>
      <c r="J317" s="10"/>
      <c r="K317" s="10"/>
      <c r="L317" s="27" t="str">
        <f t="shared" si="114"/>
        <v xml:space="preserve"> </v>
      </c>
      <c r="M317" s="58"/>
      <c r="N317" s="27" t="str">
        <f t="shared" si="113"/>
        <v xml:space="preserve"> </v>
      </c>
      <c r="O317" s="27">
        <f t="shared" si="126"/>
        <v>0</v>
      </c>
      <c r="P317" s="28" t="str">
        <f t="shared" si="111"/>
        <v>On time</v>
      </c>
      <c r="Q317" s="27">
        <f t="shared" si="127"/>
        <v>0</v>
      </c>
      <c r="R317" s="29" t="s">
        <v>836</v>
      </c>
      <c r="S317" t="s">
        <v>524</v>
      </c>
      <c r="T317" s="35">
        <v>19</v>
      </c>
      <c r="U317" t="s">
        <v>1022</v>
      </c>
      <c r="V317" s="27">
        <v>5</v>
      </c>
      <c r="W317" s="9">
        <v>147</v>
      </c>
      <c r="X317" s="9">
        <f t="shared" si="90"/>
        <v>735</v>
      </c>
      <c r="Z317" s="10">
        <v>46114</v>
      </c>
      <c r="AA317" s="10">
        <v>46126</v>
      </c>
      <c r="AB317" s="10">
        <v>46167</v>
      </c>
      <c r="AC317" s="10">
        <v>46232</v>
      </c>
      <c r="AD317" s="31">
        <f t="shared" ca="1" si="125"/>
        <v>9</v>
      </c>
      <c r="AE317" s="36" t="s">
        <v>247</v>
      </c>
      <c r="AF317" t="s">
        <v>833</v>
      </c>
      <c r="AG317" s="10" t="s">
        <v>78</v>
      </c>
      <c r="AI317" s="9" t="s">
        <v>53</v>
      </c>
      <c r="AL317" t="s">
        <v>2212</v>
      </c>
      <c r="AM317" s="27" t="str">
        <f t="shared" si="124"/>
        <v>Atrasado</v>
      </c>
      <c r="AN317" s="27" t="str">
        <f t="shared" ca="1" si="115"/>
        <v>Estoque</v>
      </c>
      <c r="AO317" s="27" t="str">
        <f t="shared" ca="1" si="110"/>
        <v/>
      </c>
    </row>
    <row r="318" spans="4:41" ht="15" hidden="1" customHeight="1">
      <c r="D318" t="s">
        <v>1602</v>
      </c>
      <c r="E318" s="23" t="s">
        <v>1603</v>
      </c>
      <c r="F318" s="24"/>
      <c r="I318" s="26"/>
      <c r="J318" s="10"/>
      <c r="K318" s="10"/>
      <c r="L318" s="27" t="str">
        <f t="shared" si="114"/>
        <v xml:space="preserve"> </v>
      </c>
      <c r="M318" s="58"/>
      <c r="N318" s="27" t="str">
        <f t="shared" si="113"/>
        <v xml:space="preserve"> </v>
      </c>
      <c r="O318" s="27">
        <f t="shared" si="126"/>
        <v>0</v>
      </c>
      <c r="P318" s="28" t="str">
        <f t="shared" si="111"/>
        <v>On time</v>
      </c>
      <c r="Q318" s="27">
        <f t="shared" si="127"/>
        <v>0</v>
      </c>
      <c r="R318" s="29" t="s">
        <v>836</v>
      </c>
      <c r="S318" t="s">
        <v>524</v>
      </c>
      <c r="T318" s="35">
        <v>20</v>
      </c>
      <c r="U318" t="s">
        <v>1023</v>
      </c>
      <c r="V318" s="27">
        <v>5</v>
      </c>
      <c r="W318" s="9">
        <v>199.7</v>
      </c>
      <c r="X318" s="9">
        <f t="shared" si="90"/>
        <v>998.5</v>
      </c>
      <c r="Z318" s="10">
        <v>46114</v>
      </c>
      <c r="AA318" s="10">
        <v>46126</v>
      </c>
      <c r="AB318" s="10">
        <v>46167</v>
      </c>
      <c r="AC318" s="10">
        <v>46232</v>
      </c>
      <c r="AD318" s="31">
        <f t="shared" ca="1" si="125"/>
        <v>9</v>
      </c>
      <c r="AE318" s="36" t="s">
        <v>247</v>
      </c>
      <c r="AF318" t="s">
        <v>833</v>
      </c>
      <c r="AG318" s="10" t="s">
        <v>78</v>
      </c>
      <c r="AI318" s="9" t="s">
        <v>53</v>
      </c>
      <c r="AL318" t="s">
        <v>2212</v>
      </c>
      <c r="AM318" s="27" t="str">
        <f t="shared" si="124"/>
        <v>Atrasado</v>
      </c>
      <c r="AN318" s="27" t="str">
        <f t="shared" ca="1" si="115"/>
        <v>Estoque</v>
      </c>
      <c r="AO318" s="27" t="str">
        <f t="shared" ca="1" si="110"/>
        <v/>
      </c>
    </row>
    <row r="319" spans="4:41" ht="15" hidden="1" customHeight="1">
      <c r="D319" t="s">
        <v>1604</v>
      </c>
      <c r="E319" s="23" t="s">
        <v>1605</v>
      </c>
      <c r="F319" s="24"/>
      <c r="I319" s="26"/>
      <c r="J319" s="10"/>
      <c r="K319" s="10"/>
      <c r="L319" s="27" t="str">
        <f t="shared" si="114"/>
        <v xml:space="preserve"> </v>
      </c>
      <c r="M319" s="58"/>
      <c r="N319" s="27" t="str">
        <f t="shared" si="113"/>
        <v xml:space="preserve"> </v>
      </c>
      <c r="O319" s="27">
        <f t="shared" si="126"/>
        <v>0</v>
      </c>
      <c r="P319" s="28" t="str">
        <f t="shared" si="111"/>
        <v>On time</v>
      </c>
      <c r="Q319" s="27">
        <f t="shared" si="127"/>
        <v>0</v>
      </c>
      <c r="R319" s="29" t="s">
        <v>836</v>
      </c>
      <c r="S319" t="s">
        <v>524</v>
      </c>
      <c r="T319" s="35">
        <v>21</v>
      </c>
      <c r="U319" t="s">
        <v>1024</v>
      </c>
      <c r="V319" s="27">
        <v>100</v>
      </c>
      <c r="W319" s="9">
        <v>2.8</v>
      </c>
      <c r="X319" s="9">
        <f t="shared" si="90"/>
        <v>280</v>
      </c>
      <c r="Z319" s="10">
        <v>46114</v>
      </c>
      <c r="AA319" s="10">
        <v>46126</v>
      </c>
      <c r="AB319" s="10">
        <v>46167</v>
      </c>
      <c r="AC319" s="10">
        <v>46232</v>
      </c>
      <c r="AD319" s="31">
        <f t="shared" ca="1" si="125"/>
        <v>9</v>
      </c>
      <c r="AE319" s="36" t="s">
        <v>247</v>
      </c>
      <c r="AF319" t="s">
        <v>833</v>
      </c>
      <c r="AG319" s="10" t="s">
        <v>78</v>
      </c>
      <c r="AI319" s="9" t="s">
        <v>53</v>
      </c>
      <c r="AL319" t="s">
        <v>2212</v>
      </c>
      <c r="AM319" s="27" t="str">
        <f t="shared" si="124"/>
        <v>Atrasado</v>
      </c>
      <c r="AN319" s="27" t="str">
        <f t="shared" ca="1" si="115"/>
        <v>Estoque</v>
      </c>
      <c r="AO319" s="27" t="str">
        <f t="shared" ca="1" si="110"/>
        <v/>
      </c>
    </row>
    <row r="320" spans="4:41" ht="15" hidden="1" customHeight="1">
      <c r="D320" t="s">
        <v>1606</v>
      </c>
      <c r="E320" s="23" t="s">
        <v>1607</v>
      </c>
      <c r="F320" s="24"/>
      <c r="I320" s="26"/>
      <c r="J320" s="10"/>
      <c r="K320" s="10"/>
      <c r="L320" s="27" t="str">
        <f t="shared" si="114"/>
        <v xml:space="preserve"> </v>
      </c>
      <c r="M320" s="58"/>
      <c r="N320" s="27" t="str">
        <f t="shared" si="113"/>
        <v xml:space="preserve"> </v>
      </c>
      <c r="O320" s="27">
        <f t="shared" si="126"/>
        <v>0</v>
      </c>
      <c r="P320" s="28" t="str">
        <f t="shared" si="111"/>
        <v>On time</v>
      </c>
      <c r="Q320" s="27">
        <f t="shared" si="127"/>
        <v>0</v>
      </c>
      <c r="R320" s="29" t="s">
        <v>836</v>
      </c>
      <c r="S320" t="s">
        <v>524</v>
      </c>
      <c r="T320" s="35">
        <v>22</v>
      </c>
      <c r="U320" t="s">
        <v>1025</v>
      </c>
      <c r="V320" s="27">
        <v>20</v>
      </c>
      <c r="W320" s="9">
        <v>21.54</v>
      </c>
      <c r="X320" s="9">
        <f t="shared" si="90"/>
        <v>430.79999999999995</v>
      </c>
      <c r="Z320" s="10">
        <v>46114</v>
      </c>
      <c r="AA320" s="10">
        <v>46126</v>
      </c>
      <c r="AB320" s="10">
        <v>46167</v>
      </c>
      <c r="AC320" s="10">
        <v>46232</v>
      </c>
      <c r="AD320" s="31">
        <f t="shared" ca="1" si="125"/>
        <v>9</v>
      </c>
      <c r="AE320" s="36" t="s">
        <v>247</v>
      </c>
      <c r="AF320" t="s">
        <v>833</v>
      </c>
      <c r="AG320" s="10" t="s">
        <v>78</v>
      </c>
      <c r="AI320" s="9" t="s">
        <v>53</v>
      </c>
      <c r="AL320" t="s">
        <v>2212</v>
      </c>
      <c r="AM320" s="27" t="str">
        <f t="shared" si="124"/>
        <v>Atrasado</v>
      </c>
      <c r="AN320" s="27" t="str">
        <f t="shared" ca="1" si="115"/>
        <v>Estoque</v>
      </c>
      <c r="AO320" s="27" t="str">
        <f t="shared" ca="1" si="110"/>
        <v/>
      </c>
    </row>
    <row r="321" spans="1:42" ht="15" hidden="1" customHeight="1">
      <c r="D321" t="s">
        <v>1608</v>
      </c>
      <c r="E321" s="23" t="s">
        <v>1609</v>
      </c>
      <c r="F321" s="24"/>
      <c r="I321" s="26"/>
      <c r="J321" s="10"/>
      <c r="K321" s="10"/>
      <c r="L321" s="27" t="str">
        <f t="shared" si="114"/>
        <v xml:space="preserve"> </v>
      </c>
      <c r="M321" s="58"/>
      <c r="N321" s="27" t="str">
        <f t="shared" si="113"/>
        <v xml:space="preserve"> </v>
      </c>
      <c r="O321" s="27">
        <f t="shared" si="126"/>
        <v>0</v>
      </c>
      <c r="P321" s="28" t="str">
        <f t="shared" si="111"/>
        <v>On time</v>
      </c>
      <c r="Q321" s="27">
        <f t="shared" si="127"/>
        <v>0</v>
      </c>
      <c r="R321" s="29" t="s">
        <v>836</v>
      </c>
      <c r="S321" t="s">
        <v>524</v>
      </c>
      <c r="T321" s="35">
        <v>23</v>
      </c>
      <c r="U321" t="s">
        <v>1026</v>
      </c>
      <c r="V321" s="27">
        <v>20</v>
      </c>
      <c r="W321" s="9">
        <v>40.19</v>
      </c>
      <c r="X321" s="9">
        <f t="shared" si="90"/>
        <v>803.8</v>
      </c>
      <c r="Z321" s="10">
        <v>46114</v>
      </c>
      <c r="AA321" s="10">
        <v>46126</v>
      </c>
      <c r="AB321" s="10">
        <v>46167</v>
      </c>
      <c r="AC321" s="10">
        <v>46232</v>
      </c>
      <c r="AD321" s="31">
        <f t="shared" ca="1" si="125"/>
        <v>9</v>
      </c>
      <c r="AE321" s="36" t="s">
        <v>247</v>
      </c>
      <c r="AF321" t="s">
        <v>833</v>
      </c>
      <c r="AG321" s="10" t="s">
        <v>78</v>
      </c>
      <c r="AI321" s="9" t="s">
        <v>53</v>
      </c>
      <c r="AL321" t="s">
        <v>2212</v>
      </c>
      <c r="AM321" s="27" t="str">
        <f t="shared" si="124"/>
        <v>Atrasado</v>
      </c>
      <c r="AN321" s="27" t="str">
        <f t="shared" ca="1" si="115"/>
        <v>Estoque</v>
      </c>
      <c r="AO321" s="27" t="str">
        <f t="shared" ca="1" si="110"/>
        <v/>
      </c>
    </row>
    <row r="322" spans="1:42" ht="15" hidden="1" customHeight="1">
      <c r="D322" t="s">
        <v>1610</v>
      </c>
      <c r="E322" s="23" t="s">
        <v>1611</v>
      </c>
      <c r="F322" s="24"/>
      <c r="I322" s="26"/>
      <c r="J322" s="10"/>
      <c r="K322" s="10"/>
      <c r="L322" s="27" t="str">
        <f t="shared" si="114"/>
        <v xml:space="preserve"> </v>
      </c>
      <c r="M322" s="58"/>
      <c r="N322" s="27" t="str">
        <f t="shared" si="113"/>
        <v xml:space="preserve"> </v>
      </c>
      <c r="O322" s="27">
        <f t="shared" si="126"/>
        <v>0</v>
      </c>
      <c r="P322" s="28" t="str">
        <f t="shared" si="111"/>
        <v>On time</v>
      </c>
      <c r="Q322" s="27">
        <f t="shared" si="127"/>
        <v>0</v>
      </c>
      <c r="R322" s="29" t="s">
        <v>836</v>
      </c>
      <c r="S322" t="s">
        <v>524</v>
      </c>
      <c r="T322" s="35">
        <v>24</v>
      </c>
      <c r="U322" t="s">
        <v>1027</v>
      </c>
      <c r="V322" s="27">
        <v>5</v>
      </c>
      <c r="W322" s="9">
        <v>160.1</v>
      </c>
      <c r="X322" s="9">
        <f t="shared" si="90"/>
        <v>800.5</v>
      </c>
      <c r="Z322" s="10">
        <v>46114</v>
      </c>
      <c r="AA322" s="10">
        <v>46126</v>
      </c>
      <c r="AB322" s="10">
        <v>46167</v>
      </c>
      <c r="AC322" s="10">
        <v>46232</v>
      </c>
      <c r="AD322" s="31">
        <f t="shared" ca="1" si="125"/>
        <v>9</v>
      </c>
      <c r="AE322" s="36" t="s">
        <v>247</v>
      </c>
      <c r="AF322" t="s">
        <v>833</v>
      </c>
      <c r="AG322" s="10" t="s">
        <v>78</v>
      </c>
      <c r="AI322" s="9" t="s">
        <v>53</v>
      </c>
      <c r="AL322" t="s">
        <v>2212</v>
      </c>
      <c r="AM322" s="27" t="str">
        <f t="shared" si="124"/>
        <v>Atrasado</v>
      </c>
      <c r="AN322" s="27" t="str">
        <f t="shared" ca="1" si="115"/>
        <v>Estoque</v>
      </c>
      <c r="AO322" s="27" t="str">
        <f t="shared" ca="1" si="110"/>
        <v/>
      </c>
    </row>
    <row r="323" spans="1:42" ht="15" hidden="1" customHeight="1">
      <c r="D323" t="s">
        <v>1612</v>
      </c>
      <c r="E323" s="23" t="s">
        <v>1613</v>
      </c>
      <c r="F323" s="24"/>
      <c r="I323" s="26"/>
      <c r="J323" s="10"/>
      <c r="K323" s="10"/>
      <c r="L323" s="27" t="str">
        <f t="shared" si="114"/>
        <v xml:space="preserve"> </v>
      </c>
      <c r="M323" s="58"/>
      <c r="N323" s="27" t="str">
        <f t="shared" si="113"/>
        <v xml:space="preserve"> </v>
      </c>
      <c r="O323" s="27">
        <f t="shared" si="126"/>
        <v>0</v>
      </c>
      <c r="P323" s="28" t="str">
        <f t="shared" si="111"/>
        <v>On time</v>
      </c>
      <c r="Q323" s="27">
        <f t="shared" si="127"/>
        <v>0</v>
      </c>
      <c r="R323" s="29" t="s">
        <v>836</v>
      </c>
      <c r="S323" t="s">
        <v>524</v>
      </c>
      <c r="T323" s="35">
        <v>25</v>
      </c>
      <c r="U323" t="s">
        <v>1028</v>
      </c>
      <c r="V323" s="27">
        <v>5</v>
      </c>
      <c r="W323" s="9">
        <v>207.2</v>
      </c>
      <c r="X323" s="9">
        <f t="shared" si="90"/>
        <v>1036</v>
      </c>
      <c r="Z323" s="10">
        <v>46114</v>
      </c>
      <c r="AA323" s="10">
        <v>46126</v>
      </c>
      <c r="AB323" s="10">
        <v>46167</v>
      </c>
      <c r="AC323" s="10">
        <v>46232</v>
      </c>
      <c r="AD323" s="31">
        <f t="shared" ca="1" si="125"/>
        <v>9</v>
      </c>
      <c r="AE323" s="36" t="s">
        <v>247</v>
      </c>
      <c r="AF323" t="s">
        <v>833</v>
      </c>
      <c r="AG323" s="10" t="s">
        <v>78</v>
      </c>
      <c r="AI323" s="9" t="s">
        <v>53</v>
      </c>
      <c r="AL323" t="s">
        <v>2212</v>
      </c>
      <c r="AM323" s="27" t="str">
        <f t="shared" si="124"/>
        <v>Atrasado</v>
      </c>
      <c r="AN323" s="27" t="str">
        <f t="shared" ca="1" si="115"/>
        <v>Estoque</v>
      </c>
      <c r="AO323" s="27" t="str">
        <f t="shared" ca="1" si="110"/>
        <v/>
      </c>
    </row>
    <row r="324" spans="1:42" ht="15" hidden="1" customHeight="1">
      <c r="A324">
        <v>514251</v>
      </c>
      <c r="B324" s="34">
        <v>1</v>
      </c>
      <c r="C324" t="s">
        <v>25</v>
      </c>
      <c r="D324" t="s">
        <v>837</v>
      </c>
      <c r="E324" s="23" t="s">
        <v>1314</v>
      </c>
      <c r="F324" s="24">
        <v>12</v>
      </c>
      <c r="G324" s="25">
        <v>693.65</v>
      </c>
      <c r="H324" s="25">
        <f t="shared" si="89"/>
        <v>8323.7999999999993</v>
      </c>
      <c r="I324" s="26">
        <v>46296</v>
      </c>
      <c r="J324" s="10">
        <v>46112</v>
      </c>
      <c r="K324" s="10">
        <v>46113</v>
      </c>
      <c r="L324" s="27" t="str">
        <f t="shared" si="114"/>
        <v>On time</v>
      </c>
      <c r="M324" s="58">
        <v>46114</v>
      </c>
      <c r="N324" s="27" t="str">
        <f t="shared" si="113"/>
        <v>On time</v>
      </c>
      <c r="O324" s="27">
        <f t="shared" si="126"/>
        <v>2</v>
      </c>
      <c r="P324" s="28" t="str">
        <f t="shared" si="111"/>
        <v>On time</v>
      </c>
      <c r="Q324" s="27">
        <f t="shared" si="127"/>
        <v>184</v>
      </c>
      <c r="R324" s="29" t="s">
        <v>836</v>
      </c>
      <c r="S324" t="s">
        <v>524</v>
      </c>
      <c r="T324" s="35">
        <v>26</v>
      </c>
      <c r="U324" t="s">
        <v>837</v>
      </c>
      <c r="V324" s="27">
        <v>20</v>
      </c>
      <c r="W324" s="9">
        <v>45</v>
      </c>
      <c r="X324" s="9">
        <f t="shared" si="90"/>
        <v>900</v>
      </c>
      <c r="Z324" s="10">
        <v>46114</v>
      </c>
      <c r="AA324" s="10">
        <v>46126</v>
      </c>
      <c r="AB324" s="10">
        <v>46167</v>
      </c>
      <c r="AC324" s="10">
        <v>46232</v>
      </c>
      <c r="AD324" s="31">
        <f t="shared" ca="1" si="125"/>
        <v>9</v>
      </c>
      <c r="AE324" s="36" t="s">
        <v>247</v>
      </c>
      <c r="AF324" t="s">
        <v>833</v>
      </c>
      <c r="AG324" s="10" t="s">
        <v>78</v>
      </c>
      <c r="AI324" s="9" t="s">
        <v>53</v>
      </c>
      <c r="AL324" t="s">
        <v>2212</v>
      </c>
      <c r="AM324" s="27" t="str">
        <f t="shared" si="91"/>
        <v>Atrasado</v>
      </c>
      <c r="AN324" s="27" t="str">
        <f t="shared" ca="1" si="115"/>
        <v>No prazo</v>
      </c>
      <c r="AO324" s="27" t="str">
        <f t="shared" ref="AO324:AO387" ca="1" si="128">IF(AN324="Chegou","Chegou HCI",IF(AND(AJ324&lt;&gt;"",AK324&lt;&gt;""),IF(TODAY()&gt;=AJ324,"Embarcado","Ag. embarque"),IF(AND(AJ324&lt;&gt;"",AK324=""),"Ag. booking","")))</f>
        <v/>
      </c>
      <c r="AP324" t="s">
        <v>822</v>
      </c>
    </row>
    <row r="325" spans="1:42" ht="15" hidden="1" customHeight="1">
      <c r="A325">
        <v>513206</v>
      </c>
      <c r="B325" s="34">
        <v>3</v>
      </c>
      <c r="C325" t="s">
        <v>25</v>
      </c>
      <c r="D325" t="s">
        <v>838</v>
      </c>
      <c r="E325" s="23" t="s">
        <v>868</v>
      </c>
      <c r="F325" s="24">
        <v>65</v>
      </c>
      <c r="G325" s="25">
        <v>112.53</v>
      </c>
      <c r="H325" s="25">
        <f t="shared" si="89"/>
        <v>7314.45</v>
      </c>
      <c r="I325" s="26">
        <v>46251</v>
      </c>
      <c r="J325" s="10">
        <v>46098</v>
      </c>
      <c r="K325" s="10">
        <v>46099</v>
      </c>
      <c r="L325" s="27" t="str">
        <f t="shared" si="114"/>
        <v>On time</v>
      </c>
      <c r="M325" s="58">
        <v>46106</v>
      </c>
      <c r="N325" s="27" t="str">
        <f t="shared" si="113"/>
        <v>Atrasado</v>
      </c>
      <c r="O325" s="27">
        <f t="shared" si="126"/>
        <v>8</v>
      </c>
      <c r="P325" s="28" t="str">
        <f t="shared" ref="P325:P388" si="129">IF(Z325=0," ",IF(M325&gt;=Z325+6,"Atrasado","On time"))</f>
        <v>On time</v>
      </c>
      <c r="Q325" s="27">
        <f t="shared" si="127"/>
        <v>153</v>
      </c>
      <c r="R325" s="29" t="s">
        <v>860</v>
      </c>
      <c r="S325" t="s">
        <v>65</v>
      </c>
      <c r="T325" s="35">
        <v>1</v>
      </c>
      <c r="U325" t="s">
        <v>838</v>
      </c>
      <c r="V325" s="27">
        <v>65</v>
      </c>
      <c r="W325" s="9">
        <v>5.13</v>
      </c>
      <c r="X325" s="9">
        <f t="shared" si="90"/>
        <v>333.45</v>
      </c>
      <c r="Z325" s="10">
        <v>46114</v>
      </c>
      <c r="AA325" s="10">
        <v>46134</v>
      </c>
      <c r="AB325" s="10">
        <v>46149</v>
      </c>
      <c r="AC325" s="10">
        <v>46214</v>
      </c>
      <c r="AD325" s="31">
        <f t="shared" ca="1" si="112"/>
        <v>1</v>
      </c>
      <c r="AE325" s="36">
        <v>1</v>
      </c>
      <c r="AF325" t="s">
        <v>62</v>
      </c>
      <c r="AG325" s="10" t="s">
        <v>605</v>
      </c>
      <c r="AI325" s="9" t="s">
        <v>53</v>
      </c>
      <c r="AL325" t="s">
        <v>1340</v>
      </c>
      <c r="AM325" s="27" t="str">
        <f t="shared" ref="AM325" si="130">IF(AB325=0," ",IF(AB325&lt;=AA325+10,"On time","Atrasado"))</f>
        <v>Atrasado</v>
      </c>
      <c r="AN325" s="27" t="str">
        <f t="shared" ca="1" si="115"/>
        <v>No prazo</v>
      </c>
      <c r="AO325" s="27" t="str">
        <f t="shared" ca="1" si="128"/>
        <v/>
      </c>
    </row>
    <row r="326" spans="1:42" ht="15" hidden="1" customHeight="1">
      <c r="A326">
        <v>513206</v>
      </c>
      <c r="B326" s="34">
        <v>4</v>
      </c>
      <c r="C326" t="s">
        <v>25</v>
      </c>
      <c r="D326" t="s">
        <v>839</v>
      </c>
      <c r="E326" s="23" t="s">
        <v>869</v>
      </c>
      <c r="F326" s="24">
        <v>80</v>
      </c>
      <c r="G326" s="25">
        <v>52.18</v>
      </c>
      <c r="H326" s="25">
        <f t="shared" si="89"/>
        <v>4174.3999999999996</v>
      </c>
      <c r="I326" s="26">
        <v>46251</v>
      </c>
      <c r="J326" s="10">
        <v>46098</v>
      </c>
      <c r="K326" s="10">
        <v>46099</v>
      </c>
      <c r="L326" s="27" t="str">
        <f t="shared" si="114"/>
        <v>On time</v>
      </c>
      <c r="M326" s="58">
        <v>46106</v>
      </c>
      <c r="N326" s="27" t="str">
        <f t="shared" si="113"/>
        <v>Atrasado</v>
      </c>
      <c r="O326" s="27">
        <f t="shared" si="126"/>
        <v>8</v>
      </c>
      <c r="P326" s="28" t="str">
        <f t="shared" si="129"/>
        <v>On time</v>
      </c>
      <c r="Q326" s="27">
        <f t="shared" si="127"/>
        <v>153</v>
      </c>
      <c r="R326" s="29" t="s">
        <v>860</v>
      </c>
      <c r="S326" t="s">
        <v>65</v>
      </c>
      <c r="T326" s="35">
        <v>2</v>
      </c>
      <c r="U326" t="s">
        <v>839</v>
      </c>
      <c r="V326" s="27">
        <v>80</v>
      </c>
      <c r="W326" s="9">
        <v>3.25</v>
      </c>
      <c r="X326" s="9">
        <f t="shared" si="90"/>
        <v>260</v>
      </c>
      <c r="Z326" s="10">
        <v>46114</v>
      </c>
      <c r="AA326" s="10">
        <v>46134</v>
      </c>
      <c r="AB326" s="10">
        <v>46149</v>
      </c>
      <c r="AC326" s="10">
        <v>46214</v>
      </c>
      <c r="AD326" s="31">
        <f t="shared" ref="AD326:AD350" ca="1" si="131">TODAY()-AA326</f>
        <v>1</v>
      </c>
      <c r="AE326" s="36">
        <v>1</v>
      </c>
      <c r="AF326" t="s">
        <v>62</v>
      </c>
      <c r="AG326" s="10" t="s">
        <v>605</v>
      </c>
      <c r="AI326" s="9" t="s">
        <v>53</v>
      </c>
      <c r="AL326" t="s">
        <v>1340</v>
      </c>
      <c r="AM326" s="27" t="str">
        <f t="shared" ref="AM326:AM350" si="132">IF(AB326=0," ",IF(AB326&lt;=AA326+10,"On time","Atrasado"))</f>
        <v>Atrasado</v>
      </c>
      <c r="AN326" s="27" t="str">
        <f t="shared" ca="1" si="115"/>
        <v>No prazo</v>
      </c>
      <c r="AO326" s="27" t="str">
        <f t="shared" ca="1" si="128"/>
        <v/>
      </c>
    </row>
    <row r="327" spans="1:42" ht="15" hidden="1" customHeight="1">
      <c r="A327">
        <v>513206</v>
      </c>
      <c r="B327" s="34">
        <v>6</v>
      </c>
      <c r="C327" t="s">
        <v>25</v>
      </c>
      <c r="D327" t="s">
        <v>840</v>
      </c>
      <c r="E327" s="23" t="s">
        <v>870</v>
      </c>
      <c r="F327" s="24">
        <v>32</v>
      </c>
      <c r="G327" s="25">
        <v>35.979999999999997</v>
      </c>
      <c r="H327" s="25">
        <f t="shared" si="89"/>
        <v>1151.3599999999999</v>
      </c>
      <c r="I327" s="26">
        <v>46251</v>
      </c>
      <c r="J327" s="10">
        <v>46098</v>
      </c>
      <c r="K327" s="10">
        <v>46099</v>
      </c>
      <c r="L327" s="27" t="str">
        <f t="shared" si="114"/>
        <v>On time</v>
      </c>
      <c r="M327" s="58">
        <v>46106</v>
      </c>
      <c r="N327" s="27" t="str">
        <f t="shared" si="113"/>
        <v>Atrasado</v>
      </c>
      <c r="O327" s="27">
        <f t="shared" si="126"/>
        <v>8</v>
      </c>
      <c r="P327" s="28" t="str">
        <f t="shared" si="129"/>
        <v>On time</v>
      </c>
      <c r="Q327" s="27">
        <f t="shared" si="127"/>
        <v>153</v>
      </c>
      <c r="R327" s="29" t="s">
        <v>860</v>
      </c>
      <c r="S327" t="s">
        <v>65</v>
      </c>
      <c r="T327" s="35">
        <v>3</v>
      </c>
      <c r="U327" t="s">
        <v>840</v>
      </c>
      <c r="V327" s="27">
        <v>60</v>
      </c>
      <c r="W327" s="9">
        <v>1.64</v>
      </c>
      <c r="X327" s="9">
        <f t="shared" si="90"/>
        <v>98.399999999999991</v>
      </c>
      <c r="Z327" s="10">
        <v>46114</v>
      </c>
      <c r="AA327" s="10">
        <v>46134</v>
      </c>
      <c r="AB327" s="10">
        <v>46149</v>
      </c>
      <c r="AC327" s="10">
        <v>46214</v>
      </c>
      <c r="AD327" s="31">
        <f t="shared" ca="1" si="131"/>
        <v>1</v>
      </c>
      <c r="AE327" s="36">
        <v>1</v>
      </c>
      <c r="AF327" t="s">
        <v>62</v>
      </c>
      <c r="AG327" s="10" t="s">
        <v>605</v>
      </c>
      <c r="AI327" s="9" t="s">
        <v>53</v>
      </c>
      <c r="AL327" t="s">
        <v>1340</v>
      </c>
      <c r="AM327" s="27" t="str">
        <f t="shared" si="132"/>
        <v>Atrasado</v>
      </c>
      <c r="AN327" s="27" t="str">
        <f t="shared" ca="1" si="115"/>
        <v>No prazo</v>
      </c>
      <c r="AO327" s="27" t="str">
        <f t="shared" ca="1" si="128"/>
        <v/>
      </c>
    </row>
    <row r="328" spans="1:42" ht="15" hidden="1" customHeight="1">
      <c r="A328">
        <v>513206</v>
      </c>
      <c r="B328" s="34">
        <v>8</v>
      </c>
      <c r="C328" t="s">
        <v>25</v>
      </c>
      <c r="D328" t="s">
        <v>841</v>
      </c>
      <c r="E328" s="23" t="s">
        <v>871</v>
      </c>
      <c r="F328" s="24">
        <v>3</v>
      </c>
      <c r="G328" s="25">
        <v>49.78</v>
      </c>
      <c r="H328" s="25">
        <f t="shared" si="89"/>
        <v>149.34</v>
      </c>
      <c r="I328" s="26">
        <v>46251</v>
      </c>
      <c r="J328" s="10">
        <v>46098</v>
      </c>
      <c r="K328" s="10">
        <v>46099</v>
      </c>
      <c r="L328" s="27" t="str">
        <f t="shared" si="114"/>
        <v>On time</v>
      </c>
      <c r="M328" s="58">
        <v>46106</v>
      </c>
      <c r="N328" s="27" t="str">
        <f t="shared" si="113"/>
        <v>Atrasado</v>
      </c>
      <c r="O328" s="27">
        <f t="shared" si="126"/>
        <v>8</v>
      </c>
      <c r="P328" s="28" t="str">
        <f t="shared" si="129"/>
        <v>On time</v>
      </c>
      <c r="Q328" s="27">
        <f t="shared" si="127"/>
        <v>153</v>
      </c>
      <c r="R328" s="29" t="s">
        <v>860</v>
      </c>
      <c r="S328" t="s">
        <v>65</v>
      </c>
      <c r="T328" s="35">
        <v>4</v>
      </c>
      <c r="U328" t="s">
        <v>841</v>
      </c>
      <c r="V328" s="27">
        <v>20</v>
      </c>
      <c r="W328" s="9">
        <v>2.27</v>
      </c>
      <c r="X328" s="9">
        <f t="shared" si="90"/>
        <v>45.4</v>
      </c>
      <c r="Z328" s="10">
        <v>46114</v>
      </c>
      <c r="AA328" s="10">
        <v>46134</v>
      </c>
      <c r="AB328" s="10">
        <v>46149</v>
      </c>
      <c r="AC328" s="10">
        <v>46214</v>
      </c>
      <c r="AD328" s="31">
        <f t="shared" ca="1" si="131"/>
        <v>1</v>
      </c>
      <c r="AE328" s="36">
        <v>1</v>
      </c>
      <c r="AF328" t="s">
        <v>62</v>
      </c>
      <c r="AG328" s="10" t="s">
        <v>605</v>
      </c>
      <c r="AI328" s="9" t="s">
        <v>53</v>
      </c>
      <c r="AL328" t="s">
        <v>1340</v>
      </c>
      <c r="AM328" s="27" t="str">
        <f t="shared" si="132"/>
        <v>Atrasado</v>
      </c>
      <c r="AN328" s="27" t="str">
        <f t="shared" ca="1" si="115"/>
        <v>No prazo</v>
      </c>
      <c r="AO328" s="27" t="str">
        <f t="shared" ca="1" si="128"/>
        <v/>
      </c>
    </row>
    <row r="329" spans="1:42" ht="15" hidden="1" customHeight="1">
      <c r="A329">
        <v>513287</v>
      </c>
      <c r="B329" s="34">
        <v>3</v>
      </c>
      <c r="C329" t="s">
        <v>25</v>
      </c>
      <c r="D329" t="s">
        <v>842</v>
      </c>
      <c r="E329" s="23" t="s">
        <v>872</v>
      </c>
      <c r="F329" s="24">
        <v>3</v>
      </c>
      <c r="G329" s="25">
        <v>29.5</v>
      </c>
      <c r="H329" s="25">
        <f t="shared" si="89"/>
        <v>88.5</v>
      </c>
      <c r="I329" s="26">
        <v>46251</v>
      </c>
      <c r="J329" s="10">
        <v>46100</v>
      </c>
      <c r="K329" s="10">
        <v>46100</v>
      </c>
      <c r="L329" s="27" t="str">
        <f t="shared" si="114"/>
        <v>On time</v>
      </c>
      <c r="M329" s="58">
        <v>46106</v>
      </c>
      <c r="N329" s="27" t="str">
        <f t="shared" si="113"/>
        <v>On time</v>
      </c>
      <c r="O329" s="27">
        <f t="shared" si="126"/>
        <v>6</v>
      </c>
      <c r="P329" s="28" t="str">
        <f t="shared" si="129"/>
        <v>On time</v>
      </c>
      <c r="Q329" s="27">
        <f t="shared" si="127"/>
        <v>151</v>
      </c>
      <c r="R329" s="29" t="s">
        <v>860</v>
      </c>
      <c r="S329" t="s">
        <v>65</v>
      </c>
      <c r="T329" s="35">
        <v>5</v>
      </c>
      <c r="U329" t="s">
        <v>842</v>
      </c>
      <c r="V329" s="27">
        <v>100</v>
      </c>
      <c r="W329" s="9">
        <v>1.1599999999999999</v>
      </c>
      <c r="X329" s="9">
        <f t="shared" si="90"/>
        <v>115.99999999999999</v>
      </c>
      <c r="Z329" s="10">
        <v>46114</v>
      </c>
      <c r="AA329" s="10">
        <v>46134</v>
      </c>
      <c r="AB329" s="10">
        <v>46149</v>
      </c>
      <c r="AC329" s="10">
        <v>46214</v>
      </c>
      <c r="AD329" s="31">
        <f t="shared" ca="1" si="131"/>
        <v>1</v>
      </c>
      <c r="AE329" s="36">
        <v>1</v>
      </c>
      <c r="AF329" t="s">
        <v>62</v>
      </c>
      <c r="AG329" s="10" t="s">
        <v>605</v>
      </c>
      <c r="AI329" s="9" t="s">
        <v>53</v>
      </c>
      <c r="AL329" t="s">
        <v>1340</v>
      </c>
      <c r="AM329" s="27" t="str">
        <f t="shared" si="132"/>
        <v>Atrasado</v>
      </c>
      <c r="AN329" s="27" t="str">
        <f t="shared" ca="1" si="115"/>
        <v>No prazo</v>
      </c>
      <c r="AO329" s="27" t="str">
        <f t="shared" ca="1" si="128"/>
        <v/>
      </c>
    </row>
    <row r="330" spans="1:42" ht="15" hidden="1" customHeight="1">
      <c r="A330">
        <v>513882</v>
      </c>
      <c r="B330" s="34">
        <v>1</v>
      </c>
      <c r="C330" t="s">
        <v>25</v>
      </c>
      <c r="D330" t="s">
        <v>391</v>
      </c>
      <c r="E330" s="23" t="s">
        <v>456</v>
      </c>
      <c r="F330" s="24">
        <v>43</v>
      </c>
      <c r="G330" s="25">
        <v>92.96</v>
      </c>
      <c r="H330" s="25">
        <f t="shared" ref="H330:H359" si="133">G330*F330</f>
        <v>3997.2799999999997</v>
      </c>
      <c r="I330" s="26">
        <v>46258</v>
      </c>
      <c r="J330" s="10">
        <v>46107</v>
      </c>
      <c r="K330" s="10">
        <v>46107</v>
      </c>
      <c r="L330" s="27" t="str">
        <f t="shared" si="114"/>
        <v>On time</v>
      </c>
      <c r="M330" s="58">
        <v>46111</v>
      </c>
      <c r="N330" s="27" t="str">
        <f t="shared" ref="N330:N393" si="134">IF(J330=0," ",IF(M330&lt;=J330+6,"On time","Atrasado"))</f>
        <v>On time</v>
      </c>
      <c r="O330" s="27">
        <f t="shared" si="126"/>
        <v>4</v>
      </c>
      <c r="P330" s="28" t="str">
        <f t="shared" si="129"/>
        <v>On time</v>
      </c>
      <c r="Q330" s="27">
        <f t="shared" si="127"/>
        <v>151</v>
      </c>
      <c r="R330" s="29" t="s">
        <v>860</v>
      </c>
      <c r="S330" t="s">
        <v>65</v>
      </c>
      <c r="T330" s="35">
        <v>6</v>
      </c>
      <c r="U330" t="s">
        <v>391</v>
      </c>
      <c r="V330" s="27">
        <v>100</v>
      </c>
      <c r="W330" s="9">
        <v>4.45</v>
      </c>
      <c r="X330" s="9">
        <f t="shared" ref="X330:X393" si="135">W330*V330</f>
        <v>445</v>
      </c>
      <c r="Z330" s="10">
        <v>46114</v>
      </c>
      <c r="AA330" s="10">
        <v>46134</v>
      </c>
      <c r="AB330" s="10">
        <v>46149</v>
      </c>
      <c r="AC330" s="10">
        <v>46214</v>
      </c>
      <c r="AD330" s="31">
        <f t="shared" ca="1" si="131"/>
        <v>1</v>
      </c>
      <c r="AE330" s="36">
        <v>1</v>
      </c>
      <c r="AF330" t="s">
        <v>62</v>
      </c>
      <c r="AG330" s="10" t="s">
        <v>605</v>
      </c>
      <c r="AI330" s="9" t="s">
        <v>53</v>
      </c>
      <c r="AL330" t="s">
        <v>1340</v>
      </c>
      <c r="AM330" s="27" t="str">
        <f t="shared" si="132"/>
        <v>Atrasado</v>
      </c>
      <c r="AN330" s="27" t="str">
        <f t="shared" ca="1" si="115"/>
        <v>No prazo</v>
      </c>
      <c r="AO330" s="27" t="str">
        <f t="shared" ca="1" si="128"/>
        <v/>
      </c>
    </row>
    <row r="331" spans="1:42" ht="15" hidden="1" customHeight="1">
      <c r="A331">
        <v>513855</v>
      </c>
      <c r="B331" s="34">
        <v>2</v>
      </c>
      <c r="C331" t="s">
        <v>25</v>
      </c>
      <c r="D331" t="s">
        <v>843</v>
      </c>
      <c r="E331" s="23" t="s">
        <v>873</v>
      </c>
      <c r="F331" s="24">
        <v>3</v>
      </c>
      <c r="G331" s="25">
        <v>3090.64</v>
      </c>
      <c r="H331" s="25">
        <f t="shared" si="133"/>
        <v>9271.92</v>
      </c>
      <c r="I331" s="26">
        <v>46258</v>
      </c>
      <c r="J331" s="10">
        <v>46106</v>
      </c>
      <c r="K331" s="10">
        <v>46107</v>
      </c>
      <c r="L331" s="27" t="str">
        <f t="shared" ref="L331:L394" si="136">IF(J331=0," ",IF(K331&lt;=J331+6,"On time","Atrasado"))</f>
        <v>On time</v>
      </c>
      <c r="M331" s="58">
        <v>46111</v>
      </c>
      <c r="N331" s="27" t="str">
        <f t="shared" si="134"/>
        <v>On time</v>
      </c>
      <c r="O331" s="27">
        <f t="shared" si="126"/>
        <v>5</v>
      </c>
      <c r="P331" s="28" t="str">
        <f t="shared" si="129"/>
        <v>On time</v>
      </c>
      <c r="Q331" s="27">
        <f t="shared" si="127"/>
        <v>152</v>
      </c>
      <c r="R331" s="29" t="s">
        <v>860</v>
      </c>
      <c r="S331" t="s">
        <v>65</v>
      </c>
      <c r="T331" s="35">
        <v>7</v>
      </c>
      <c r="U331" t="s">
        <v>843</v>
      </c>
      <c r="V331" s="27">
        <v>3</v>
      </c>
      <c r="W331" s="9">
        <v>118.52</v>
      </c>
      <c r="X331" s="9">
        <f t="shared" si="135"/>
        <v>355.56</v>
      </c>
      <c r="Z331" s="10">
        <v>46114</v>
      </c>
      <c r="AA331" s="10">
        <v>46134</v>
      </c>
      <c r="AB331" s="10">
        <v>46149</v>
      </c>
      <c r="AC331" s="10">
        <v>46214</v>
      </c>
      <c r="AD331" s="31">
        <f t="shared" ca="1" si="131"/>
        <v>1</v>
      </c>
      <c r="AE331" s="36">
        <v>1</v>
      </c>
      <c r="AF331" t="s">
        <v>62</v>
      </c>
      <c r="AG331" s="10" t="s">
        <v>605</v>
      </c>
      <c r="AI331" s="9" t="s">
        <v>53</v>
      </c>
      <c r="AL331" t="s">
        <v>1340</v>
      </c>
      <c r="AM331" s="27" t="str">
        <f t="shared" si="132"/>
        <v>Atrasado</v>
      </c>
      <c r="AN331" s="27" t="str">
        <f t="shared" ca="1" si="115"/>
        <v>No prazo</v>
      </c>
      <c r="AO331" s="27" t="str">
        <f t="shared" ca="1" si="128"/>
        <v/>
      </c>
    </row>
    <row r="332" spans="1:42" ht="15" hidden="1" customHeight="1">
      <c r="A332">
        <v>513800</v>
      </c>
      <c r="B332" s="34" t="s">
        <v>145</v>
      </c>
      <c r="C332" t="s">
        <v>25</v>
      </c>
      <c r="D332" t="s">
        <v>417</v>
      </c>
      <c r="E332" s="23" t="s">
        <v>502</v>
      </c>
      <c r="F332" s="24">
        <v>5</v>
      </c>
      <c r="G332" s="25">
        <v>162.82</v>
      </c>
      <c r="H332" s="25">
        <f t="shared" si="133"/>
        <v>814.09999999999991</v>
      </c>
      <c r="I332" s="26">
        <v>46258</v>
      </c>
      <c r="J332" s="10">
        <v>46106</v>
      </c>
      <c r="K332" s="10">
        <v>46107</v>
      </c>
      <c r="L332" s="27" t="str">
        <f t="shared" si="136"/>
        <v>On time</v>
      </c>
      <c r="M332" s="58">
        <v>46111</v>
      </c>
      <c r="N332" s="27" t="str">
        <f t="shared" si="134"/>
        <v>On time</v>
      </c>
      <c r="O332" s="27">
        <f t="shared" si="126"/>
        <v>5</v>
      </c>
      <c r="P332" s="28" t="str">
        <f t="shared" si="129"/>
        <v>On time</v>
      </c>
      <c r="Q332" s="27">
        <f t="shared" si="127"/>
        <v>152</v>
      </c>
      <c r="R332" s="29" t="s">
        <v>860</v>
      </c>
      <c r="S332" t="s">
        <v>65</v>
      </c>
      <c r="T332" s="35">
        <v>8</v>
      </c>
      <c r="U332" t="s">
        <v>417</v>
      </c>
      <c r="V332" s="27">
        <v>5</v>
      </c>
      <c r="W332" s="9">
        <v>8.66</v>
      </c>
      <c r="X332" s="9">
        <f t="shared" si="135"/>
        <v>43.3</v>
      </c>
      <c r="Z332" s="10">
        <v>46114</v>
      </c>
      <c r="AA332" s="10">
        <v>46134</v>
      </c>
      <c r="AB332" s="10">
        <v>46149</v>
      </c>
      <c r="AC332" s="10">
        <v>46214</v>
      </c>
      <c r="AD332" s="31">
        <f t="shared" ca="1" si="131"/>
        <v>1</v>
      </c>
      <c r="AE332" s="36">
        <v>1</v>
      </c>
      <c r="AF332" t="s">
        <v>62</v>
      </c>
      <c r="AG332" s="10" t="s">
        <v>605</v>
      </c>
      <c r="AI332" s="9" t="s">
        <v>53</v>
      </c>
      <c r="AL332" t="s">
        <v>1340</v>
      </c>
      <c r="AM332" s="27" t="str">
        <f t="shared" si="132"/>
        <v>Atrasado</v>
      </c>
      <c r="AN332" s="27" t="str">
        <f t="shared" ca="1" si="115"/>
        <v>No prazo</v>
      </c>
      <c r="AO332" s="27" t="str">
        <f t="shared" ca="1" si="128"/>
        <v/>
      </c>
    </row>
    <row r="333" spans="1:42" ht="15" hidden="1" customHeight="1">
      <c r="A333">
        <v>513874</v>
      </c>
      <c r="B333" s="34">
        <v>1</v>
      </c>
      <c r="C333" t="s">
        <v>25</v>
      </c>
      <c r="D333" t="s">
        <v>844</v>
      </c>
      <c r="E333" s="23" t="s">
        <v>502</v>
      </c>
      <c r="F333" s="24">
        <v>32</v>
      </c>
      <c r="G333" s="25">
        <v>57.89</v>
      </c>
      <c r="H333" s="25">
        <f t="shared" si="133"/>
        <v>1852.48</v>
      </c>
      <c r="I333" s="26">
        <v>46258</v>
      </c>
      <c r="J333" s="10">
        <v>46106</v>
      </c>
      <c r="K333" s="10">
        <v>46107</v>
      </c>
      <c r="L333" s="27" t="str">
        <f t="shared" si="136"/>
        <v>On time</v>
      </c>
      <c r="M333" s="58">
        <v>46111</v>
      </c>
      <c r="N333" s="27" t="str">
        <f t="shared" si="134"/>
        <v>On time</v>
      </c>
      <c r="O333" s="27">
        <f t="shared" si="126"/>
        <v>5</v>
      </c>
      <c r="P333" s="28" t="str">
        <f t="shared" si="129"/>
        <v>On time</v>
      </c>
      <c r="Q333" s="27">
        <f t="shared" si="127"/>
        <v>152</v>
      </c>
      <c r="R333" s="29" t="s">
        <v>860</v>
      </c>
      <c r="S333" t="s">
        <v>65</v>
      </c>
      <c r="T333" s="35">
        <v>9</v>
      </c>
      <c r="U333" t="s">
        <v>844</v>
      </c>
      <c r="V333" s="27">
        <v>32</v>
      </c>
      <c r="W333" s="9">
        <v>2.14</v>
      </c>
      <c r="X333" s="9">
        <f t="shared" si="135"/>
        <v>68.48</v>
      </c>
      <c r="Z333" s="10">
        <v>46114</v>
      </c>
      <c r="AA333" s="10">
        <v>46134</v>
      </c>
      <c r="AB333" s="10">
        <v>46149</v>
      </c>
      <c r="AC333" s="10">
        <v>46214</v>
      </c>
      <c r="AD333" s="31">
        <f t="shared" ca="1" si="131"/>
        <v>1</v>
      </c>
      <c r="AE333" s="36">
        <v>1</v>
      </c>
      <c r="AF333" t="s">
        <v>62</v>
      </c>
      <c r="AG333" s="10" t="s">
        <v>605</v>
      </c>
      <c r="AI333" s="9" t="s">
        <v>53</v>
      </c>
      <c r="AL333" t="s">
        <v>2033</v>
      </c>
      <c r="AM333" s="27" t="str">
        <f t="shared" si="132"/>
        <v>Atrasado</v>
      </c>
      <c r="AN333" s="27" t="str">
        <f t="shared" ca="1" si="115"/>
        <v>No prazo</v>
      </c>
      <c r="AO333" s="27" t="str">
        <f t="shared" ca="1" si="128"/>
        <v/>
      </c>
    </row>
    <row r="334" spans="1:42" ht="15" hidden="1" customHeight="1">
      <c r="A334">
        <v>513880</v>
      </c>
      <c r="B334" s="34">
        <v>2</v>
      </c>
      <c r="C334" t="s">
        <v>25</v>
      </c>
      <c r="D334" t="s">
        <v>845</v>
      </c>
      <c r="E334" s="23" t="s">
        <v>874</v>
      </c>
      <c r="F334" s="24">
        <v>1</v>
      </c>
      <c r="G334" s="25">
        <v>402.42</v>
      </c>
      <c r="H334" s="25">
        <f t="shared" si="133"/>
        <v>402.42</v>
      </c>
      <c r="I334" s="26">
        <v>46258</v>
      </c>
      <c r="J334" s="10">
        <v>46106</v>
      </c>
      <c r="K334" s="10">
        <v>46107</v>
      </c>
      <c r="L334" s="27" t="str">
        <f t="shared" si="136"/>
        <v>On time</v>
      </c>
      <c r="M334" s="58">
        <v>46111</v>
      </c>
      <c r="N334" s="27" t="str">
        <f t="shared" si="134"/>
        <v>On time</v>
      </c>
      <c r="O334" s="27">
        <f t="shared" si="126"/>
        <v>5</v>
      </c>
      <c r="P334" s="28" t="str">
        <f t="shared" si="129"/>
        <v>On time</v>
      </c>
      <c r="Q334" s="27">
        <f t="shared" si="127"/>
        <v>152</v>
      </c>
      <c r="R334" s="29" t="s">
        <v>860</v>
      </c>
      <c r="S334" t="s">
        <v>65</v>
      </c>
      <c r="T334" s="35">
        <v>10</v>
      </c>
      <c r="U334" t="s">
        <v>845</v>
      </c>
      <c r="V334" s="27">
        <v>1</v>
      </c>
      <c r="W334" s="9">
        <v>19.29</v>
      </c>
      <c r="X334" s="9">
        <f t="shared" si="135"/>
        <v>19.29</v>
      </c>
      <c r="Z334" s="10">
        <v>46114</v>
      </c>
      <c r="AA334" s="10">
        <v>46134</v>
      </c>
      <c r="AB334" s="10">
        <v>46149</v>
      </c>
      <c r="AC334" s="10">
        <v>46214</v>
      </c>
      <c r="AD334" s="31">
        <f t="shared" ca="1" si="131"/>
        <v>1</v>
      </c>
      <c r="AE334" s="36">
        <v>1</v>
      </c>
      <c r="AF334" t="s">
        <v>62</v>
      </c>
      <c r="AG334" s="10" t="s">
        <v>605</v>
      </c>
      <c r="AI334" s="9" t="s">
        <v>53</v>
      </c>
      <c r="AL334" t="s">
        <v>2033</v>
      </c>
      <c r="AM334" s="27" t="str">
        <f t="shared" si="132"/>
        <v>Atrasado</v>
      </c>
      <c r="AN334" s="27" t="str">
        <f t="shared" ca="1" si="115"/>
        <v>No prazo</v>
      </c>
      <c r="AO334" s="27" t="str">
        <f t="shared" ca="1" si="128"/>
        <v/>
      </c>
    </row>
    <row r="335" spans="1:42" ht="15" hidden="1" customHeight="1">
      <c r="A335">
        <v>513880</v>
      </c>
      <c r="B335" s="34">
        <v>3</v>
      </c>
      <c r="C335" t="s">
        <v>25</v>
      </c>
      <c r="D335" t="s">
        <v>846</v>
      </c>
      <c r="E335" s="23" t="s">
        <v>875</v>
      </c>
      <c r="F335" s="24">
        <v>1</v>
      </c>
      <c r="G335" s="25">
        <v>402.42</v>
      </c>
      <c r="H335" s="25">
        <f t="shared" si="133"/>
        <v>402.42</v>
      </c>
      <c r="I335" s="26">
        <v>46258</v>
      </c>
      <c r="J335" s="10">
        <v>46106</v>
      </c>
      <c r="K335" s="10">
        <v>46107</v>
      </c>
      <c r="L335" s="27" t="str">
        <f t="shared" si="136"/>
        <v>On time</v>
      </c>
      <c r="M335" s="58">
        <v>46111</v>
      </c>
      <c r="N335" s="27" t="str">
        <f t="shared" si="134"/>
        <v>On time</v>
      </c>
      <c r="O335" s="27">
        <f t="shared" si="126"/>
        <v>5</v>
      </c>
      <c r="P335" s="28" t="str">
        <f t="shared" si="129"/>
        <v>On time</v>
      </c>
      <c r="Q335" s="27">
        <f t="shared" si="127"/>
        <v>152</v>
      </c>
      <c r="R335" s="29" t="s">
        <v>860</v>
      </c>
      <c r="S335" t="s">
        <v>65</v>
      </c>
      <c r="T335" s="35">
        <v>11</v>
      </c>
      <c r="U335" t="s">
        <v>846</v>
      </c>
      <c r="V335" s="27">
        <v>1</v>
      </c>
      <c r="W335" s="9">
        <v>19.29</v>
      </c>
      <c r="X335" s="9">
        <f t="shared" si="135"/>
        <v>19.29</v>
      </c>
      <c r="Z335" s="10">
        <v>46114</v>
      </c>
      <c r="AA335" s="10">
        <v>46134</v>
      </c>
      <c r="AB335" s="10">
        <v>46149</v>
      </c>
      <c r="AC335" s="10">
        <v>46214</v>
      </c>
      <c r="AD335" s="31">
        <f t="shared" ca="1" si="131"/>
        <v>1</v>
      </c>
      <c r="AE335" s="36">
        <v>1</v>
      </c>
      <c r="AF335" t="s">
        <v>62</v>
      </c>
      <c r="AG335" s="10" t="s">
        <v>605</v>
      </c>
      <c r="AI335" s="9" t="s">
        <v>53</v>
      </c>
      <c r="AL335" t="s">
        <v>2033</v>
      </c>
      <c r="AM335" s="27" t="str">
        <f t="shared" si="132"/>
        <v>Atrasado</v>
      </c>
      <c r="AN335" s="27" t="str">
        <f t="shared" ref="AN335:AN398" ca="1" si="137">IF(AND(AC335&lt;&gt;"",AC335&lt;=TODAY()),"Chegou",IF(A335="","Estoque",IF(OR(AC335="",I335=""),"",IF(I335-AC335&lt;=0,"Atrasado",IF(I335-AC335&lt;=9,"Crítico",IF(I335-AC335&lt;=20,"Verificar aéreo",IF(I335-AC335&lt;=25,"Alerta","No prazo")        ))))))</f>
        <v>No prazo</v>
      </c>
      <c r="AO335" s="27" t="str">
        <f t="shared" ca="1" si="128"/>
        <v/>
      </c>
    </row>
    <row r="336" spans="1:42" ht="15" hidden="1" customHeight="1">
      <c r="A336">
        <v>513842</v>
      </c>
      <c r="B336" s="34">
        <v>1</v>
      </c>
      <c r="C336" t="s">
        <v>25</v>
      </c>
      <c r="D336" t="s">
        <v>847</v>
      </c>
      <c r="E336" s="23" t="s">
        <v>876</v>
      </c>
      <c r="F336" s="24">
        <v>2</v>
      </c>
      <c r="G336" s="25">
        <v>580.6</v>
      </c>
      <c r="H336" s="25">
        <f t="shared" si="133"/>
        <v>1161.2</v>
      </c>
      <c r="I336" s="26">
        <v>46258</v>
      </c>
      <c r="J336" s="10">
        <v>46106</v>
      </c>
      <c r="K336" s="10">
        <v>46107</v>
      </c>
      <c r="L336" s="27" t="str">
        <f t="shared" si="136"/>
        <v>On time</v>
      </c>
      <c r="M336" s="58">
        <v>46111</v>
      </c>
      <c r="N336" s="27" t="str">
        <f t="shared" si="134"/>
        <v>On time</v>
      </c>
      <c r="O336" s="27">
        <f t="shared" si="126"/>
        <v>5</v>
      </c>
      <c r="P336" s="28" t="str">
        <f t="shared" si="129"/>
        <v>On time</v>
      </c>
      <c r="Q336" s="27">
        <f t="shared" si="127"/>
        <v>152</v>
      </c>
      <c r="R336" s="29" t="s">
        <v>860</v>
      </c>
      <c r="S336" t="s">
        <v>65</v>
      </c>
      <c r="T336" s="35">
        <v>12</v>
      </c>
      <c r="U336" t="s">
        <v>847</v>
      </c>
      <c r="V336" s="27">
        <v>2</v>
      </c>
      <c r="W336" s="9">
        <v>27.26</v>
      </c>
      <c r="X336" s="9">
        <f t="shared" si="135"/>
        <v>54.52</v>
      </c>
      <c r="Z336" s="10">
        <v>46114</v>
      </c>
      <c r="AA336" s="10">
        <v>46134</v>
      </c>
      <c r="AB336" s="10">
        <v>46149</v>
      </c>
      <c r="AC336" s="10">
        <v>46214</v>
      </c>
      <c r="AD336" s="31">
        <f t="shared" ca="1" si="131"/>
        <v>1</v>
      </c>
      <c r="AE336" s="36">
        <v>1</v>
      </c>
      <c r="AF336" t="s">
        <v>62</v>
      </c>
      <c r="AG336" s="10" t="s">
        <v>605</v>
      </c>
      <c r="AI336" s="9" t="s">
        <v>53</v>
      </c>
      <c r="AL336" t="s">
        <v>2033</v>
      </c>
      <c r="AM336" s="27" t="str">
        <f t="shared" si="132"/>
        <v>Atrasado</v>
      </c>
      <c r="AN336" s="27" t="str">
        <f t="shared" ca="1" si="137"/>
        <v>No prazo</v>
      </c>
      <c r="AO336" s="27" t="str">
        <f t="shared" ca="1" si="128"/>
        <v/>
      </c>
    </row>
    <row r="337" spans="1:41" ht="15" hidden="1" customHeight="1">
      <c r="A337">
        <v>513890</v>
      </c>
      <c r="B337" s="34">
        <v>1</v>
      </c>
      <c r="C337" t="s">
        <v>25</v>
      </c>
      <c r="D337" t="s">
        <v>848</v>
      </c>
      <c r="E337" s="23" t="s">
        <v>675</v>
      </c>
      <c r="F337" s="24">
        <v>32</v>
      </c>
      <c r="G337" s="25">
        <v>165.1</v>
      </c>
      <c r="H337" s="25">
        <f t="shared" si="133"/>
        <v>5283.2</v>
      </c>
      <c r="I337" s="26">
        <v>46258</v>
      </c>
      <c r="J337" s="10">
        <v>46106</v>
      </c>
      <c r="K337" s="10">
        <v>46107</v>
      </c>
      <c r="L337" s="27" t="str">
        <f t="shared" si="136"/>
        <v>On time</v>
      </c>
      <c r="M337" s="58">
        <v>46111</v>
      </c>
      <c r="N337" s="27" t="str">
        <f t="shared" si="134"/>
        <v>On time</v>
      </c>
      <c r="O337" s="27">
        <f t="shared" si="126"/>
        <v>5</v>
      </c>
      <c r="P337" s="28" t="str">
        <f t="shared" si="129"/>
        <v>On time</v>
      </c>
      <c r="Q337" s="27">
        <f t="shared" si="127"/>
        <v>152</v>
      </c>
      <c r="R337" s="29" t="s">
        <v>860</v>
      </c>
      <c r="S337" t="s">
        <v>65</v>
      </c>
      <c r="T337" s="35">
        <v>13</v>
      </c>
      <c r="U337" t="s">
        <v>848</v>
      </c>
      <c r="V337" s="27">
        <v>32</v>
      </c>
      <c r="W337" s="9">
        <v>4.46</v>
      </c>
      <c r="X337" s="9">
        <f t="shared" si="135"/>
        <v>142.72</v>
      </c>
      <c r="Z337" s="10">
        <v>46114</v>
      </c>
      <c r="AA337" s="10">
        <v>46134</v>
      </c>
      <c r="AB337" s="10">
        <v>46149</v>
      </c>
      <c r="AC337" s="10">
        <v>46214</v>
      </c>
      <c r="AD337" s="31">
        <f t="shared" ca="1" si="131"/>
        <v>1</v>
      </c>
      <c r="AE337" s="36">
        <v>1</v>
      </c>
      <c r="AF337" t="s">
        <v>62</v>
      </c>
      <c r="AG337" s="10" t="s">
        <v>605</v>
      </c>
      <c r="AI337" s="9" t="s">
        <v>53</v>
      </c>
      <c r="AL337" t="s">
        <v>2033</v>
      </c>
      <c r="AM337" s="27" t="str">
        <f t="shared" si="132"/>
        <v>Atrasado</v>
      </c>
      <c r="AN337" s="27" t="str">
        <f t="shared" ca="1" si="137"/>
        <v>No prazo</v>
      </c>
      <c r="AO337" s="27" t="str">
        <f t="shared" ca="1" si="128"/>
        <v/>
      </c>
    </row>
    <row r="338" spans="1:41" ht="15" hidden="1" customHeight="1">
      <c r="A338">
        <v>513890</v>
      </c>
      <c r="B338" s="34">
        <v>2</v>
      </c>
      <c r="C338" t="s">
        <v>25</v>
      </c>
      <c r="D338" t="s">
        <v>849</v>
      </c>
      <c r="E338" s="23" t="s">
        <v>877</v>
      </c>
      <c r="F338" s="24">
        <v>50</v>
      </c>
      <c r="G338" s="25">
        <v>102.62</v>
      </c>
      <c r="H338" s="25">
        <f t="shared" si="133"/>
        <v>5131</v>
      </c>
      <c r="I338" s="26">
        <v>46258</v>
      </c>
      <c r="J338" s="10">
        <v>46106</v>
      </c>
      <c r="K338" s="10">
        <v>46107</v>
      </c>
      <c r="L338" s="27" t="str">
        <f t="shared" si="136"/>
        <v>On time</v>
      </c>
      <c r="M338" s="58">
        <v>46111</v>
      </c>
      <c r="N338" s="27" t="str">
        <f t="shared" si="134"/>
        <v>On time</v>
      </c>
      <c r="O338" s="27">
        <f t="shared" si="126"/>
        <v>5</v>
      </c>
      <c r="P338" s="28" t="str">
        <f t="shared" si="129"/>
        <v>On time</v>
      </c>
      <c r="Q338" s="27">
        <f t="shared" si="127"/>
        <v>152</v>
      </c>
      <c r="R338" s="29" t="s">
        <v>860</v>
      </c>
      <c r="S338" t="s">
        <v>65</v>
      </c>
      <c r="T338" s="35">
        <v>14</v>
      </c>
      <c r="U338" t="s">
        <v>849</v>
      </c>
      <c r="V338" s="27">
        <v>100</v>
      </c>
      <c r="W338" s="9">
        <v>4.05</v>
      </c>
      <c r="X338" s="9">
        <f t="shared" si="135"/>
        <v>405</v>
      </c>
      <c r="Z338" s="10">
        <v>46114</v>
      </c>
      <c r="AA338" s="10">
        <v>46134</v>
      </c>
      <c r="AB338" s="10">
        <v>46149</v>
      </c>
      <c r="AC338" s="10">
        <v>46214</v>
      </c>
      <c r="AD338" s="31">
        <f t="shared" ca="1" si="131"/>
        <v>1</v>
      </c>
      <c r="AE338" s="36">
        <v>1</v>
      </c>
      <c r="AF338" t="s">
        <v>62</v>
      </c>
      <c r="AG338" s="10" t="s">
        <v>605</v>
      </c>
      <c r="AI338" s="9" t="s">
        <v>53</v>
      </c>
      <c r="AL338" t="s">
        <v>2033</v>
      </c>
      <c r="AM338" s="27" t="str">
        <f t="shared" si="132"/>
        <v>Atrasado</v>
      </c>
      <c r="AN338" s="27" t="str">
        <f t="shared" ca="1" si="137"/>
        <v>No prazo</v>
      </c>
      <c r="AO338" s="27" t="str">
        <f t="shared" ca="1" si="128"/>
        <v/>
      </c>
    </row>
    <row r="339" spans="1:41" ht="15" hidden="1" customHeight="1">
      <c r="A339">
        <v>514055</v>
      </c>
      <c r="B339" s="34">
        <v>1</v>
      </c>
      <c r="C339" t="s">
        <v>25</v>
      </c>
      <c r="D339" t="s">
        <v>850</v>
      </c>
      <c r="E339" s="23" t="s">
        <v>878</v>
      </c>
      <c r="F339" s="24">
        <v>91</v>
      </c>
      <c r="G339" s="25">
        <v>316.45</v>
      </c>
      <c r="H339" s="25">
        <f t="shared" si="133"/>
        <v>28796.95</v>
      </c>
      <c r="I339" s="26">
        <v>46262</v>
      </c>
      <c r="J339" s="10">
        <v>46110</v>
      </c>
      <c r="K339" s="10">
        <v>46111</v>
      </c>
      <c r="L339" s="27" t="str">
        <f t="shared" si="136"/>
        <v>On time</v>
      </c>
      <c r="M339" s="58">
        <v>46112</v>
      </c>
      <c r="N339" s="27" t="str">
        <f t="shared" si="134"/>
        <v>On time</v>
      </c>
      <c r="O339" s="27">
        <f t="shared" si="126"/>
        <v>2</v>
      </c>
      <c r="P339" s="28" t="str">
        <f t="shared" si="129"/>
        <v>On time</v>
      </c>
      <c r="Q339" s="27">
        <f t="shared" si="127"/>
        <v>152</v>
      </c>
      <c r="R339" s="29" t="s">
        <v>860</v>
      </c>
      <c r="S339" t="s">
        <v>65</v>
      </c>
      <c r="T339" s="35">
        <v>15</v>
      </c>
      <c r="U339" t="s">
        <v>850</v>
      </c>
      <c r="V339" s="27">
        <v>91</v>
      </c>
      <c r="W339" s="9">
        <v>9.08</v>
      </c>
      <c r="X339" s="9">
        <f t="shared" si="135"/>
        <v>826.28</v>
      </c>
      <c r="Z339" s="10">
        <v>46114</v>
      </c>
      <c r="AA339" s="10">
        <v>46134</v>
      </c>
      <c r="AB339" s="10">
        <v>46149</v>
      </c>
      <c r="AC339" s="10">
        <v>46214</v>
      </c>
      <c r="AD339" s="31">
        <f t="shared" ca="1" si="131"/>
        <v>1</v>
      </c>
      <c r="AE339" s="36">
        <v>1</v>
      </c>
      <c r="AF339" t="s">
        <v>62</v>
      </c>
      <c r="AG339" s="10" t="s">
        <v>605</v>
      </c>
      <c r="AI339" s="9" t="s">
        <v>53</v>
      </c>
      <c r="AL339" t="s">
        <v>2033</v>
      </c>
      <c r="AM339" s="27" t="str">
        <f t="shared" si="132"/>
        <v>Atrasado</v>
      </c>
      <c r="AN339" s="27" t="str">
        <f t="shared" ca="1" si="137"/>
        <v>No prazo</v>
      </c>
      <c r="AO339" s="27" t="str">
        <f t="shared" ca="1" si="128"/>
        <v/>
      </c>
    </row>
    <row r="340" spans="1:41" ht="15" hidden="1" customHeight="1">
      <c r="A340">
        <v>514055</v>
      </c>
      <c r="B340" s="34">
        <v>2</v>
      </c>
      <c r="C340" t="s">
        <v>25</v>
      </c>
      <c r="D340" t="s">
        <v>851</v>
      </c>
      <c r="E340" s="23" t="s">
        <v>879</v>
      </c>
      <c r="F340" s="24">
        <v>1</v>
      </c>
      <c r="G340" s="25">
        <v>60.31</v>
      </c>
      <c r="H340" s="25">
        <f t="shared" si="133"/>
        <v>60.31</v>
      </c>
      <c r="I340" s="26">
        <v>46262</v>
      </c>
      <c r="J340" s="10">
        <v>46110</v>
      </c>
      <c r="K340" s="10">
        <v>46111</v>
      </c>
      <c r="L340" s="27" t="str">
        <f t="shared" si="136"/>
        <v>On time</v>
      </c>
      <c r="M340" s="58">
        <v>46112</v>
      </c>
      <c r="N340" s="27" t="str">
        <f t="shared" si="134"/>
        <v>On time</v>
      </c>
      <c r="O340" s="27">
        <f t="shared" si="126"/>
        <v>2</v>
      </c>
      <c r="P340" s="28" t="str">
        <f t="shared" si="129"/>
        <v>On time</v>
      </c>
      <c r="Q340" s="27">
        <f t="shared" si="127"/>
        <v>152</v>
      </c>
      <c r="R340" s="29" t="s">
        <v>860</v>
      </c>
      <c r="S340" t="s">
        <v>65</v>
      </c>
      <c r="T340" s="35">
        <v>16</v>
      </c>
      <c r="U340" t="s">
        <v>851</v>
      </c>
      <c r="V340" s="27">
        <v>15</v>
      </c>
      <c r="W340" s="9">
        <v>1.99</v>
      </c>
      <c r="X340" s="9">
        <f t="shared" si="135"/>
        <v>29.85</v>
      </c>
      <c r="Z340" s="10">
        <v>46114</v>
      </c>
      <c r="AA340" s="10">
        <v>46134</v>
      </c>
      <c r="AB340" s="10">
        <v>46149</v>
      </c>
      <c r="AC340" s="10">
        <v>46214</v>
      </c>
      <c r="AD340" s="31">
        <f t="shared" ca="1" si="131"/>
        <v>1</v>
      </c>
      <c r="AE340" s="36">
        <v>1</v>
      </c>
      <c r="AF340" t="s">
        <v>62</v>
      </c>
      <c r="AG340" s="10" t="s">
        <v>605</v>
      </c>
      <c r="AI340" s="9" t="s">
        <v>53</v>
      </c>
      <c r="AL340" t="s">
        <v>2033</v>
      </c>
      <c r="AM340" s="27" t="str">
        <f t="shared" si="132"/>
        <v>Atrasado</v>
      </c>
      <c r="AN340" s="27" t="str">
        <f t="shared" ca="1" si="137"/>
        <v>No prazo</v>
      </c>
      <c r="AO340" s="27" t="str">
        <f t="shared" ca="1" si="128"/>
        <v/>
      </c>
    </row>
    <row r="341" spans="1:41" ht="15" hidden="1" customHeight="1">
      <c r="A341">
        <v>513949</v>
      </c>
      <c r="B341" s="34">
        <v>1</v>
      </c>
      <c r="C341" t="s">
        <v>25</v>
      </c>
      <c r="D341" t="s">
        <v>852</v>
      </c>
      <c r="E341" s="23" t="s">
        <v>880</v>
      </c>
      <c r="F341" s="24">
        <v>3</v>
      </c>
      <c r="G341" s="25">
        <v>13.61</v>
      </c>
      <c r="H341" s="25">
        <f t="shared" si="133"/>
        <v>40.83</v>
      </c>
      <c r="I341" s="26">
        <v>46258</v>
      </c>
      <c r="J341" s="10">
        <v>46106</v>
      </c>
      <c r="K341" s="10">
        <v>46108</v>
      </c>
      <c r="L341" s="27" t="str">
        <f t="shared" si="136"/>
        <v>On time</v>
      </c>
      <c r="M341" s="58">
        <v>46112</v>
      </c>
      <c r="N341" s="27" t="str">
        <f t="shared" si="134"/>
        <v>On time</v>
      </c>
      <c r="O341" s="27">
        <f t="shared" si="126"/>
        <v>6</v>
      </c>
      <c r="P341" s="28" t="str">
        <f t="shared" si="129"/>
        <v>On time</v>
      </c>
      <c r="Q341" s="27">
        <f t="shared" si="127"/>
        <v>152</v>
      </c>
      <c r="R341" s="29" t="s">
        <v>860</v>
      </c>
      <c r="S341" t="s">
        <v>65</v>
      </c>
      <c r="T341" s="35">
        <v>17</v>
      </c>
      <c r="U341" t="s">
        <v>852</v>
      </c>
      <c r="V341" s="27">
        <v>10</v>
      </c>
      <c r="W341" s="9">
        <v>0.45</v>
      </c>
      <c r="X341" s="9">
        <f t="shared" si="135"/>
        <v>4.5</v>
      </c>
      <c r="Z341" s="10">
        <v>46114</v>
      </c>
      <c r="AA341" s="10">
        <v>46134</v>
      </c>
      <c r="AB341" s="10">
        <v>46149</v>
      </c>
      <c r="AC341" s="10">
        <v>46214</v>
      </c>
      <c r="AD341" s="31">
        <f t="shared" ca="1" si="131"/>
        <v>1</v>
      </c>
      <c r="AE341" s="36">
        <v>1</v>
      </c>
      <c r="AF341" t="s">
        <v>62</v>
      </c>
      <c r="AG341" s="10" t="s">
        <v>605</v>
      </c>
      <c r="AI341" s="9" t="s">
        <v>53</v>
      </c>
      <c r="AL341" t="s">
        <v>2033</v>
      </c>
      <c r="AM341" s="27" t="str">
        <f t="shared" si="132"/>
        <v>Atrasado</v>
      </c>
      <c r="AN341" s="27" t="str">
        <f t="shared" ca="1" si="137"/>
        <v>No prazo</v>
      </c>
      <c r="AO341" s="27" t="str">
        <f t="shared" ca="1" si="128"/>
        <v/>
      </c>
    </row>
    <row r="342" spans="1:41" ht="15" hidden="1" customHeight="1">
      <c r="A342">
        <v>513951</v>
      </c>
      <c r="B342" s="34">
        <v>6</v>
      </c>
      <c r="C342" t="s">
        <v>25</v>
      </c>
      <c r="D342" t="s">
        <v>853</v>
      </c>
      <c r="E342" s="23" t="s">
        <v>881</v>
      </c>
      <c r="F342" s="24">
        <v>6</v>
      </c>
      <c r="G342" s="25">
        <v>37.61</v>
      </c>
      <c r="H342" s="25">
        <f t="shared" si="133"/>
        <v>225.66</v>
      </c>
      <c r="I342" s="26">
        <v>46258</v>
      </c>
      <c r="J342" s="10">
        <v>46108</v>
      </c>
      <c r="K342" s="10">
        <v>46108</v>
      </c>
      <c r="L342" s="27" t="str">
        <f t="shared" si="136"/>
        <v>On time</v>
      </c>
      <c r="M342" s="58">
        <v>46112</v>
      </c>
      <c r="N342" s="27" t="str">
        <f t="shared" si="134"/>
        <v>On time</v>
      </c>
      <c r="O342" s="27">
        <f t="shared" si="126"/>
        <v>4</v>
      </c>
      <c r="P342" s="28" t="str">
        <f t="shared" si="129"/>
        <v>On time</v>
      </c>
      <c r="Q342" s="27">
        <f t="shared" si="127"/>
        <v>150</v>
      </c>
      <c r="R342" s="29" t="s">
        <v>860</v>
      </c>
      <c r="S342" t="s">
        <v>65</v>
      </c>
      <c r="T342" s="71">
        <v>18</v>
      </c>
      <c r="U342" t="s">
        <v>853</v>
      </c>
      <c r="V342" s="79">
        <v>50</v>
      </c>
      <c r="W342" s="70">
        <v>2.1</v>
      </c>
      <c r="X342" s="80">
        <f t="shared" si="135"/>
        <v>105</v>
      </c>
      <c r="Z342" s="10">
        <v>46114</v>
      </c>
      <c r="AA342" s="10">
        <v>46134</v>
      </c>
      <c r="AB342" s="10">
        <v>46149</v>
      </c>
      <c r="AC342" s="10">
        <v>46214</v>
      </c>
      <c r="AD342" s="31">
        <f t="shared" ca="1" si="131"/>
        <v>1</v>
      </c>
      <c r="AE342" s="36">
        <v>1</v>
      </c>
      <c r="AF342" t="s">
        <v>62</v>
      </c>
      <c r="AG342" s="10" t="s">
        <v>605</v>
      </c>
      <c r="AI342" s="9" t="s">
        <v>53</v>
      </c>
      <c r="AL342" t="s">
        <v>2033</v>
      </c>
      <c r="AM342" s="27" t="str">
        <f t="shared" si="132"/>
        <v>Atrasado</v>
      </c>
      <c r="AN342" s="27" t="str">
        <f t="shared" ca="1" si="137"/>
        <v>No prazo</v>
      </c>
      <c r="AO342" s="27" t="str">
        <f t="shared" ca="1" si="128"/>
        <v/>
      </c>
    </row>
    <row r="343" spans="1:41" ht="15" hidden="1" customHeight="1">
      <c r="A343">
        <v>514318</v>
      </c>
      <c r="B343" s="34">
        <v>3</v>
      </c>
      <c r="C343" t="s">
        <v>25</v>
      </c>
      <c r="D343" t="s">
        <v>853</v>
      </c>
      <c r="E343" s="23" t="s">
        <v>881</v>
      </c>
      <c r="F343" s="24">
        <v>7</v>
      </c>
      <c r="G343" s="25">
        <v>38.92</v>
      </c>
      <c r="H343" s="25">
        <f t="shared" si="133"/>
        <v>272.44</v>
      </c>
      <c r="I343" s="26">
        <v>46265</v>
      </c>
      <c r="J343" s="10">
        <v>46112</v>
      </c>
      <c r="K343" s="10">
        <v>46113</v>
      </c>
      <c r="L343" s="27" t="str">
        <f t="shared" si="136"/>
        <v>On time</v>
      </c>
      <c r="M343" s="58">
        <v>46118</v>
      </c>
      <c r="N343" s="27" t="str">
        <f t="shared" si="134"/>
        <v>On time</v>
      </c>
      <c r="O343" s="27">
        <f t="shared" si="126"/>
        <v>6</v>
      </c>
      <c r="P343" s="28" t="str">
        <f t="shared" si="129"/>
        <v>On time</v>
      </c>
      <c r="Q343" s="27">
        <f t="shared" si="127"/>
        <v>153</v>
      </c>
      <c r="R343" s="29" t="s">
        <v>860</v>
      </c>
      <c r="S343" t="s">
        <v>65</v>
      </c>
      <c r="T343" s="71">
        <v>18</v>
      </c>
      <c r="U343" t="s">
        <v>853</v>
      </c>
      <c r="V343" s="79"/>
      <c r="W343" s="70">
        <v>2.1</v>
      </c>
      <c r="X343" s="80"/>
      <c r="Z343" s="10">
        <v>46114</v>
      </c>
      <c r="AA343" s="10">
        <v>46134</v>
      </c>
      <c r="AB343" s="10">
        <v>46149</v>
      </c>
      <c r="AC343" s="10">
        <v>46214</v>
      </c>
      <c r="AD343" s="31">
        <f t="shared" ref="AD343" ca="1" si="138">TODAY()-AA343</f>
        <v>1</v>
      </c>
      <c r="AE343" s="36">
        <v>1</v>
      </c>
      <c r="AF343" t="s">
        <v>62</v>
      </c>
      <c r="AG343" s="10" t="s">
        <v>605</v>
      </c>
      <c r="AI343" s="9" t="s">
        <v>53</v>
      </c>
      <c r="AL343" t="s">
        <v>2033</v>
      </c>
      <c r="AM343" s="27" t="str">
        <f t="shared" ref="AM343" si="139">IF(AB343=0," ",IF(AB343&lt;=AA343+10,"On time","Atrasado"))</f>
        <v>Atrasado</v>
      </c>
      <c r="AN343" s="27" t="str">
        <f t="shared" ca="1" si="137"/>
        <v>No prazo</v>
      </c>
      <c r="AO343" s="27" t="str">
        <f t="shared" ca="1" si="128"/>
        <v/>
      </c>
    </row>
    <row r="344" spans="1:41" ht="15" hidden="1" customHeight="1">
      <c r="A344">
        <v>513952</v>
      </c>
      <c r="B344" s="34">
        <v>4</v>
      </c>
      <c r="C344" t="s">
        <v>25</v>
      </c>
      <c r="D344" t="s">
        <v>854</v>
      </c>
      <c r="E344" s="23" t="s">
        <v>882</v>
      </c>
      <c r="F344" s="24">
        <v>35</v>
      </c>
      <c r="G344" s="25">
        <v>224.86</v>
      </c>
      <c r="H344" s="25">
        <f t="shared" si="133"/>
        <v>7870.1</v>
      </c>
      <c r="I344" s="26">
        <v>46258</v>
      </c>
      <c r="J344" s="10">
        <v>46106</v>
      </c>
      <c r="K344" s="10">
        <v>46108</v>
      </c>
      <c r="L344" s="27" t="str">
        <f t="shared" si="136"/>
        <v>On time</v>
      </c>
      <c r="M344" s="58">
        <v>46112</v>
      </c>
      <c r="N344" s="27" t="str">
        <f t="shared" si="134"/>
        <v>On time</v>
      </c>
      <c r="O344" s="27">
        <f t="shared" si="126"/>
        <v>6</v>
      </c>
      <c r="P344" s="28" t="str">
        <f t="shared" si="129"/>
        <v>On time</v>
      </c>
      <c r="Q344" s="27">
        <f t="shared" si="127"/>
        <v>152</v>
      </c>
      <c r="R344" s="29" t="s">
        <v>860</v>
      </c>
      <c r="S344" t="s">
        <v>65</v>
      </c>
      <c r="T344" s="35">
        <v>19</v>
      </c>
      <c r="U344" t="s">
        <v>854</v>
      </c>
      <c r="V344" s="27">
        <v>35</v>
      </c>
      <c r="W344" s="9">
        <v>11.96</v>
      </c>
      <c r="X344" s="9">
        <f t="shared" si="135"/>
        <v>418.6</v>
      </c>
      <c r="Z344" s="10">
        <v>46114</v>
      </c>
      <c r="AA344" s="10">
        <v>46134</v>
      </c>
      <c r="AB344" s="10">
        <v>46149</v>
      </c>
      <c r="AC344" s="10">
        <v>46214</v>
      </c>
      <c r="AD344" s="31">
        <f t="shared" ca="1" si="131"/>
        <v>1</v>
      </c>
      <c r="AE344" s="36">
        <v>1</v>
      </c>
      <c r="AF344" t="s">
        <v>62</v>
      </c>
      <c r="AG344" s="10" t="s">
        <v>605</v>
      </c>
      <c r="AI344" s="9" t="s">
        <v>53</v>
      </c>
      <c r="AL344" t="s">
        <v>2033</v>
      </c>
      <c r="AM344" s="27" t="str">
        <f t="shared" si="132"/>
        <v>Atrasado</v>
      </c>
      <c r="AN344" s="27" t="str">
        <f t="shared" ca="1" si="137"/>
        <v>No prazo</v>
      </c>
      <c r="AO344" s="27" t="str">
        <f t="shared" ca="1" si="128"/>
        <v/>
      </c>
    </row>
    <row r="345" spans="1:41" ht="15" hidden="1" customHeight="1">
      <c r="A345">
        <v>513952</v>
      </c>
      <c r="B345" s="34">
        <v>7</v>
      </c>
      <c r="C345" t="s">
        <v>25</v>
      </c>
      <c r="D345" t="s">
        <v>855</v>
      </c>
      <c r="E345" s="23" t="s">
        <v>883</v>
      </c>
      <c r="F345" s="24">
        <v>9</v>
      </c>
      <c r="G345" s="25">
        <v>201.92</v>
      </c>
      <c r="H345" s="25">
        <f t="shared" si="133"/>
        <v>1817.28</v>
      </c>
      <c r="I345" s="26">
        <v>46258</v>
      </c>
      <c r="J345" s="10">
        <v>46106</v>
      </c>
      <c r="K345" s="10">
        <v>46108</v>
      </c>
      <c r="L345" s="27" t="str">
        <f t="shared" si="136"/>
        <v>On time</v>
      </c>
      <c r="M345" s="58">
        <v>46112</v>
      </c>
      <c r="N345" s="27" t="str">
        <f t="shared" si="134"/>
        <v>On time</v>
      </c>
      <c r="O345" s="27">
        <f t="shared" si="126"/>
        <v>6</v>
      </c>
      <c r="P345" s="28" t="str">
        <f t="shared" si="129"/>
        <v>On time</v>
      </c>
      <c r="Q345" s="27">
        <f t="shared" si="127"/>
        <v>152</v>
      </c>
      <c r="R345" s="29" t="s">
        <v>860</v>
      </c>
      <c r="S345" t="s">
        <v>65</v>
      </c>
      <c r="T345" s="35">
        <v>20</v>
      </c>
      <c r="U345" t="s">
        <v>855</v>
      </c>
      <c r="V345" s="27">
        <v>9</v>
      </c>
      <c r="W345" s="9">
        <v>10.74</v>
      </c>
      <c r="X345" s="9">
        <f t="shared" si="135"/>
        <v>96.66</v>
      </c>
      <c r="Z345" s="10">
        <v>46114</v>
      </c>
      <c r="AA345" s="10">
        <v>46134</v>
      </c>
      <c r="AB345" s="10">
        <v>46149</v>
      </c>
      <c r="AC345" s="10">
        <v>46214</v>
      </c>
      <c r="AD345" s="31">
        <f t="shared" ca="1" si="131"/>
        <v>1</v>
      </c>
      <c r="AE345" s="36">
        <v>1</v>
      </c>
      <c r="AF345" t="s">
        <v>62</v>
      </c>
      <c r="AG345" s="10" t="s">
        <v>605</v>
      </c>
      <c r="AI345" s="9" t="s">
        <v>53</v>
      </c>
      <c r="AL345" t="s">
        <v>2033</v>
      </c>
      <c r="AM345" s="27" t="str">
        <f t="shared" si="132"/>
        <v>Atrasado</v>
      </c>
      <c r="AN345" s="27" t="str">
        <f t="shared" ca="1" si="137"/>
        <v>No prazo</v>
      </c>
      <c r="AO345" s="27" t="str">
        <f t="shared" ca="1" si="128"/>
        <v/>
      </c>
    </row>
    <row r="346" spans="1:41" ht="15" hidden="1" customHeight="1">
      <c r="A346" s="65">
        <v>513952</v>
      </c>
      <c r="B346" s="64">
        <v>16</v>
      </c>
      <c r="C346" t="s">
        <v>25</v>
      </c>
      <c r="D346" t="s">
        <v>856</v>
      </c>
      <c r="E346" s="23" t="s">
        <v>884</v>
      </c>
      <c r="F346" s="24">
        <v>2</v>
      </c>
      <c r="G346" s="25">
        <v>62.94</v>
      </c>
      <c r="H346" s="25">
        <f t="shared" si="133"/>
        <v>125.88</v>
      </c>
      <c r="I346" s="26">
        <v>46258</v>
      </c>
      <c r="J346" s="10">
        <v>46106</v>
      </c>
      <c r="K346" s="10">
        <v>46108</v>
      </c>
      <c r="L346" s="27" t="str">
        <f t="shared" si="136"/>
        <v>On time</v>
      </c>
      <c r="M346" s="58">
        <v>46112</v>
      </c>
      <c r="N346" s="27" t="str">
        <f t="shared" si="134"/>
        <v>On time</v>
      </c>
      <c r="O346" s="27">
        <f t="shared" si="126"/>
        <v>6</v>
      </c>
      <c r="P346" s="28" t="str">
        <f t="shared" si="129"/>
        <v>On time</v>
      </c>
      <c r="Q346" s="27">
        <f t="shared" si="127"/>
        <v>152</v>
      </c>
      <c r="R346" s="29" t="s">
        <v>860</v>
      </c>
      <c r="S346" t="s">
        <v>65</v>
      </c>
      <c r="T346" s="71">
        <v>21</v>
      </c>
      <c r="U346" s="30" t="s">
        <v>856</v>
      </c>
      <c r="V346" s="79">
        <v>10</v>
      </c>
      <c r="W346" s="9">
        <v>2.96</v>
      </c>
      <c r="X346" s="80">
        <f>W346*V346</f>
        <v>29.6</v>
      </c>
      <c r="Z346" s="10">
        <v>46114</v>
      </c>
      <c r="AA346" s="10">
        <v>46134</v>
      </c>
      <c r="AB346" s="10">
        <v>46149</v>
      </c>
      <c r="AC346" s="10">
        <v>46214</v>
      </c>
      <c r="AD346" s="31">
        <f t="shared" ca="1" si="131"/>
        <v>1</v>
      </c>
      <c r="AE346" s="36">
        <v>1</v>
      </c>
      <c r="AF346" t="s">
        <v>62</v>
      </c>
      <c r="AG346" s="10" t="s">
        <v>605</v>
      </c>
      <c r="AI346" s="9" t="s">
        <v>53</v>
      </c>
      <c r="AL346" t="s">
        <v>2033</v>
      </c>
      <c r="AM346" s="27" t="str">
        <f t="shared" si="132"/>
        <v>Atrasado</v>
      </c>
      <c r="AN346" s="27" t="str">
        <f t="shared" ca="1" si="137"/>
        <v>No prazo</v>
      </c>
      <c r="AO346" s="27" t="str">
        <f t="shared" ca="1" si="128"/>
        <v/>
      </c>
    </row>
    <row r="347" spans="1:41" ht="15" hidden="1" customHeight="1">
      <c r="A347">
        <v>514074</v>
      </c>
      <c r="B347" s="64">
        <v>4</v>
      </c>
      <c r="C347" t="s">
        <v>25</v>
      </c>
      <c r="D347" t="s">
        <v>856</v>
      </c>
      <c r="E347" s="23" t="s">
        <v>885</v>
      </c>
      <c r="F347" s="24">
        <v>4</v>
      </c>
      <c r="G347" s="25">
        <v>61.75</v>
      </c>
      <c r="H347" s="25">
        <f t="shared" si="133"/>
        <v>247</v>
      </c>
      <c r="I347" s="26">
        <v>46258</v>
      </c>
      <c r="J347" s="10">
        <v>46106</v>
      </c>
      <c r="K347" s="10">
        <v>46108</v>
      </c>
      <c r="L347" s="27" t="str">
        <f t="shared" si="136"/>
        <v>On time</v>
      </c>
      <c r="M347" s="58">
        <v>46112</v>
      </c>
      <c r="N347" s="27" t="str">
        <f t="shared" si="134"/>
        <v>On time</v>
      </c>
      <c r="O347" s="27">
        <f t="shared" si="126"/>
        <v>6</v>
      </c>
      <c r="P347" s="28" t="str">
        <f t="shared" si="129"/>
        <v>On time</v>
      </c>
      <c r="Q347" s="27">
        <f t="shared" si="127"/>
        <v>152</v>
      </c>
      <c r="R347" s="29" t="s">
        <v>860</v>
      </c>
      <c r="S347" t="s">
        <v>65</v>
      </c>
      <c r="T347" s="71">
        <v>21</v>
      </c>
      <c r="U347" s="30" t="s">
        <v>856</v>
      </c>
      <c r="V347" s="79"/>
      <c r="W347" s="9">
        <v>2.96</v>
      </c>
      <c r="X347" s="80"/>
      <c r="Z347" s="10">
        <v>46114</v>
      </c>
      <c r="AA347" s="10">
        <v>46134</v>
      </c>
      <c r="AB347" s="10">
        <v>46149</v>
      </c>
      <c r="AC347" s="10">
        <v>46214</v>
      </c>
      <c r="AD347" s="31">
        <f t="shared" ca="1" si="131"/>
        <v>1</v>
      </c>
      <c r="AE347" s="36">
        <v>1</v>
      </c>
      <c r="AF347" t="s">
        <v>62</v>
      </c>
      <c r="AG347" s="10" t="s">
        <v>605</v>
      </c>
      <c r="AI347" s="9" t="s">
        <v>53</v>
      </c>
      <c r="AL347" t="s">
        <v>2033</v>
      </c>
      <c r="AM347" s="27" t="str">
        <f t="shared" si="132"/>
        <v>Atrasado</v>
      </c>
      <c r="AN347" s="27" t="str">
        <f t="shared" ca="1" si="137"/>
        <v>No prazo</v>
      </c>
      <c r="AO347" s="27" t="str">
        <f t="shared" ca="1" si="128"/>
        <v/>
      </c>
    </row>
    <row r="348" spans="1:41" ht="15" hidden="1" customHeight="1">
      <c r="A348">
        <v>513952</v>
      </c>
      <c r="B348" s="34">
        <v>18</v>
      </c>
      <c r="C348" t="s">
        <v>25</v>
      </c>
      <c r="D348" t="s">
        <v>857</v>
      </c>
      <c r="E348" s="23" t="s">
        <v>886</v>
      </c>
      <c r="F348" s="24">
        <v>17</v>
      </c>
      <c r="G348" s="25">
        <v>60.73</v>
      </c>
      <c r="H348" s="25">
        <f t="shared" si="133"/>
        <v>1032.4099999999999</v>
      </c>
      <c r="I348" s="26">
        <v>46258</v>
      </c>
      <c r="J348" s="10">
        <v>46106</v>
      </c>
      <c r="K348" s="10">
        <v>46108</v>
      </c>
      <c r="L348" s="27" t="str">
        <f t="shared" si="136"/>
        <v>On time</v>
      </c>
      <c r="M348" s="58">
        <v>46112</v>
      </c>
      <c r="N348" s="27" t="str">
        <f t="shared" si="134"/>
        <v>On time</v>
      </c>
      <c r="O348" s="27">
        <f t="shared" si="126"/>
        <v>6</v>
      </c>
      <c r="P348" s="28" t="str">
        <f t="shared" si="129"/>
        <v>On time</v>
      </c>
      <c r="Q348" s="27">
        <f t="shared" si="127"/>
        <v>152</v>
      </c>
      <c r="R348" s="29" t="s">
        <v>860</v>
      </c>
      <c r="S348" t="s">
        <v>65</v>
      </c>
      <c r="T348" s="35">
        <v>22</v>
      </c>
      <c r="U348" t="s">
        <v>857</v>
      </c>
      <c r="V348" s="27">
        <v>30</v>
      </c>
      <c r="W348" s="9">
        <v>3.16</v>
      </c>
      <c r="X348" s="9">
        <f t="shared" si="135"/>
        <v>94.800000000000011</v>
      </c>
      <c r="Z348" s="10">
        <v>46114</v>
      </c>
      <c r="AA348" s="10">
        <v>46134</v>
      </c>
      <c r="AB348" s="10">
        <v>46149</v>
      </c>
      <c r="AC348" s="10">
        <v>46214</v>
      </c>
      <c r="AD348" s="31">
        <f t="shared" ca="1" si="131"/>
        <v>1</v>
      </c>
      <c r="AE348" s="36">
        <v>1</v>
      </c>
      <c r="AF348" t="s">
        <v>62</v>
      </c>
      <c r="AG348" s="10" t="s">
        <v>605</v>
      </c>
      <c r="AI348" s="9" t="s">
        <v>53</v>
      </c>
      <c r="AL348" t="s">
        <v>2033</v>
      </c>
      <c r="AM348" s="27" t="str">
        <f t="shared" si="132"/>
        <v>Atrasado</v>
      </c>
      <c r="AN348" s="27" t="str">
        <f t="shared" ca="1" si="137"/>
        <v>No prazo</v>
      </c>
      <c r="AO348" s="27" t="str">
        <f t="shared" ca="1" si="128"/>
        <v/>
      </c>
    </row>
    <row r="349" spans="1:41" ht="15" hidden="1" customHeight="1">
      <c r="A349">
        <v>513952</v>
      </c>
      <c r="B349" s="34">
        <v>22</v>
      </c>
      <c r="C349" t="s">
        <v>25</v>
      </c>
      <c r="D349" t="s">
        <v>858</v>
      </c>
      <c r="E349" s="23" t="s">
        <v>887</v>
      </c>
      <c r="F349" s="24">
        <v>4</v>
      </c>
      <c r="G349" s="25">
        <v>274.5</v>
      </c>
      <c r="H349" s="25">
        <f t="shared" si="133"/>
        <v>1098</v>
      </c>
      <c r="I349" s="26">
        <v>46261</v>
      </c>
      <c r="J349" s="10">
        <v>46106</v>
      </c>
      <c r="K349" s="10">
        <v>46111</v>
      </c>
      <c r="L349" s="27" t="str">
        <f t="shared" si="136"/>
        <v>On time</v>
      </c>
      <c r="M349" s="58">
        <v>46112</v>
      </c>
      <c r="N349" s="27" t="str">
        <f t="shared" si="134"/>
        <v>On time</v>
      </c>
      <c r="O349" s="27">
        <f t="shared" si="126"/>
        <v>6</v>
      </c>
      <c r="P349" s="28" t="str">
        <f t="shared" si="129"/>
        <v>On time</v>
      </c>
      <c r="Q349" s="27">
        <f t="shared" si="127"/>
        <v>155</v>
      </c>
      <c r="R349" s="29" t="s">
        <v>860</v>
      </c>
      <c r="S349" t="s">
        <v>65</v>
      </c>
      <c r="T349" s="35">
        <v>23</v>
      </c>
      <c r="U349" t="s">
        <v>858</v>
      </c>
      <c r="V349" s="27">
        <v>4</v>
      </c>
      <c r="W349" s="9">
        <v>15.04</v>
      </c>
      <c r="X349" s="9">
        <f t="shared" si="135"/>
        <v>60.16</v>
      </c>
      <c r="Z349" s="10">
        <v>46114</v>
      </c>
      <c r="AA349" s="10">
        <v>46134</v>
      </c>
      <c r="AB349" s="10">
        <v>46149</v>
      </c>
      <c r="AC349" s="10">
        <v>46214</v>
      </c>
      <c r="AD349" s="31">
        <f t="shared" ca="1" si="131"/>
        <v>1</v>
      </c>
      <c r="AE349" s="36">
        <v>1</v>
      </c>
      <c r="AF349" t="s">
        <v>62</v>
      </c>
      <c r="AG349" s="10" t="s">
        <v>605</v>
      </c>
      <c r="AI349" s="9" t="s">
        <v>53</v>
      </c>
      <c r="AL349" t="s">
        <v>2033</v>
      </c>
      <c r="AM349" s="27" t="str">
        <f t="shared" si="132"/>
        <v>Atrasado</v>
      </c>
      <c r="AN349" s="27" t="str">
        <f t="shared" ca="1" si="137"/>
        <v>No prazo</v>
      </c>
      <c r="AO349" s="27" t="str">
        <f t="shared" ca="1" si="128"/>
        <v/>
      </c>
    </row>
    <row r="350" spans="1:41" ht="15" hidden="1" customHeight="1">
      <c r="A350">
        <v>514074</v>
      </c>
      <c r="B350" s="34">
        <v>1</v>
      </c>
      <c r="C350" t="s">
        <v>25</v>
      </c>
      <c r="D350" t="s">
        <v>859</v>
      </c>
      <c r="E350" s="23" t="s">
        <v>888</v>
      </c>
      <c r="F350" s="24">
        <v>5</v>
      </c>
      <c r="G350" s="25">
        <v>2.016</v>
      </c>
      <c r="H350" s="25">
        <f t="shared" si="133"/>
        <v>10.08</v>
      </c>
      <c r="I350" s="26">
        <v>46261</v>
      </c>
      <c r="J350" s="10">
        <v>46110</v>
      </c>
      <c r="K350" s="10">
        <v>46111</v>
      </c>
      <c r="L350" s="27" t="str">
        <f t="shared" si="136"/>
        <v>On time</v>
      </c>
      <c r="M350" s="58">
        <v>46112</v>
      </c>
      <c r="N350" s="27" t="str">
        <f t="shared" si="134"/>
        <v>On time</v>
      </c>
      <c r="O350" s="27">
        <f t="shared" si="126"/>
        <v>2</v>
      </c>
      <c r="P350" s="28" t="str">
        <f t="shared" si="129"/>
        <v>On time</v>
      </c>
      <c r="Q350" s="27">
        <f t="shared" si="127"/>
        <v>151</v>
      </c>
      <c r="R350" s="29" t="s">
        <v>860</v>
      </c>
      <c r="S350" t="s">
        <v>65</v>
      </c>
      <c r="T350" s="35">
        <v>24</v>
      </c>
      <c r="U350" t="s">
        <v>859</v>
      </c>
      <c r="V350" s="27">
        <v>20</v>
      </c>
      <c r="W350" s="9">
        <v>0.98</v>
      </c>
      <c r="X350" s="9">
        <f t="shared" si="135"/>
        <v>19.600000000000001</v>
      </c>
      <c r="Z350" s="10">
        <v>46114</v>
      </c>
      <c r="AA350" s="10">
        <v>46134</v>
      </c>
      <c r="AB350" s="10">
        <v>46149</v>
      </c>
      <c r="AC350" s="10">
        <v>46214</v>
      </c>
      <c r="AD350" s="31">
        <f t="shared" ca="1" si="131"/>
        <v>1</v>
      </c>
      <c r="AE350" s="36">
        <v>1</v>
      </c>
      <c r="AF350" t="s">
        <v>62</v>
      </c>
      <c r="AG350" s="10" t="s">
        <v>605</v>
      </c>
      <c r="AI350" s="9" t="s">
        <v>53</v>
      </c>
      <c r="AL350" t="s">
        <v>2033</v>
      </c>
      <c r="AM350" s="27" t="str">
        <f t="shared" si="132"/>
        <v>Atrasado</v>
      </c>
      <c r="AN350" s="27" t="str">
        <f t="shared" ca="1" si="137"/>
        <v>No prazo</v>
      </c>
      <c r="AO350" s="27" t="str">
        <f t="shared" ca="1" si="128"/>
        <v/>
      </c>
    </row>
    <row r="351" spans="1:41" ht="15" hidden="1" customHeight="1">
      <c r="A351">
        <v>514196</v>
      </c>
      <c r="B351" s="34">
        <v>1</v>
      </c>
      <c r="C351" t="s">
        <v>25</v>
      </c>
      <c r="D351" t="s">
        <v>894</v>
      </c>
      <c r="E351" s="23" t="s">
        <v>897</v>
      </c>
      <c r="F351" s="24">
        <v>13</v>
      </c>
      <c r="G351" s="25">
        <v>71.650000000000006</v>
      </c>
      <c r="H351" s="25">
        <f t="shared" si="133"/>
        <v>931.45</v>
      </c>
      <c r="I351" s="26">
        <v>46262</v>
      </c>
      <c r="J351" s="10">
        <v>46110</v>
      </c>
      <c r="K351" s="10">
        <v>46112</v>
      </c>
      <c r="L351" s="27" t="str">
        <f t="shared" si="136"/>
        <v>On time</v>
      </c>
      <c r="M351" s="58">
        <v>46118</v>
      </c>
      <c r="N351" s="27" t="str">
        <f t="shared" si="134"/>
        <v>Atrasado</v>
      </c>
      <c r="O351" s="27">
        <f t="shared" si="126"/>
        <v>8</v>
      </c>
      <c r="P351" s="28" t="str">
        <f t="shared" si="129"/>
        <v>On time</v>
      </c>
      <c r="Q351" s="27">
        <f t="shared" si="127"/>
        <v>152</v>
      </c>
      <c r="R351" s="29" t="s">
        <v>860</v>
      </c>
      <c r="S351" t="s">
        <v>65</v>
      </c>
      <c r="T351" s="35">
        <v>25</v>
      </c>
      <c r="U351" t="s">
        <v>894</v>
      </c>
      <c r="V351" s="27">
        <v>30</v>
      </c>
      <c r="W351" s="9">
        <v>3.43</v>
      </c>
      <c r="X351" s="9">
        <f t="shared" si="135"/>
        <v>102.9</v>
      </c>
      <c r="Z351" s="10">
        <v>46118</v>
      </c>
      <c r="AA351" s="10">
        <v>46134</v>
      </c>
      <c r="AB351" s="10">
        <v>46149</v>
      </c>
      <c r="AC351" s="10">
        <v>46214</v>
      </c>
      <c r="AD351" s="31">
        <f t="shared" ref="AD351" ca="1" si="140">TODAY()-AA351</f>
        <v>1</v>
      </c>
      <c r="AE351" s="36">
        <v>1</v>
      </c>
      <c r="AF351" t="s">
        <v>62</v>
      </c>
      <c r="AG351" s="10" t="s">
        <v>605</v>
      </c>
      <c r="AI351" s="9" t="s">
        <v>53</v>
      </c>
      <c r="AL351" t="s">
        <v>2033</v>
      </c>
      <c r="AM351" s="27" t="str">
        <f t="shared" ref="AM351" si="141">IF(AB351=0," ",IF(AB351&lt;=AA351+10,"On time","Atrasado"))</f>
        <v>Atrasado</v>
      </c>
      <c r="AN351" s="27" t="str">
        <f t="shared" ca="1" si="137"/>
        <v>No prazo</v>
      </c>
      <c r="AO351" s="27" t="str">
        <f t="shared" ca="1" si="128"/>
        <v/>
      </c>
    </row>
    <row r="352" spans="1:41" ht="15" hidden="1" customHeight="1">
      <c r="A352">
        <v>514196</v>
      </c>
      <c r="B352" s="34">
        <v>2</v>
      </c>
      <c r="C352" t="s">
        <v>25</v>
      </c>
      <c r="D352" t="s">
        <v>895</v>
      </c>
      <c r="E352" s="23" t="s">
        <v>898</v>
      </c>
      <c r="F352" s="24">
        <v>12</v>
      </c>
      <c r="G352" s="25">
        <v>46.25</v>
      </c>
      <c r="H352" s="25">
        <f t="shared" si="133"/>
        <v>555</v>
      </c>
      <c r="I352" s="26">
        <v>46262</v>
      </c>
      <c r="J352" s="10">
        <v>46110</v>
      </c>
      <c r="K352" s="10">
        <v>46112</v>
      </c>
      <c r="L352" s="27" t="str">
        <f t="shared" si="136"/>
        <v>On time</v>
      </c>
      <c r="M352" s="58">
        <v>46118</v>
      </c>
      <c r="N352" s="27" t="str">
        <f t="shared" si="134"/>
        <v>Atrasado</v>
      </c>
      <c r="O352" s="27">
        <f t="shared" si="126"/>
        <v>8</v>
      </c>
      <c r="P352" s="28" t="str">
        <f t="shared" si="129"/>
        <v>On time</v>
      </c>
      <c r="Q352" s="27">
        <f t="shared" si="127"/>
        <v>152</v>
      </c>
      <c r="R352" s="29" t="s">
        <v>860</v>
      </c>
      <c r="S352" t="s">
        <v>65</v>
      </c>
      <c r="T352" s="35">
        <v>26</v>
      </c>
      <c r="U352" t="s">
        <v>895</v>
      </c>
      <c r="V352" s="27">
        <v>100</v>
      </c>
      <c r="W352" s="9">
        <v>2.46</v>
      </c>
      <c r="X352" s="9">
        <f t="shared" si="135"/>
        <v>246</v>
      </c>
      <c r="Z352" s="10">
        <v>46118</v>
      </c>
      <c r="AA352" s="10">
        <v>46134</v>
      </c>
      <c r="AB352" s="10">
        <v>46149</v>
      </c>
      <c r="AC352" s="10">
        <v>46214</v>
      </c>
      <c r="AD352" s="31">
        <f t="shared" ref="AD352:AD353" ca="1" si="142">TODAY()-AA352</f>
        <v>1</v>
      </c>
      <c r="AE352" s="36">
        <v>1</v>
      </c>
      <c r="AF352" t="s">
        <v>62</v>
      </c>
      <c r="AG352" s="10" t="s">
        <v>605</v>
      </c>
      <c r="AI352" s="9" t="s">
        <v>53</v>
      </c>
      <c r="AL352" t="s">
        <v>2033</v>
      </c>
      <c r="AM352" s="27" t="str">
        <f t="shared" ref="AM352:AM353" si="143">IF(AB352=0," ",IF(AB352&lt;=AA352+10,"On time","Atrasado"))</f>
        <v>Atrasado</v>
      </c>
      <c r="AN352" s="27" t="str">
        <f t="shared" ca="1" si="137"/>
        <v>No prazo</v>
      </c>
      <c r="AO352" s="27" t="str">
        <f t="shared" ca="1" si="128"/>
        <v/>
      </c>
    </row>
    <row r="353" spans="1:43" ht="15" hidden="1" customHeight="1">
      <c r="A353">
        <v>514318</v>
      </c>
      <c r="B353" s="34">
        <v>2</v>
      </c>
      <c r="C353" t="s">
        <v>25</v>
      </c>
      <c r="D353" t="s">
        <v>896</v>
      </c>
      <c r="E353" s="23" t="s">
        <v>899</v>
      </c>
      <c r="F353" s="24">
        <v>19</v>
      </c>
      <c r="G353" s="25">
        <v>158.03</v>
      </c>
      <c r="H353" s="25">
        <f t="shared" si="133"/>
        <v>3002.57</v>
      </c>
      <c r="I353" s="26">
        <v>46265</v>
      </c>
      <c r="J353" s="10">
        <v>46112</v>
      </c>
      <c r="K353" s="10">
        <v>46113</v>
      </c>
      <c r="L353" s="27" t="str">
        <f t="shared" si="136"/>
        <v>On time</v>
      </c>
      <c r="M353" s="58">
        <v>46118</v>
      </c>
      <c r="N353" s="27" t="str">
        <f t="shared" si="134"/>
        <v>On time</v>
      </c>
      <c r="O353" s="27">
        <f t="shared" si="126"/>
        <v>6</v>
      </c>
      <c r="P353" s="28" t="str">
        <f t="shared" si="129"/>
        <v>On time</v>
      </c>
      <c r="Q353" s="27">
        <f t="shared" si="127"/>
        <v>153</v>
      </c>
      <c r="R353" s="29" t="s">
        <v>860</v>
      </c>
      <c r="S353" t="s">
        <v>65</v>
      </c>
      <c r="T353" s="35">
        <v>27</v>
      </c>
      <c r="U353" t="s">
        <v>896</v>
      </c>
      <c r="V353" s="27">
        <v>100</v>
      </c>
      <c r="W353" s="9">
        <v>6.06</v>
      </c>
      <c r="X353" s="9">
        <f t="shared" si="135"/>
        <v>606</v>
      </c>
      <c r="Z353" s="10">
        <v>46118</v>
      </c>
      <c r="AA353" s="10">
        <v>46134</v>
      </c>
      <c r="AB353" s="10">
        <v>46149</v>
      </c>
      <c r="AC353" s="10">
        <v>46214</v>
      </c>
      <c r="AD353" s="31">
        <f t="shared" ca="1" si="142"/>
        <v>1</v>
      </c>
      <c r="AE353" s="36">
        <v>1</v>
      </c>
      <c r="AF353" t="s">
        <v>62</v>
      </c>
      <c r="AG353" s="10" t="s">
        <v>605</v>
      </c>
      <c r="AI353" s="9" t="s">
        <v>53</v>
      </c>
      <c r="AL353" t="s">
        <v>2033</v>
      </c>
      <c r="AM353" s="27" t="str">
        <f t="shared" si="143"/>
        <v>Atrasado</v>
      </c>
      <c r="AN353" s="27" t="str">
        <f t="shared" ca="1" si="137"/>
        <v>No prazo</v>
      </c>
      <c r="AO353" s="27" t="str">
        <f t="shared" ca="1" si="128"/>
        <v/>
      </c>
    </row>
    <row r="354" spans="1:43" ht="15" hidden="1" customHeight="1">
      <c r="A354">
        <v>514066</v>
      </c>
      <c r="B354" s="34">
        <v>1</v>
      </c>
      <c r="C354" t="s">
        <v>25</v>
      </c>
      <c r="D354" t="s">
        <v>861</v>
      </c>
      <c r="E354" s="23" t="s">
        <v>889</v>
      </c>
      <c r="F354" s="24">
        <v>1</v>
      </c>
      <c r="G354" s="25">
        <v>205.03</v>
      </c>
      <c r="H354" s="25">
        <f t="shared" si="133"/>
        <v>205.03</v>
      </c>
      <c r="I354" s="26">
        <v>46293</v>
      </c>
      <c r="J354" s="10">
        <v>46110</v>
      </c>
      <c r="K354" s="10">
        <v>46111</v>
      </c>
      <c r="L354" s="27" t="str">
        <f t="shared" si="136"/>
        <v>On time</v>
      </c>
      <c r="M354" s="58">
        <v>46114</v>
      </c>
      <c r="N354" s="27" t="str">
        <f t="shared" si="134"/>
        <v>On time</v>
      </c>
      <c r="O354" s="27">
        <f t="shared" si="126"/>
        <v>4</v>
      </c>
      <c r="P354" s="28" t="str">
        <f t="shared" si="129"/>
        <v>On time</v>
      </c>
      <c r="Q354" s="27">
        <f t="shared" si="127"/>
        <v>183</v>
      </c>
      <c r="R354" s="29" t="s">
        <v>867</v>
      </c>
      <c r="S354" t="s">
        <v>48</v>
      </c>
      <c r="T354" s="35">
        <v>1</v>
      </c>
      <c r="U354" t="s">
        <v>861</v>
      </c>
      <c r="V354" s="27">
        <v>1</v>
      </c>
      <c r="W354" s="9">
        <v>13</v>
      </c>
      <c r="X354" s="9">
        <f t="shared" si="135"/>
        <v>13</v>
      </c>
      <c r="Z354" s="10">
        <v>46114</v>
      </c>
      <c r="AA354" s="10">
        <v>46134</v>
      </c>
      <c r="AB354" s="10">
        <v>46152</v>
      </c>
      <c r="AC354" s="10">
        <v>46217</v>
      </c>
      <c r="AD354" s="31">
        <f t="shared" ref="AD354" ca="1" si="144">TODAY()-AA354</f>
        <v>1</v>
      </c>
      <c r="AE354" s="36">
        <v>1</v>
      </c>
      <c r="AF354" t="s">
        <v>62</v>
      </c>
      <c r="AG354" s="10" t="s">
        <v>78</v>
      </c>
      <c r="AI354" s="9" t="s">
        <v>53</v>
      </c>
      <c r="AL354" t="s">
        <v>2072</v>
      </c>
      <c r="AM354" s="27" t="str">
        <f t="shared" ref="AM354" si="145">IF(AB354=0," ",IF(AB354&lt;=AA354+10,"On time","Atrasado"))</f>
        <v>Atrasado</v>
      </c>
      <c r="AN354" s="27" t="str">
        <f t="shared" ca="1" si="137"/>
        <v>No prazo</v>
      </c>
      <c r="AO354" s="27" t="str">
        <f t="shared" ca="1" si="128"/>
        <v/>
      </c>
    </row>
    <row r="355" spans="1:43" ht="15" hidden="1" customHeight="1">
      <c r="A355">
        <v>506908</v>
      </c>
      <c r="B355" s="34">
        <v>1</v>
      </c>
      <c r="C355" t="s">
        <v>25</v>
      </c>
      <c r="D355" t="s">
        <v>862</v>
      </c>
      <c r="E355" s="23" t="s">
        <v>2190</v>
      </c>
      <c r="F355" s="24">
        <v>5</v>
      </c>
      <c r="G355" s="25">
        <v>1491.6</v>
      </c>
      <c r="H355" s="25">
        <f t="shared" si="133"/>
        <v>7458</v>
      </c>
      <c r="I355" s="26">
        <v>46255</v>
      </c>
      <c r="J355" s="10">
        <v>45995</v>
      </c>
      <c r="K355" s="10">
        <v>45995</v>
      </c>
      <c r="L355" s="27" t="str">
        <f t="shared" si="136"/>
        <v>On time</v>
      </c>
      <c r="M355" s="58">
        <v>46111</v>
      </c>
      <c r="N355" s="27" t="str">
        <f t="shared" si="134"/>
        <v>Atrasado</v>
      </c>
      <c r="O355" s="27">
        <f t="shared" si="126"/>
        <v>116</v>
      </c>
      <c r="P355" s="28" t="str">
        <f t="shared" si="129"/>
        <v>On time</v>
      </c>
      <c r="Q355" s="27">
        <f t="shared" si="127"/>
        <v>260</v>
      </c>
      <c r="R355" s="29" t="s">
        <v>867</v>
      </c>
      <c r="S355" t="s">
        <v>48</v>
      </c>
      <c r="T355" s="35">
        <v>2</v>
      </c>
      <c r="U355" t="s">
        <v>862</v>
      </c>
      <c r="V355" s="27">
        <v>5</v>
      </c>
      <c r="W355" s="9">
        <v>109</v>
      </c>
      <c r="X355" s="9">
        <f t="shared" si="135"/>
        <v>545</v>
      </c>
      <c r="Z355" s="10">
        <v>46114</v>
      </c>
      <c r="AA355" s="10">
        <v>46134</v>
      </c>
      <c r="AB355" s="10">
        <v>46152</v>
      </c>
      <c r="AC355" s="10">
        <v>46217</v>
      </c>
      <c r="AD355" s="31">
        <f t="shared" ref="AD355:AD359" ca="1" si="146">TODAY()-AA355</f>
        <v>1</v>
      </c>
      <c r="AE355" s="36">
        <v>1</v>
      </c>
      <c r="AF355" t="s">
        <v>62</v>
      </c>
      <c r="AG355" s="10" t="s">
        <v>78</v>
      </c>
      <c r="AI355" s="9" t="s">
        <v>53</v>
      </c>
      <c r="AL355" t="s">
        <v>2072</v>
      </c>
      <c r="AM355" s="27" t="str">
        <f t="shared" ref="AM355:AM377" si="147">IF(AB355=0," ",IF(AB355&lt;=AA355+10,"On time","Atrasado"))</f>
        <v>Atrasado</v>
      </c>
      <c r="AN355" s="27" t="str">
        <f t="shared" ca="1" si="137"/>
        <v>No prazo</v>
      </c>
      <c r="AO355" s="27" t="str">
        <f t="shared" ca="1" si="128"/>
        <v/>
      </c>
    </row>
    <row r="356" spans="1:43" ht="15" hidden="1" customHeight="1">
      <c r="A356">
        <v>513420</v>
      </c>
      <c r="B356" s="34">
        <v>1</v>
      </c>
      <c r="C356" t="s">
        <v>25</v>
      </c>
      <c r="D356" t="s">
        <v>863</v>
      </c>
      <c r="E356" s="23" t="s">
        <v>890</v>
      </c>
      <c r="F356" s="24">
        <v>20</v>
      </c>
      <c r="G356" s="25">
        <v>293.79000000000002</v>
      </c>
      <c r="H356" s="25">
        <f t="shared" si="133"/>
        <v>5875.8</v>
      </c>
      <c r="I356" s="26">
        <v>46251</v>
      </c>
      <c r="J356" s="10">
        <v>46100</v>
      </c>
      <c r="K356" s="10">
        <v>46101</v>
      </c>
      <c r="L356" s="27" t="str">
        <f t="shared" si="136"/>
        <v>On time</v>
      </c>
      <c r="M356" s="58">
        <v>46111</v>
      </c>
      <c r="N356" s="27" t="str">
        <f t="shared" si="134"/>
        <v>Atrasado</v>
      </c>
      <c r="O356" s="27">
        <f t="shared" si="126"/>
        <v>11</v>
      </c>
      <c r="P356" s="28" t="str">
        <f t="shared" si="129"/>
        <v>On time</v>
      </c>
      <c r="Q356" s="27">
        <f t="shared" si="127"/>
        <v>151</v>
      </c>
      <c r="R356" s="29" t="s">
        <v>867</v>
      </c>
      <c r="S356" t="s">
        <v>48</v>
      </c>
      <c r="T356" s="35">
        <v>3</v>
      </c>
      <c r="U356" t="s">
        <v>863</v>
      </c>
      <c r="V356" s="27">
        <v>50</v>
      </c>
      <c r="W356" s="9">
        <v>10.85</v>
      </c>
      <c r="X356" s="9">
        <f t="shared" si="135"/>
        <v>542.5</v>
      </c>
      <c r="Z356" s="10">
        <v>46114</v>
      </c>
      <c r="AA356" s="10">
        <v>46134</v>
      </c>
      <c r="AB356" s="10">
        <v>46152</v>
      </c>
      <c r="AC356" s="10">
        <v>46217</v>
      </c>
      <c r="AD356" s="31">
        <f t="shared" ca="1" si="146"/>
        <v>1</v>
      </c>
      <c r="AE356" s="36">
        <v>1</v>
      </c>
      <c r="AF356" t="s">
        <v>62</v>
      </c>
      <c r="AG356" s="10" t="s">
        <v>78</v>
      </c>
      <c r="AI356" s="9" t="s">
        <v>53</v>
      </c>
      <c r="AL356" t="s">
        <v>2072</v>
      </c>
      <c r="AM356" s="27" t="str">
        <f t="shared" si="147"/>
        <v>Atrasado</v>
      </c>
      <c r="AN356" s="27" t="str">
        <f t="shared" ca="1" si="137"/>
        <v>No prazo</v>
      </c>
      <c r="AO356" s="27" t="str">
        <f t="shared" ca="1" si="128"/>
        <v/>
      </c>
    </row>
    <row r="357" spans="1:43" ht="15" hidden="1" customHeight="1">
      <c r="A357">
        <v>512909</v>
      </c>
      <c r="B357" s="34">
        <v>1</v>
      </c>
      <c r="C357" t="s">
        <v>25</v>
      </c>
      <c r="D357" t="s">
        <v>864</v>
      </c>
      <c r="E357" s="23" t="s">
        <v>891</v>
      </c>
      <c r="F357" s="24">
        <v>2</v>
      </c>
      <c r="G357" s="25">
        <v>6675.71</v>
      </c>
      <c r="H357" s="25">
        <f t="shared" si="133"/>
        <v>13351.42</v>
      </c>
      <c r="I357" s="26">
        <v>46279</v>
      </c>
      <c r="J357" s="10">
        <v>46094</v>
      </c>
      <c r="K357" s="10">
        <v>46097</v>
      </c>
      <c r="L357" s="27" t="str">
        <f t="shared" si="136"/>
        <v>On time</v>
      </c>
      <c r="M357" s="58">
        <v>46104</v>
      </c>
      <c r="N357" s="27" t="str">
        <f t="shared" si="134"/>
        <v>Atrasado</v>
      </c>
      <c r="O357" s="27">
        <f t="shared" si="126"/>
        <v>10</v>
      </c>
      <c r="P357" s="28" t="str">
        <f t="shared" si="129"/>
        <v>On time</v>
      </c>
      <c r="Q357" s="27">
        <f t="shared" si="127"/>
        <v>185</v>
      </c>
      <c r="R357" s="29" t="s">
        <v>867</v>
      </c>
      <c r="S357" t="s">
        <v>48</v>
      </c>
      <c r="T357" s="35">
        <v>4</v>
      </c>
      <c r="U357" t="s">
        <v>864</v>
      </c>
      <c r="V357" s="27">
        <v>2</v>
      </c>
      <c r="W357" s="9">
        <v>400</v>
      </c>
      <c r="X357" s="9">
        <f t="shared" si="135"/>
        <v>800</v>
      </c>
      <c r="Z357" s="10">
        <v>46114</v>
      </c>
      <c r="AA357" s="10">
        <v>46134</v>
      </c>
      <c r="AB357" s="10">
        <v>46152</v>
      </c>
      <c r="AC357" s="10">
        <v>46217</v>
      </c>
      <c r="AD357" s="31">
        <f t="shared" ca="1" si="146"/>
        <v>1</v>
      </c>
      <c r="AE357" s="36">
        <v>1</v>
      </c>
      <c r="AF357" t="s">
        <v>62</v>
      </c>
      <c r="AG357" s="10" t="s">
        <v>78</v>
      </c>
      <c r="AI357" s="9" t="s">
        <v>53</v>
      </c>
      <c r="AL357" t="s">
        <v>2072</v>
      </c>
      <c r="AM357" s="27" t="str">
        <f t="shared" si="147"/>
        <v>Atrasado</v>
      </c>
      <c r="AN357" s="27" t="str">
        <f t="shared" ca="1" si="137"/>
        <v>No prazo</v>
      </c>
      <c r="AO357" s="27" t="str">
        <f t="shared" ca="1" si="128"/>
        <v/>
      </c>
    </row>
    <row r="358" spans="1:43" ht="15" hidden="1" customHeight="1">
      <c r="A358">
        <v>513503</v>
      </c>
      <c r="B358" s="34">
        <v>1</v>
      </c>
      <c r="C358" t="s">
        <v>25</v>
      </c>
      <c r="D358" t="s">
        <v>865</v>
      </c>
      <c r="E358" s="23" t="s">
        <v>1293</v>
      </c>
      <c r="F358" s="24">
        <v>2</v>
      </c>
      <c r="G358" s="25">
        <v>2242.62</v>
      </c>
      <c r="H358" s="25">
        <f t="shared" si="133"/>
        <v>4485.24</v>
      </c>
      <c r="I358" s="26">
        <v>46286</v>
      </c>
      <c r="J358" s="10">
        <v>46103</v>
      </c>
      <c r="K358" s="10">
        <v>46104</v>
      </c>
      <c r="L358" s="27" t="str">
        <f t="shared" si="136"/>
        <v>On time</v>
      </c>
      <c r="M358" s="58">
        <v>46111</v>
      </c>
      <c r="N358" s="27" t="str">
        <f t="shared" si="134"/>
        <v>Atrasado</v>
      </c>
      <c r="O358" s="27">
        <f t="shared" si="126"/>
        <v>8</v>
      </c>
      <c r="P358" s="28" t="str">
        <f t="shared" si="129"/>
        <v>On time</v>
      </c>
      <c r="Q358" s="27">
        <f t="shared" si="127"/>
        <v>183</v>
      </c>
      <c r="R358" s="29" t="s">
        <v>867</v>
      </c>
      <c r="S358" t="s">
        <v>48</v>
      </c>
      <c r="T358" s="35">
        <v>5</v>
      </c>
      <c r="U358" t="s">
        <v>865</v>
      </c>
      <c r="V358" s="27">
        <v>2</v>
      </c>
      <c r="W358" s="9">
        <v>110</v>
      </c>
      <c r="X358" s="9">
        <f t="shared" si="135"/>
        <v>220</v>
      </c>
      <c r="Z358" s="10">
        <v>46114</v>
      </c>
      <c r="AA358" s="10">
        <v>46134</v>
      </c>
      <c r="AB358" s="10">
        <v>46152</v>
      </c>
      <c r="AC358" s="10">
        <v>46217</v>
      </c>
      <c r="AD358" s="31">
        <f t="shared" ca="1" si="146"/>
        <v>1</v>
      </c>
      <c r="AE358" s="36">
        <v>1</v>
      </c>
      <c r="AF358" t="s">
        <v>62</v>
      </c>
      <c r="AG358" s="10" t="s">
        <v>78</v>
      </c>
      <c r="AI358" s="9" t="s">
        <v>53</v>
      </c>
      <c r="AL358" t="s">
        <v>2074</v>
      </c>
      <c r="AM358" s="27" t="str">
        <f t="shared" si="147"/>
        <v>Atrasado</v>
      </c>
      <c r="AN358" s="27" t="str">
        <f t="shared" ca="1" si="137"/>
        <v>No prazo</v>
      </c>
      <c r="AO358" s="27" t="str">
        <f t="shared" ca="1" si="128"/>
        <v/>
      </c>
    </row>
    <row r="359" spans="1:43" ht="15" hidden="1" customHeight="1">
      <c r="A359">
        <v>514428</v>
      </c>
      <c r="B359" s="34">
        <v>1</v>
      </c>
      <c r="C359" t="s">
        <v>25</v>
      </c>
      <c r="D359" t="s">
        <v>866</v>
      </c>
      <c r="E359" s="23" t="s">
        <v>1698</v>
      </c>
      <c r="F359" s="24">
        <v>53</v>
      </c>
      <c r="G359" s="25">
        <v>74.88</v>
      </c>
      <c r="H359" s="25">
        <f t="shared" si="133"/>
        <v>3968.64</v>
      </c>
      <c r="I359" s="26">
        <v>46265</v>
      </c>
      <c r="J359" s="10">
        <v>46114</v>
      </c>
      <c r="K359" s="10">
        <v>46114</v>
      </c>
      <c r="L359" s="27" t="str">
        <f t="shared" si="136"/>
        <v>On time</v>
      </c>
      <c r="M359" s="58">
        <v>46114</v>
      </c>
      <c r="N359" s="27" t="str">
        <f t="shared" si="134"/>
        <v>On time</v>
      </c>
      <c r="O359" s="27">
        <f t="shared" si="126"/>
        <v>0</v>
      </c>
      <c r="P359" s="28" t="str">
        <f t="shared" si="129"/>
        <v>On time</v>
      </c>
      <c r="Q359" s="27">
        <f t="shared" si="127"/>
        <v>151</v>
      </c>
      <c r="R359" s="29" t="s">
        <v>867</v>
      </c>
      <c r="S359" t="s">
        <v>48</v>
      </c>
      <c r="T359" s="35">
        <v>6</v>
      </c>
      <c r="U359" t="s">
        <v>866</v>
      </c>
      <c r="V359" s="27">
        <v>400</v>
      </c>
      <c r="W359" s="9">
        <v>1.7</v>
      </c>
      <c r="X359" s="9">
        <f t="shared" si="135"/>
        <v>680</v>
      </c>
      <c r="Z359" s="10">
        <v>46114</v>
      </c>
      <c r="AA359" s="10">
        <v>46134</v>
      </c>
      <c r="AB359" s="10">
        <v>46152</v>
      </c>
      <c r="AC359" s="10">
        <v>46217</v>
      </c>
      <c r="AD359" s="31">
        <f t="shared" ca="1" si="146"/>
        <v>1</v>
      </c>
      <c r="AE359" s="36">
        <v>1</v>
      </c>
      <c r="AF359" t="s">
        <v>62</v>
      </c>
      <c r="AG359" s="10" t="s">
        <v>78</v>
      </c>
      <c r="AI359" s="9" t="s">
        <v>53</v>
      </c>
      <c r="AL359" t="s">
        <v>2072</v>
      </c>
      <c r="AM359" s="27" t="str">
        <f t="shared" si="147"/>
        <v>Atrasado</v>
      </c>
      <c r="AN359" s="27" t="str">
        <f t="shared" ca="1" si="137"/>
        <v>No prazo</v>
      </c>
      <c r="AO359" s="27" t="str">
        <f t="shared" ca="1" si="128"/>
        <v/>
      </c>
    </row>
    <row r="360" spans="1:43" ht="15" hidden="1" customHeight="1">
      <c r="D360" t="s">
        <v>1614</v>
      </c>
      <c r="E360" s="23" t="s">
        <v>1615</v>
      </c>
      <c r="I360" s="26"/>
      <c r="L360" s="27" t="str">
        <f t="shared" si="136"/>
        <v xml:space="preserve"> </v>
      </c>
      <c r="N360" s="27" t="str">
        <f t="shared" si="134"/>
        <v xml:space="preserve"> </v>
      </c>
      <c r="O360" s="27">
        <f t="shared" si="126"/>
        <v>0</v>
      </c>
      <c r="P360" s="28" t="str">
        <f t="shared" si="129"/>
        <v>On time</v>
      </c>
      <c r="Q360" s="27">
        <f t="shared" si="127"/>
        <v>0</v>
      </c>
      <c r="R360" s="29" t="s">
        <v>125</v>
      </c>
      <c r="S360" s="12" t="s">
        <v>51</v>
      </c>
      <c r="T360" s="35">
        <v>1</v>
      </c>
      <c r="U360" t="s">
        <v>539</v>
      </c>
      <c r="V360" s="31">
        <v>1</v>
      </c>
      <c r="W360" s="9">
        <v>3.43</v>
      </c>
      <c r="X360" s="9">
        <f t="shared" si="135"/>
        <v>3.43</v>
      </c>
      <c r="Z360" s="10">
        <v>46038</v>
      </c>
      <c r="AA360" s="10">
        <v>46040</v>
      </c>
      <c r="AB360" s="10">
        <v>46043</v>
      </c>
      <c r="AC360" s="10">
        <v>46127</v>
      </c>
      <c r="AD360" s="31">
        <f t="shared" ref="AD360:AD419" ca="1" si="148">TODAY()-AA360</f>
        <v>95</v>
      </c>
      <c r="AE360" s="55">
        <v>1</v>
      </c>
      <c r="AF360" s="9" t="s">
        <v>155</v>
      </c>
      <c r="AG360" s="10" t="s">
        <v>78</v>
      </c>
      <c r="AI360" s="9" t="s">
        <v>53</v>
      </c>
      <c r="AJ360" s="10">
        <v>46067</v>
      </c>
      <c r="AK360" s="10">
        <v>46114</v>
      </c>
      <c r="AL360" s="9" t="s">
        <v>1956</v>
      </c>
      <c r="AM360" s="27" t="str">
        <f t="shared" si="147"/>
        <v>On time</v>
      </c>
      <c r="AN360" s="27" t="str">
        <f ca="1">IF(AND(AC360&lt;&gt;"",AC360&lt;=TODAY()),"Chegou",IF(A360="","Estoque",IF(OR(AC360="",I360=""),"",IF(I360-AC360&lt;=0,"Atrasado",IF(I360-AC360&lt;=9,"Crítico",IF(I360-AC360&lt;=20,"Verificar aéreo",IF(I360-AC360&lt;=25,"Alerta","No prazo")        ))))))</f>
        <v>Chegou</v>
      </c>
      <c r="AO360" s="27" t="str">
        <f t="shared" ca="1" si="128"/>
        <v>Chegou HCI</v>
      </c>
      <c r="AP360" t="s">
        <v>289</v>
      </c>
      <c r="AQ360" t="s">
        <v>2210</v>
      </c>
    </row>
    <row r="361" spans="1:43" ht="15" hidden="1" customHeight="1">
      <c r="D361" t="s">
        <v>1616</v>
      </c>
      <c r="E361" s="23" t="s">
        <v>1617</v>
      </c>
      <c r="I361" s="26"/>
      <c r="L361" s="27" t="str">
        <f t="shared" si="136"/>
        <v xml:space="preserve"> </v>
      </c>
      <c r="N361" s="27" t="str">
        <f t="shared" si="134"/>
        <v xml:space="preserve"> </v>
      </c>
      <c r="O361" s="27">
        <f t="shared" si="126"/>
        <v>0</v>
      </c>
      <c r="P361" s="28" t="str">
        <f t="shared" si="129"/>
        <v>On time</v>
      </c>
      <c r="Q361" s="27">
        <f t="shared" si="127"/>
        <v>0</v>
      </c>
      <c r="R361" s="29" t="s">
        <v>125</v>
      </c>
      <c r="S361" s="12" t="s">
        <v>51</v>
      </c>
      <c r="T361" s="35">
        <v>2</v>
      </c>
      <c r="U361" t="s">
        <v>540</v>
      </c>
      <c r="V361" s="31">
        <v>1</v>
      </c>
      <c r="W361" s="9">
        <v>3.43</v>
      </c>
      <c r="X361" s="9">
        <f t="shared" si="135"/>
        <v>3.43</v>
      </c>
      <c r="Z361" s="10">
        <v>46038</v>
      </c>
      <c r="AA361" s="10">
        <v>46040</v>
      </c>
      <c r="AB361" s="10">
        <v>46043</v>
      </c>
      <c r="AC361" s="10">
        <v>46127</v>
      </c>
      <c r="AD361" s="31">
        <f t="shared" ref="AD361:AD412" ca="1" si="149">TODAY()-AA361</f>
        <v>95</v>
      </c>
      <c r="AE361" s="55">
        <v>1</v>
      </c>
      <c r="AF361" s="9" t="s">
        <v>155</v>
      </c>
      <c r="AG361" s="10" t="s">
        <v>78</v>
      </c>
      <c r="AI361" s="9" t="s">
        <v>53</v>
      </c>
      <c r="AJ361" s="10">
        <v>46067</v>
      </c>
      <c r="AK361" s="10">
        <v>46114</v>
      </c>
      <c r="AL361" s="9" t="s">
        <v>1956</v>
      </c>
      <c r="AM361" s="27" t="str">
        <f t="shared" si="147"/>
        <v>On time</v>
      </c>
      <c r="AN361" s="27" t="str">
        <f t="shared" ca="1" si="137"/>
        <v>Chegou</v>
      </c>
      <c r="AO361" s="27" t="str">
        <f t="shared" ca="1" si="128"/>
        <v>Chegou HCI</v>
      </c>
      <c r="AP361" t="s">
        <v>289</v>
      </c>
      <c r="AQ361" t="s">
        <v>2210</v>
      </c>
    </row>
    <row r="362" spans="1:43" ht="15" hidden="1" customHeight="1">
      <c r="D362" t="s">
        <v>1524</v>
      </c>
      <c r="E362" s="23" t="s">
        <v>1618</v>
      </c>
      <c r="I362" s="26"/>
      <c r="L362" s="27" t="str">
        <f t="shared" si="136"/>
        <v xml:space="preserve"> </v>
      </c>
      <c r="N362" s="27" t="str">
        <f t="shared" si="134"/>
        <v xml:space="preserve"> </v>
      </c>
      <c r="O362" s="27">
        <f t="shared" si="126"/>
        <v>0</v>
      </c>
      <c r="P362" s="28" t="str">
        <f t="shared" si="129"/>
        <v>On time</v>
      </c>
      <c r="Q362" s="27">
        <f t="shared" si="127"/>
        <v>0</v>
      </c>
      <c r="R362" s="29" t="s">
        <v>125</v>
      </c>
      <c r="S362" s="12" t="s">
        <v>51</v>
      </c>
      <c r="T362" s="35">
        <v>3</v>
      </c>
      <c r="U362" t="s">
        <v>541</v>
      </c>
      <c r="V362" s="31">
        <v>2</v>
      </c>
      <c r="W362" s="9">
        <v>3.43</v>
      </c>
      <c r="X362" s="9">
        <f t="shared" si="135"/>
        <v>6.86</v>
      </c>
      <c r="Z362" s="10">
        <v>46038</v>
      </c>
      <c r="AA362" s="10">
        <v>46040</v>
      </c>
      <c r="AB362" s="10">
        <v>46043</v>
      </c>
      <c r="AC362" s="10">
        <v>46127</v>
      </c>
      <c r="AD362" s="31">
        <f t="shared" ca="1" si="149"/>
        <v>95</v>
      </c>
      <c r="AE362" s="55">
        <v>1</v>
      </c>
      <c r="AF362" s="9" t="s">
        <v>155</v>
      </c>
      <c r="AG362" s="10" t="s">
        <v>78</v>
      </c>
      <c r="AI362" s="9" t="s">
        <v>53</v>
      </c>
      <c r="AJ362" s="10">
        <v>46067</v>
      </c>
      <c r="AK362" s="10">
        <v>46114</v>
      </c>
      <c r="AL362" s="9" t="s">
        <v>1956</v>
      </c>
      <c r="AM362" s="27" t="str">
        <f t="shared" si="147"/>
        <v>On time</v>
      </c>
      <c r="AN362" s="27" t="str">
        <f t="shared" ca="1" si="137"/>
        <v>Chegou</v>
      </c>
      <c r="AO362" s="27" t="str">
        <f t="shared" ca="1" si="128"/>
        <v>Chegou HCI</v>
      </c>
      <c r="AP362" t="s">
        <v>289</v>
      </c>
      <c r="AQ362" t="s">
        <v>2210</v>
      </c>
    </row>
    <row r="363" spans="1:43" ht="15" hidden="1" customHeight="1">
      <c r="D363" t="s">
        <v>1619</v>
      </c>
      <c r="E363" s="23" t="s">
        <v>1620</v>
      </c>
      <c r="I363" s="26"/>
      <c r="L363" s="27" t="str">
        <f t="shared" si="136"/>
        <v xml:space="preserve"> </v>
      </c>
      <c r="N363" s="27" t="str">
        <f t="shared" si="134"/>
        <v xml:space="preserve"> </v>
      </c>
      <c r="O363" s="27">
        <f t="shared" si="126"/>
        <v>0</v>
      </c>
      <c r="P363" s="28" t="str">
        <f t="shared" si="129"/>
        <v>On time</v>
      </c>
      <c r="Q363" s="27">
        <f t="shared" si="127"/>
        <v>0</v>
      </c>
      <c r="R363" s="29" t="s">
        <v>125</v>
      </c>
      <c r="S363" s="12" t="s">
        <v>51</v>
      </c>
      <c r="T363" s="35">
        <v>4</v>
      </c>
      <c r="U363" t="s">
        <v>542</v>
      </c>
      <c r="V363" s="31">
        <v>3</v>
      </c>
      <c r="W363" s="9">
        <v>3.43</v>
      </c>
      <c r="X363" s="9">
        <f t="shared" si="135"/>
        <v>10.290000000000001</v>
      </c>
      <c r="Z363" s="10">
        <v>46038</v>
      </c>
      <c r="AA363" s="10">
        <v>46040</v>
      </c>
      <c r="AB363" s="10">
        <v>46043</v>
      </c>
      <c r="AC363" s="10">
        <v>46127</v>
      </c>
      <c r="AD363" s="31">
        <f t="shared" ca="1" si="149"/>
        <v>95</v>
      </c>
      <c r="AE363" s="55">
        <v>1</v>
      </c>
      <c r="AF363" s="9" t="s">
        <v>155</v>
      </c>
      <c r="AG363" s="10" t="s">
        <v>78</v>
      </c>
      <c r="AI363" s="9" t="s">
        <v>53</v>
      </c>
      <c r="AJ363" s="10">
        <v>46067</v>
      </c>
      <c r="AK363" s="10">
        <v>46114</v>
      </c>
      <c r="AL363" s="9" t="s">
        <v>1956</v>
      </c>
      <c r="AM363" s="27" t="str">
        <f t="shared" si="147"/>
        <v>On time</v>
      </c>
      <c r="AN363" s="27" t="str">
        <f t="shared" ca="1" si="137"/>
        <v>Chegou</v>
      </c>
      <c r="AO363" s="27" t="str">
        <f t="shared" ca="1" si="128"/>
        <v>Chegou HCI</v>
      </c>
      <c r="AP363" t="s">
        <v>289</v>
      </c>
      <c r="AQ363" t="s">
        <v>2210</v>
      </c>
    </row>
    <row r="364" spans="1:43" ht="15" hidden="1" customHeight="1">
      <c r="D364" t="s">
        <v>1621</v>
      </c>
      <c r="E364" s="23" t="s">
        <v>1622</v>
      </c>
      <c r="I364" s="26"/>
      <c r="L364" s="27" t="str">
        <f t="shared" si="136"/>
        <v xml:space="preserve"> </v>
      </c>
      <c r="N364" s="27" t="str">
        <f t="shared" si="134"/>
        <v xml:space="preserve"> </v>
      </c>
      <c r="O364" s="27">
        <f t="shared" si="126"/>
        <v>0</v>
      </c>
      <c r="P364" s="28" t="str">
        <f t="shared" si="129"/>
        <v>On time</v>
      </c>
      <c r="Q364" s="27">
        <f t="shared" si="127"/>
        <v>0</v>
      </c>
      <c r="R364" s="29" t="s">
        <v>125</v>
      </c>
      <c r="S364" s="12" t="s">
        <v>51</v>
      </c>
      <c r="T364" s="35">
        <v>5</v>
      </c>
      <c r="U364" t="s">
        <v>543</v>
      </c>
      <c r="V364" s="31">
        <v>1</v>
      </c>
      <c r="W364" s="9">
        <v>3.43</v>
      </c>
      <c r="X364" s="9">
        <f t="shared" si="135"/>
        <v>3.43</v>
      </c>
      <c r="Z364" s="10">
        <v>46038</v>
      </c>
      <c r="AA364" s="10">
        <v>46040</v>
      </c>
      <c r="AB364" s="10">
        <v>46043</v>
      </c>
      <c r="AC364" s="10">
        <v>46127</v>
      </c>
      <c r="AD364" s="31">
        <f t="shared" ca="1" si="149"/>
        <v>95</v>
      </c>
      <c r="AE364" s="55">
        <v>1</v>
      </c>
      <c r="AF364" s="9" t="s">
        <v>155</v>
      </c>
      <c r="AG364" s="10" t="s">
        <v>78</v>
      </c>
      <c r="AI364" s="9" t="s">
        <v>53</v>
      </c>
      <c r="AJ364" s="10">
        <v>46067</v>
      </c>
      <c r="AK364" s="10">
        <v>46114</v>
      </c>
      <c r="AL364" s="9" t="s">
        <v>1956</v>
      </c>
      <c r="AM364" s="27" t="str">
        <f t="shared" si="147"/>
        <v>On time</v>
      </c>
      <c r="AN364" s="27" t="str">
        <f t="shared" ca="1" si="137"/>
        <v>Chegou</v>
      </c>
      <c r="AO364" s="27" t="str">
        <f t="shared" ca="1" si="128"/>
        <v>Chegou HCI</v>
      </c>
      <c r="AP364" t="s">
        <v>289</v>
      </c>
      <c r="AQ364" t="s">
        <v>2210</v>
      </c>
    </row>
    <row r="365" spans="1:43" ht="15" hidden="1" customHeight="1">
      <c r="D365" t="s">
        <v>1623</v>
      </c>
      <c r="E365" s="23" t="s">
        <v>1624</v>
      </c>
      <c r="I365" s="26"/>
      <c r="L365" s="27" t="str">
        <f t="shared" si="136"/>
        <v xml:space="preserve"> </v>
      </c>
      <c r="N365" s="27" t="str">
        <f t="shared" si="134"/>
        <v xml:space="preserve"> </v>
      </c>
      <c r="O365" s="27">
        <f t="shared" si="126"/>
        <v>0</v>
      </c>
      <c r="P365" s="28" t="str">
        <f t="shared" si="129"/>
        <v>On time</v>
      </c>
      <c r="Q365" s="27">
        <f t="shared" si="127"/>
        <v>0</v>
      </c>
      <c r="R365" s="29" t="s">
        <v>125</v>
      </c>
      <c r="S365" s="12" t="s">
        <v>51</v>
      </c>
      <c r="T365" s="35">
        <v>6</v>
      </c>
      <c r="U365" t="s">
        <v>544</v>
      </c>
      <c r="V365" s="31">
        <v>6</v>
      </c>
      <c r="W365" s="9">
        <v>10.72</v>
      </c>
      <c r="X365" s="9">
        <f t="shared" si="135"/>
        <v>64.320000000000007</v>
      </c>
      <c r="Z365" s="10">
        <v>46038</v>
      </c>
      <c r="AA365" s="10">
        <v>46040</v>
      </c>
      <c r="AB365" s="10">
        <v>46043</v>
      </c>
      <c r="AC365" s="10">
        <v>46127</v>
      </c>
      <c r="AD365" s="31">
        <f t="shared" ca="1" si="149"/>
        <v>95</v>
      </c>
      <c r="AE365" s="55">
        <v>1</v>
      </c>
      <c r="AF365" s="9" t="s">
        <v>155</v>
      </c>
      <c r="AG365" s="10" t="s">
        <v>78</v>
      </c>
      <c r="AI365" s="9" t="s">
        <v>53</v>
      </c>
      <c r="AJ365" s="10">
        <v>46067</v>
      </c>
      <c r="AK365" s="10">
        <v>46114</v>
      </c>
      <c r="AL365" s="9" t="s">
        <v>1956</v>
      </c>
      <c r="AM365" s="27" t="str">
        <f t="shared" si="147"/>
        <v>On time</v>
      </c>
      <c r="AN365" s="27" t="str">
        <f t="shared" ca="1" si="137"/>
        <v>Chegou</v>
      </c>
      <c r="AO365" s="27" t="str">
        <f t="shared" ca="1" si="128"/>
        <v>Chegou HCI</v>
      </c>
      <c r="AP365" t="s">
        <v>289</v>
      </c>
      <c r="AQ365" t="s">
        <v>2210</v>
      </c>
    </row>
    <row r="366" spans="1:43" ht="15" hidden="1" customHeight="1">
      <c r="D366" t="s">
        <v>1625</v>
      </c>
      <c r="E366" s="23" t="s">
        <v>1626</v>
      </c>
      <c r="I366" s="26"/>
      <c r="L366" s="27" t="str">
        <f t="shared" si="136"/>
        <v xml:space="preserve"> </v>
      </c>
      <c r="N366" s="27" t="str">
        <f t="shared" si="134"/>
        <v xml:space="preserve"> </v>
      </c>
      <c r="O366" s="27">
        <f t="shared" si="126"/>
        <v>0</v>
      </c>
      <c r="P366" s="28" t="str">
        <f t="shared" si="129"/>
        <v>On time</v>
      </c>
      <c r="Q366" s="27">
        <f t="shared" si="127"/>
        <v>0</v>
      </c>
      <c r="R366" s="29" t="s">
        <v>125</v>
      </c>
      <c r="S366" s="12" t="s">
        <v>51</v>
      </c>
      <c r="T366" s="35">
        <v>7</v>
      </c>
      <c r="U366" t="s">
        <v>545</v>
      </c>
      <c r="V366" s="31">
        <v>2</v>
      </c>
      <c r="W366" s="9">
        <v>7.73</v>
      </c>
      <c r="X366" s="9">
        <f t="shared" si="135"/>
        <v>15.46</v>
      </c>
      <c r="Z366" s="10">
        <v>46038</v>
      </c>
      <c r="AA366" s="10">
        <v>46040</v>
      </c>
      <c r="AB366" s="10">
        <v>46043</v>
      </c>
      <c r="AC366" s="10">
        <v>46127</v>
      </c>
      <c r="AD366" s="31">
        <f t="shared" ca="1" si="149"/>
        <v>95</v>
      </c>
      <c r="AE366" s="55">
        <v>1</v>
      </c>
      <c r="AF366" s="9" t="s">
        <v>155</v>
      </c>
      <c r="AG366" s="10" t="s">
        <v>78</v>
      </c>
      <c r="AI366" s="9" t="s">
        <v>53</v>
      </c>
      <c r="AJ366" s="10">
        <v>46067</v>
      </c>
      <c r="AK366" s="10">
        <v>46114</v>
      </c>
      <c r="AL366" s="9" t="s">
        <v>1956</v>
      </c>
      <c r="AM366" s="27" t="str">
        <f t="shared" si="147"/>
        <v>On time</v>
      </c>
      <c r="AN366" s="27" t="str">
        <f t="shared" ca="1" si="137"/>
        <v>Chegou</v>
      </c>
      <c r="AO366" s="27" t="str">
        <f t="shared" ca="1" si="128"/>
        <v>Chegou HCI</v>
      </c>
      <c r="AP366" t="s">
        <v>289</v>
      </c>
      <c r="AQ366" t="s">
        <v>2210</v>
      </c>
    </row>
    <row r="367" spans="1:43" ht="15" hidden="1" customHeight="1">
      <c r="D367" t="s">
        <v>1627</v>
      </c>
      <c r="E367" s="23" t="s">
        <v>1628</v>
      </c>
      <c r="I367" s="26"/>
      <c r="L367" s="27" t="str">
        <f t="shared" si="136"/>
        <v xml:space="preserve"> </v>
      </c>
      <c r="N367" s="27" t="str">
        <f t="shared" si="134"/>
        <v xml:space="preserve"> </v>
      </c>
      <c r="O367" s="27">
        <f t="shared" si="126"/>
        <v>0</v>
      </c>
      <c r="P367" s="28" t="str">
        <f t="shared" si="129"/>
        <v>On time</v>
      </c>
      <c r="Q367" s="27">
        <f t="shared" si="127"/>
        <v>0</v>
      </c>
      <c r="R367" s="29" t="s">
        <v>125</v>
      </c>
      <c r="S367" s="12" t="s">
        <v>51</v>
      </c>
      <c r="T367" s="35">
        <v>8</v>
      </c>
      <c r="U367" t="s">
        <v>546</v>
      </c>
      <c r="V367" s="31">
        <v>3</v>
      </c>
      <c r="W367" s="9">
        <v>3.43</v>
      </c>
      <c r="X367" s="9">
        <f t="shared" si="135"/>
        <v>10.290000000000001</v>
      </c>
      <c r="Z367" s="10">
        <v>46038</v>
      </c>
      <c r="AA367" s="10">
        <v>46040</v>
      </c>
      <c r="AB367" s="10">
        <v>46043</v>
      </c>
      <c r="AC367" s="10">
        <v>46127</v>
      </c>
      <c r="AD367" s="31">
        <f t="shared" ca="1" si="149"/>
        <v>95</v>
      </c>
      <c r="AE367" s="55">
        <v>1</v>
      </c>
      <c r="AF367" s="9" t="s">
        <v>155</v>
      </c>
      <c r="AG367" s="10" t="s">
        <v>78</v>
      </c>
      <c r="AI367" s="9" t="s">
        <v>53</v>
      </c>
      <c r="AJ367" s="10">
        <v>46067</v>
      </c>
      <c r="AK367" s="10">
        <v>46114</v>
      </c>
      <c r="AL367" s="9" t="s">
        <v>1956</v>
      </c>
      <c r="AM367" s="27" t="str">
        <f t="shared" si="147"/>
        <v>On time</v>
      </c>
      <c r="AN367" s="27" t="str">
        <f t="shared" ca="1" si="137"/>
        <v>Chegou</v>
      </c>
      <c r="AO367" s="27" t="str">
        <f t="shared" ca="1" si="128"/>
        <v>Chegou HCI</v>
      </c>
      <c r="AP367" t="s">
        <v>289</v>
      </c>
      <c r="AQ367" t="s">
        <v>2210</v>
      </c>
    </row>
    <row r="368" spans="1:43" ht="15" hidden="1" customHeight="1">
      <c r="D368" t="s">
        <v>1629</v>
      </c>
      <c r="E368" s="23" t="s">
        <v>1630</v>
      </c>
      <c r="I368" s="26"/>
      <c r="L368" s="27" t="str">
        <f t="shared" si="136"/>
        <v xml:space="preserve"> </v>
      </c>
      <c r="N368" s="27" t="str">
        <f t="shared" si="134"/>
        <v xml:space="preserve"> </v>
      </c>
      <c r="O368" s="27">
        <f t="shared" si="126"/>
        <v>0</v>
      </c>
      <c r="P368" s="28" t="str">
        <f t="shared" si="129"/>
        <v>On time</v>
      </c>
      <c r="Q368" s="27">
        <f t="shared" si="127"/>
        <v>0</v>
      </c>
      <c r="R368" s="29" t="s">
        <v>125</v>
      </c>
      <c r="S368" s="12" t="s">
        <v>51</v>
      </c>
      <c r="T368" s="35">
        <v>9</v>
      </c>
      <c r="U368" t="s">
        <v>547</v>
      </c>
      <c r="V368" s="31">
        <v>1</v>
      </c>
      <c r="W368" s="9">
        <v>7.73</v>
      </c>
      <c r="X368" s="9">
        <f t="shared" si="135"/>
        <v>7.73</v>
      </c>
      <c r="Z368" s="10">
        <v>46038</v>
      </c>
      <c r="AA368" s="10">
        <v>46040</v>
      </c>
      <c r="AB368" s="10">
        <v>46043</v>
      </c>
      <c r="AC368" s="10">
        <v>46127</v>
      </c>
      <c r="AD368" s="31">
        <f t="shared" ca="1" si="149"/>
        <v>95</v>
      </c>
      <c r="AE368" s="55">
        <v>1</v>
      </c>
      <c r="AF368" s="9" t="s">
        <v>155</v>
      </c>
      <c r="AG368" s="10" t="s">
        <v>78</v>
      </c>
      <c r="AI368" s="9" t="s">
        <v>53</v>
      </c>
      <c r="AJ368" s="10">
        <v>46067</v>
      </c>
      <c r="AK368" s="10">
        <v>46114</v>
      </c>
      <c r="AL368" s="9" t="s">
        <v>1956</v>
      </c>
      <c r="AM368" s="27" t="str">
        <f t="shared" si="147"/>
        <v>On time</v>
      </c>
      <c r="AN368" s="27" t="str">
        <f t="shared" ca="1" si="137"/>
        <v>Chegou</v>
      </c>
      <c r="AO368" s="27" t="str">
        <f t="shared" ca="1" si="128"/>
        <v>Chegou HCI</v>
      </c>
      <c r="AP368" t="s">
        <v>289</v>
      </c>
      <c r="AQ368" t="s">
        <v>2210</v>
      </c>
    </row>
    <row r="369" spans="4:43" ht="15" hidden="1" customHeight="1">
      <c r="D369" t="s">
        <v>1631</v>
      </c>
      <c r="E369" s="23" t="s">
        <v>1632</v>
      </c>
      <c r="I369" s="26"/>
      <c r="L369" s="27" t="str">
        <f t="shared" si="136"/>
        <v xml:space="preserve"> </v>
      </c>
      <c r="N369" s="27" t="str">
        <f t="shared" si="134"/>
        <v xml:space="preserve"> </v>
      </c>
      <c r="O369" s="27">
        <f t="shared" si="126"/>
        <v>0</v>
      </c>
      <c r="P369" s="28" t="str">
        <f t="shared" si="129"/>
        <v>On time</v>
      </c>
      <c r="Q369" s="27">
        <f t="shared" si="127"/>
        <v>0</v>
      </c>
      <c r="R369" s="29" t="s">
        <v>125</v>
      </c>
      <c r="S369" s="12" t="s">
        <v>51</v>
      </c>
      <c r="T369" s="35">
        <v>10</v>
      </c>
      <c r="U369" t="s">
        <v>548</v>
      </c>
      <c r="V369" s="31">
        <v>1</v>
      </c>
      <c r="W369" s="9">
        <v>3.43</v>
      </c>
      <c r="X369" s="9">
        <f t="shared" si="135"/>
        <v>3.43</v>
      </c>
      <c r="Z369" s="10">
        <v>46038</v>
      </c>
      <c r="AA369" s="10">
        <v>46040</v>
      </c>
      <c r="AB369" s="10">
        <v>46043</v>
      </c>
      <c r="AC369" s="10">
        <v>46127</v>
      </c>
      <c r="AD369" s="31">
        <f t="shared" ca="1" si="149"/>
        <v>95</v>
      </c>
      <c r="AE369" s="55">
        <v>1</v>
      </c>
      <c r="AF369" s="9" t="s">
        <v>155</v>
      </c>
      <c r="AG369" s="10" t="s">
        <v>78</v>
      </c>
      <c r="AI369" s="9" t="s">
        <v>53</v>
      </c>
      <c r="AJ369" s="10">
        <v>46067</v>
      </c>
      <c r="AK369" s="10">
        <v>46114</v>
      </c>
      <c r="AL369" s="9" t="s">
        <v>1956</v>
      </c>
      <c r="AM369" s="27" t="str">
        <f t="shared" si="147"/>
        <v>On time</v>
      </c>
      <c r="AN369" s="27" t="str">
        <f t="shared" ca="1" si="137"/>
        <v>Chegou</v>
      </c>
      <c r="AO369" s="27" t="str">
        <f t="shared" ca="1" si="128"/>
        <v>Chegou HCI</v>
      </c>
      <c r="AP369" t="s">
        <v>289</v>
      </c>
      <c r="AQ369" t="s">
        <v>2210</v>
      </c>
    </row>
    <row r="370" spans="4:43" ht="15" hidden="1" customHeight="1">
      <c r="D370" t="s">
        <v>1631</v>
      </c>
      <c r="E370" s="23" t="s">
        <v>1632</v>
      </c>
      <c r="I370" s="26"/>
      <c r="L370" s="27" t="str">
        <f t="shared" si="136"/>
        <v xml:space="preserve"> </v>
      </c>
      <c r="N370" s="27" t="str">
        <f t="shared" si="134"/>
        <v xml:space="preserve"> </v>
      </c>
      <c r="O370" s="27">
        <f t="shared" si="126"/>
        <v>0</v>
      </c>
      <c r="P370" s="28" t="str">
        <f t="shared" si="129"/>
        <v>On time</v>
      </c>
      <c r="Q370" s="27">
        <f t="shared" si="127"/>
        <v>0</v>
      </c>
      <c r="R370" s="29" t="s">
        <v>125</v>
      </c>
      <c r="S370" s="12" t="s">
        <v>51</v>
      </c>
      <c r="T370" s="35">
        <v>11</v>
      </c>
      <c r="U370" t="s">
        <v>548</v>
      </c>
      <c r="V370" s="31">
        <v>2</v>
      </c>
      <c r="W370" s="9">
        <v>3.43</v>
      </c>
      <c r="X370" s="9">
        <f t="shared" si="135"/>
        <v>6.86</v>
      </c>
      <c r="Z370" s="10">
        <v>46038</v>
      </c>
      <c r="AA370" s="10">
        <v>46040</v>
      </c>
      <c r="AB370" s="10">
        <v>46043</v>
      </c>
      <c r="AC370" s="10">
        <v>46127</v>
      </c>
      <c r="AD370" s="31">
        <f t="shared" ca="1" si="149"/>
        <v>95</v>
      </c>
      <c r="AE370" s="55">
        <v>1</v>
      </c>
      <c r="AF370" s="9" t="s">
        <v>155</v>
      </c>
      <c r="AG370" s="10" t="s">
        <v>78</v>
      </c>
      <c r="AI370" s="9" t="s">
        <v>53</v>
      </c>
      <c r="AJ370" s="10">
        <v>46067</v>
      </c>
      <c r="AK370" s="10">
        <v>46114</v>
      </c>
      <c r="AL370" s="9" t="s">
        <v>1956</v>
      </c>
      <c r="AM370" s="27" t="str">
        <f t="shared" si="147"/>
        <v>On time</v>
      </c>
      <c r="AN370" s="27" t="str">
        <f t="shared" ca="1" si="137"/>
        <v>Chegou</v>
      </c>
      <c r="AO370" s="27" t="str">
        <f t="shared" ca="1" si="128"/>
        <v>Chegou HCI</v>
      </c>
      <c r="AP370" t="s">
        <v>289</v>
      </c>
      <c r="AQ370" t="s">
        <v>2210</v>
      </c>
    </row>
    <row r="371" spans="4:43" ht="15" hidden="1" customHeight="1">
      <c r="D371" t="s">
        <v>1633</v>
      </c>
      <c r="E371" s="23" t="s">
        <v>1634</v>
      </c>
      <c r="I371" s="26"/>
      <c r="L371" s="27" t="str">
        <f t="shared" si="136"/>
        <v xml:space="preserve"> </v>
      </c>
      <c r="N371" s="27" t="str">
        <f t="shared" si="134"/>
        <v xml:space="preserve"> </v>
      </c>
      <c r="O371" s="27">
        <f t="shared" ref="O371:O434" si="150">M371-J371</f>
        <v>0</v>
      </c>
      <c r="P371" s="28" t="str">
        <f t="shared" si="129"/>
        <v>On time</v>
      </c>
      <c r="Q371" s="27">
        <f t="shared" ref="Q371:Q434" si="151">I371-J371</f>
        <v>0</v>
      </c>
      <c r="R371" s="29" t="s">
        <v>125</v>
      </c>
      <c r="S371" s="12" t="s">
        <v>51</v>
      </c>
      <c r="T371" s="35">
        <v>12</v>
      </c>
      <c r="U371" t="s">
        <v>549</v>
      </c>
      <c r="V371" s="31">
        <v>3</v>
      </c>
      <c r="W371" s="9">
        <v>3.43</v>
      </c>
      <c r="X371" s="9">
        <f t="shared" si="135"/>
        <v>10.290000000000001</v>
      </c>
      <c r="Z371" s="10">
        <v>46038</v>
      </c>
      <c r="AA371" s="10">
        <v>46040</v>
      </c>
      <c r="AB371" s="10">
        <v>46043</v>
      </c>
      <c r="AC371" s="10">
        <v>46127</v>
      </c>
      <c r="AD371" s="31">
        <f t="shared" ca="1" si="149"/>
        <v>95</v>
      </c>
      <c r="AE371" s="55">
        <v>1</v>
      </c>
      <c r="AF371" s="9" t="s">
        <v>155</v>
      </c>
      <c r="AG371" s="10" t="s">
        <v>78</v>
      </c>
      <c r="AI371" s="9" t="s">
        <v>53</v>
      </c>
      <c r="AJ371" s="10">
        <v>46067</v>
      </c>
      <c r="AK371" s="10">
        <v>46114</v>
      </c>
      <c r="AL371" s="9" t="s">
        <v>1956</v>
      </c>
      <c r="AM371" s="27" t="str">
        <f t="shared" si="147"/>
        <v>On time</v>
      </c>
      <c r="AN371" s="27" t="str">
        <f t="shared" ca="1" si="137"/>
        <v>Chegou</v>
      </c>
      <c r="AO371" s="27" t="str">
        <f t="shared" ca="1" si="128"/>
        <v>Chegou HCI</v>
      </c>
      <c r="AP371" t="s">
        <v>289</v>
      </c>
      <c r="AQ371" t="s">
        <v>2210</v>
      </c>
    </row>
    <row r="372" spans="4:43" ht="15" hidden="1" customHeight="1">
      <c r="D372" t="s">
        <v>1635</v>
      </c>
      <c r="E372" s="23" t="s">
        <v>1636</v>
      </c>
      <c r="I372" s="26"/>
      <c r="L372" s="27" t="str">
        <f t="shared" si="136"/>
        <v xml:space="preserve"> </v>
      </c>
      <c r="N372" s="27" t="str">
        <f t="shared" si="134"/>
        <v xml:space="preserve"> </v>
      </c>
      <c r="O372" s="27">
        <f t="shared" si="150"/>
        <v>0</v>
      </c>
      <c r="P372" s="28" t="str">
        <f t="shared" si="129"/>
        <v>On time</v>
      </c>
      <c r="Q372" s="27">
        <f t="shared" si="151"/>
        <v>0</v>
      </c>
      <c r="R372" s="29" t="s">
        <v>125</v>
      </c>
      <c r="S372" s="12" t="s">
        <v>51</v>
      </c>
      <c r="T372" s="35">
        <v>13</v>
      </c>
      <c r="U372" t="s">
        <v>550</v>
      </c>
      <c r="V372" s="31">
        <v>4</v>
      </c>
      <c r="W372" s="9">
        <v>3.6</v>
      </c>
      <c r="X372" s="9">
        <f t="shared" si="135"/>
        <v>14.4</v>
      </c>
      <c r="Z372" s="10">
        <v>46038</v>
      </c>
      <c r="AA372" s="10">
        <v>46040</v>
      </c>
      <c r="AB372" s="10">
        <v>46043</v>
      </c>
      <c r="AC372" s="10">
        <v>46127</v>
      </c>
      <c r="AD372" s="31">
        <f t="shared" ca="1" si="149"/>
        <v>95</v>
      </c>
      <c r="AE372" s="55">
        <v>1</v>
      </c>
      <c r="AF372" s="9" t="s">
        <v>155</v>
      </c>
      <c r="AG372" s="10" t="s">
        <v>78</v>
      </c>
      <c r="AI372" s="9" t="s">
        <v>53</v>
      </c>
      <c r="AJ372" s="10">
        <v>46067</v>
      </c>
      <c r="AK372" s="10">
        <v>46114</v>
      </c>
      <c r="AL372" s="9" t="s">
        <v>1956</v>
      </c>
      <c r="AM372" s="27" t="str">
        <f t="shared" si="147"/>
        <v>On time</v>
      </c>
      <c r="AN372" s="27" t="str">
        <f t="shared" ca="1" si="137"/>
        <v>Chegou</v>
      </c>
      <c r="AO372" s="27" t="str">
        <f t="shared" ca="1" si="128"/>
        <v>Chegou HCI</v>
      </c>
      <c r="AP372" t="s">
        <v>289</v>
      </c>
      <c r="AQ372" t="s">
        <v>2210</v>
      </c>
    </row>
    <row r="373" spans="4:43" ht="15" hidden="1" customHeight="1">
      <c r="D373" t="s">
        <v>1637</v>
      </c>
      <c r="E373" s="23" t="s">
        <v>1638</v>
      </c>
      <c r="I373" s="26"/>
      <c r="L373" s="27" t="str">
        <f t="shared" si="136"/>
        <v xml:space="preserve"> </v>
      </c>
      <c r="N373" s="27" t="str">
        <f t="shared" si="134"/>
        <v xml:space="preserve"> </v>
      </c>
      <c r="O373" s="27">
        <f t="shared" si="150"/>
        <v>0</v>
      </c>
      <c r="P373" s="28" t="str">
        <f t="shared" si="129"/>
        <v>On time</v>
      </c>
      <c r="Q373" s="27">
        <f t="shared" si="151"/>
        <v>0</v>
      </c>
      <c r="R373" s="29" t="s">
        <v>125</v>
      </c>
      <c r="S373" s="12" t="s">
        <v>51</v>
      </c>
      <c r="T373" s="35">
        <v>14</v>
      </c>
      <c r="U373" t="s">
        <v>551</v>
      </c>
      <c r="V373" s="31">
        <v>1</v>
      </c>
      <c r="W373" s="9">
        <v>1.88</v>
      </c>
      <c r="X373" s="9">
        <f t="shared" si="135"/>
        <v>1.88</v>
      </c>
      <c r="Z373" s="10">
        <v>46038</v>
      </c>
      <c r="AA373" s="10">
        <v>46040</v>
      </c>
      <c r="AB373" s="10">
        <v>46043</v>
      </c>
      <c r="AC373" s="10">
        <v>46127</v>
      </c>
      <c r="AD373" s="31">
        <f t="shared" ca="1" si="149"/>
        <v>95</v>
      </c>
      <c r="AE373" s="55">
        <v>1</v>
      </c>
      <c r="AF373" s="9" t="s">
        <v>155</v>
      </c>
      <c r="AG373" s="10" t="s">
        <v>78</v>
      </c>
      <c r="AI373" s="9" t="s">
        <v>53</v>
      </c>
      <c r="AJ373" s="10">
        <v>46067</v>
      </c>
      <c r="AK373" s="10">
        <v>46114</v>
      </c>
      <c r="AL373" s="9" t="s">
        <v>1956</v>
      </c>
      <c r="AM373" s="27" t="str">
        <f t="shared" si="147"/>
        <v>On time</v>
      </c>
      <c r="AN373" s="27" t="str">
        <f t="shared" ca="1" si="137"/>
        <v>Chegou</v>
      </c>
      <c r="AO373" s="27" t="str">
        <f t="shared" ca="1" si="128"/>
        <v>Chegou HCI</v>
      </c>
      <c r="AP373" t="s">
        <v>289</v>
      </c>
      <c r="AQ373" t="s">
        <v>2210</v>
      </c>
    </row>
    <row r="374" spans="4:43" ht="15" hidden="1" customHeight="1">
      <c r="D374" t="s">
        <v>1639</v>
      </c>
      <c r="E374" s="23" t="s">
        <v>1640</v>
      </c>
      <c r="I374" s="26"/>
      <c r="L374" s="27" t="str">
        <f t="shared" si="136"/>
        <v xml:space="preserve"> </v>
      </c>
      <c r="N374" s="27" t="str">
        <f t="shared" si="134"/>
        <v xml:space="preserve"> </v>
      </c>
      <c r="O374" s="27">
        <f t="shared" si="150"/>
        <v>0</v>
      </c>
      <c r="P374" s="28" t="str">
        <f t="shared" si="129"/>
        <v>On time</v>
      </c>
      <c r="Q374" s="27">
        <f t="shared" si="151"/>
        <v>0</v>
      </c>
      <c r="R374" s="29" t="s">
        <v>125</v>
      </c>
      <c r="S374" s="12" t="s">
        <v>51</v>
      </c>
      <c r="T374" s="35">
        <v>15</v>
      </c>
      <c r="U374" t="s">
        <v>552</v>
      </c>
      <c r="V374" s="31">
        <v>2</v>
      </c>
      <c r="W374" s="9">
        <v>2</v>
      </c>
      <c r="X374" s="9">
        <f t="shared" si="135"/>
        <v>4</v>
      </c>
      <c r="Z374" s="10">
        <v>46038</v>
      </c>
      <c r="AA374" s="10">
        <v>46040</v>
      </c>
      <c r="AB374" s="10">
        <v>46043</v>
      </c>
      <c r="AC374" s="10">
        <v>46127</v>
      </c>
      <c r="AD374" s="31">
        <f t="shared" ca="1" si="149"/>
        <v>95</v>
      </c>
      <c r="AE374" s="55">
        <v>1</v>
      </c>
      <c r="AF374" s="9" t="s">
        <v>155</v>
      </c>
      <c r="AG374" s="10" t="s">
        <v>78</v>
      </c>
      <c r="AI374" s="9" t="s">
        <v>53</v>
      </c>
      <c r="AJ374" s="10">
        <v>46067</v>
      </c>
      <c r="AK374" s="10">
        <v>46114</v>
      </c>
      <c r="AL374" s="9" t="s">
        <v>1956</v>
      </c>
      <c r="AM374" s="27" t="str">
        <f t="shared" si="147"/>
        <v>On time</v>
      </c>
      <c r="AN374" s="27" t="str">
        <f t="shared" ca="1" si="137"/>
        <v>Chegou</v>
      </c>
      <c r="AO374" s="27" t="str">
        <f t="shared" ca="1" si="128"/>
        <v>Chegou HCI</v>
      </c>
      <c r="AP374" t="s">
        <v>289</v>
      </c>
      <c r="AQ374" t="s">
        <v>2210</v>
      </c>
    </row>
    <row r="375" spans="4:43" ht="15" hidden="1" customHeight="1">
      <c r="D375" t="s">
        <v>1641</v>
      </c>
      <c r="E375" s="23" t="s">
        <v>1642</v>
      </c>
      <c r="I375" s="26"/>
      <c r="L375" s="27" t="str">
        <f t="shared" si="136"/>
        <v xml:space="preserve"> </v>
      </c>
      <c r="N375" s="27" t="str">
        <f t="shared" si="134"/>
        <v xml:space="preserve"> </v>
      </c>
      <c r="O375" s="27">
        <f t="shared" si="150"/>
        <v>0</v>
      </c>
      <c r="P375" s="28" t="str">
        <f t="shared" si="129"/>
        <v>On time</v>
      </c>
      <c r="Q375" s="27">
        <f t="shared" si="151"/>
        <v>0</v>
      </c>
      <c r="R375" s="29" t="s">
        <v>125</v>
      </c>
      <c r="S375" s="12" t="s">
        <v>51</v>
      </c>
      <c r="T375" s="35">
        <v>16</v>
      </c>
      <c r="U375" t="s">
        <v>553</v>
      </c>
      <c r="V375" s="31">
        <v>2</v>
      </c>
      <c r="W375" s="9">
        <v>3.6</v>
      </c>
      <c r="X375" s="9">
        <f t="shared" si="135"/>
        <v>7.2</v>
      </c>
      <c r="Z375" s="10">
        <v>46038</v>
      </c>
      <c r="AA375" s="10">
        <v>46040</v>
      </c>
      <c r="AB375" s="10">
        <v>46043</v>
      </c>
      <c r="AC375" s="10">
        <v>46127</v>
      </c>
      <c r="AD375" s="31">
        <f t="shared" ca="1" si="149"/>
        <v>95</v>
      </c>
      <c r="AE375" s="55">
        <v>1</v>
      </c>
      <c r="AF375" s="9" t="s">
        <v>155</v>
      </c>
      <c r="AG375" s="10" t="s">
        <v>78</v>
      </c>
      <c r="AI375" s="9" t="s">
        <v>53</v>
      </c>
      <c r="AJ375" s="10">
        <v>46067</v>
      </c>
      <c r="AK375" s="10">
        <v>46114</v>
      </c>
      <c r="AL375" s="9" t="s">
        <v>1956</v>
      </c>
      <c r="AM375" s="27" t="str">
        <f t="shared" si="147"/>
        <v>On time</v>
      </c>
      <c r="AN375" s="27" t="str">
        <f t="shared" ca="1" si="137"/>
        <v>Chegou</v>
      </c>
      <c r="AO375" s="27" t="str">
        <f t="shared" ca="1" si="128"/>
        <v>Chegou HCI</v>
      </c>
      <c r="AP375" t="s">
        <v>289</v>
      </c>
      <c r="AQ375" t="s">
        <v>2210</v>
      </c>
    </row>
    <row r="376" spans="4:43" ht="15" hidden="1" customHeight="1">
      <c r="D376" t="s">
        <v>1643</v>
      </c>
      <c r="E376" s="23" t="s">
        <v>1644</v>
      </c>
      <c r="I376" s="26"/>
      <c r="L376" s="27" t="str">
        <f t="shared" si="136"/>
        <v xml:space="preserve"> </v>
      </c>
      <c r="N376" s="27" t="str">
        <f t="shared" si="134"/>
        <v xml:space="preserve"> </v>
      </c>
      <c r="O376" s="27">
        <f t="shared" si="150"/>
        <v>0</v>
      </c>
      <c r="P376" s="28" t="str">
        <f t="shared" si="129"/>
        <v>On time</v>
      </c>
      <c r="Q376" s="27">
        <f t="shared" si="151"/>
        <v>0</v>
      </c>
      <c r="R376" s="29" t="s">
        <v>125</v>
      </c>
      <c r="S376" s="12" t="s">
        <v>51</v>
      </c>
      <c r="T376" s="35">
        <v>17</v>
      </c>
      <c r="U376" t="s">
        <v>554</v>
      </c>
      <c r="V376" s="31">
        <v>1</v>
      </c>
      <c r="W376" s="9">
        <v>3.43</v>
      </c>
      <c r="X376" s="9">
        <f t="shared" si="135"/>
        <v>3.43</v>
      </c>
      <c r="Z376" s="10">
        <v>46038</v>
      </c>
      <c r="AA376" s="10">
        <v>46040</v>
      </c>
      <c r="AB376" s="10">
        <v>46043</v>
      </c>
      <c r="AC376" s="10">
        <v>46127</v>
      </c>
      <c r="AD376" s="31">
        <f t="shared" ca="1" si="149"/>
        <v>95</v>
      </c>
      <c r="AE376" s="55">
        <v>1</v>
      </c>
      <c r="AF376" s="9" t="s">
        <v>155</v>
      </c>
      <c r="AG376" s="10" t="s">
        <v>78</v>
      </c>
      <c r="AI376" s="9" t="s">
        <v>53</v>
      </c>
      <c r="AJ376" s="10">
        <v>46067</v>
      </c>
      <c r="AK376" s="10">
        <v>46114</v>
      </c>
      <c r="AL376" s="9" t="s">
        <v>1956</v>
      </c>
      <c r="AM376" s="27" t="str">
        <f t="shared" si="147"/>
        <v>On time</v>
      </c>
      <c r="AN376" s="27" t="str">
        <f t="shared" ca="1" si="137"/>
        <v>Chegou</v>
      </c>
      <c r="AO376" s="27" t="str">
        <f t="shared" ca="1" si="128"/>
        <v>Chegou HCI</v>
      </c>
      <c r="AP376" t="s">
        <v>289</v>
      </c>
      <c r="AQ376" t="s">
        <v>2210</v>
      </c>
    </row>
    <row r="377" spans="4:43" ht="15" hidden="1" customHeight="1">
      <c r="D377" t="s">
        <v>1645</v>
      </c>
      <c r="E377" s="23" t="s">
        <v>1646</v>
      </c>
      <c r="I377" s="26"/>
      <c r="L377" s="27" t="str">
        <f t="shared" si="136"/>
        <v xml:space="preserve"> </v>
      </c>
      <c r="N377" s="27" t="str">
        <f t="shared" si="134"/>
        <v xml:space="preserve"> </v>
      </c>
      <c r="O377" s="27">
        <f t="shared" si="150"/>
        <v>0</v>
      </c>
      <c r="P377" s="28" t="str">
        <f t="shared" si="129"/>
        <v>On time</v>
      </c>
      <c r="Q377" s="27">
        <f t="shared" si="151"/>
        <v>0</v>
      </c>
      <c r="R377" s="29" t="s">
        <v>125</v>
      </c>
      <c r="S377" s="12" t="s">
        <v>51</v>
      </c>
      <c r="T377" s="35">
        <v>18</v>
      </c>
      <c r="U377" t="s">
        <v>555</v>
      </c>
      <c r="V377" s="31">
        <v>1</v>
      </c>
      <c r="W377" s="9">
        <v>1.91</v>
      </c>
      <c r="X377" s="9">
        <f t="shared" si="135"/>
        <v>1.91</v>
      </c>
      <c r="Z377" s="10">
        <v>46038</v>
      </c>
      <c r="AA377" s="10">
        <v>46040</v>
      </c>
      <c r="AB377" s="10">
        <v>46043</v>
      </c>
      <c r="AC377" s="10">
        <v>46127</v>
      </c>
      <c r="AD377" s="31">
        <f t="shared" ca="1" si="149"/>
        <v>95</v>
      </c>
      <c r="AE377" s="55">
        <v>1</v>
      </c>
      <c r="AF377" s="9" t="s">
        <v>155</v>
      </c>
      <c r="AG377" s="10" t="s">
        <v>78</v>
      </c>
      <c r="AI377" s="9" t="s">
        <v>53</v>
      </c>
      <c r="AJ377" s="10">
        <v>46067</v>
      </c>
      <c r="AK377" s="10">
        <v>46114</v>
      </c>
      <c r="AL377" s="9" t="s">
        <v>1956</v>
      </c>
      <c r="AM377" s="27" t="str">
        <f t="shared" si="147"/>
        <v>On time</v>
      </c>
      <c r="AN377" s="27" t="str">
        <f t="shared" ca="1" si="137"/>
        <v>Chegou</v>
      </c>
      <c r="AO377" s="27" t="str">
        <f t="shared" ca="1" si="128"/>
        <v>Chegou HCI</v>
      </c>
      <c r="AP377" t="s">
        <v>289</v>
      </c>
      <c r="AQ377" t="s">
        <v>2210</v>
      </c>
    </row>
    <row r="378" spans="4:43" ht="15" hidden="1" customHeight="1">
      <c r="D378" t="s">
        <v>1647</v>
      </c>
      <c r="E378" s="23" t="s">
        <v>1648</v>
      </c>
      <c r="I378" s="26"/>
      <c r="L378" s="27" t="str">
        <f t="shared" si="136"/>
        <v xml:space="preserve"> </v>
      </c>
      <c r="N378" s="27" t="str">
        <f t="shared" si="134"/>
        <v xml:space="preserve"> </v>
      </c>
      <c r="O378" s="27">
        <f t="shared" si="150"/>
        <v>0</v>
      </c>
      <c r="P378" s="28" t="str">
        <f t="shared" si="129"/>
        <v>On time</v>
      </c>
      <c r="Q378" s="27">
        <f t="shared" si="151"/>
        <v>0</v>
      </c>
      <c r="R378" s="29" t="s">
        <v>125</v>
      </c>
      <c r="S378" s="12" t="s">
        <v>51</v>
      </c>
      <c r="T378" s="35">
        <v>19</v>
      </c>
      <c r="U378" t="s">
        <v>556</v>
      </c>
      <c r="V378" s="31">
        <v>16</v>
      </c>
      <c r="W378" s="9">
        <v>1.79</v>
      </c>
      <c r="X378" s="9">
        <f t="shared" si="135"/>
        <v>28.64</v>
      </c>
      <c r="Z378" s="10">
        <v>46038</v>
      </c>
      <c r="AA378" s="10">
        <v>46040</v>
      </c>
      <c r="AB378" s="10">
        <v>46043</v>
      </c>
      <c r="AC378" s="10">
        <v>46127</v>
      </c>
      <c r="AD378" s="31">
        <f t="shared" ca="1" si="149"/>
        <v>95</v>
      </c>
      <c r="AE378" s="55">
        <v>1</v>
      </c>
      <c r="AF378" s="9" t="s">
        <v>155</v>
      </c>
      <c r="AG378" s="10" t="s">
        <v>78</v>
      </c>
      <c r="AI378" s="9" t="s">
        <v>53</v>
      </c>
      <c r="AJ378" s="10">
        <v>46067</v>
      </c>
      <c r="AK378" s="10">
        <v>46114</v>
      </c>
      <c r="AL378" s="9" t="s">
        <v>1956</v>
      </c>
      <c r="AM378" s="27" t="str">
        <f>IF(AB378=0," ",IF(AB378&lt;=AA378+10,"On time","Atrasado"))</f>
        <v>On time</v>
      </c>
      <c r="AN378" s="27" t="str">
        <f t="shared" ca="1" si="137"/>
        <v>Chegou</v>
      </c>
      <c r="AO378" s="27" t="str">
        <f t="shared" ca="1" si="128"/>
        <v>Chegou HCI</v>
      </c>
      <c r="AP378" t="s">
        <v>289</v>
      </c>
      <c r="AQ378" t="s">
        <v>2210</v>
      </c>
    </row>
    <row r="379" spans="4:43" ht="15" hidden="1" customHeight="1">
      <c r="D379" t="s">
        <v>1647</v>
      </c>
      <c r="E379" s="23" t="s">
        <v>1648</v>
      </c>
      <c r="I379" s="26"/>
      <c r="L379" s="27" t="str">
        <f t="shared" si="136"/>
        <v xml:space="preserve"> </v>
      </c>
      <c r="N379" s="27" t="str">
        <f t="shared" si="134"/>
        <v xml:space="preserve"> </v>
      </c>
      <c r="O379" s="27">
        <f t="shared" si="150"/>
        <v>0</v>
      </c>
      <c r="P379" s="28" t="str">
        <f t="shared" si="129"/>
        <v>On time</v>
      </c>
      <c r="Q379" s="27">
        <f t="shared" si="151"/>
        <v>0</v>
      </c>
      <c r="R379" s="29" t="s">
        <v>125</v>
      </c>
      <c r="S379" s="12" t="s">
        <v>51</v>
      </c>
      <c r="T379" s="35">
        <v>20</v>
      </c>
      <c r="U379" t="s">
        <v>556</v>
      </c>
      <c r="V379" s="31">
        <v>2</v>
      </c>
      <c r="W379" s="9">
        <v>1.79</v>
      </c>
      <c r="X379" s="9">
        <f t="shared" si="135"/>
        <v>3.58</v>
      </c>
      <c r="Z379" s="10">
        <v>46038</v>
      </c>
      <c r="AA379" s="10">
        <v>46040</v>
      </c>
      <c r="AB379" s="10">
        <v>46043</v>
      </c>
      <c r="AC379" s="10">
        <v>46127</v>
      </c>
      <c r="AD379" s="31">
        <f t="shared" ca="1" si="149"/>
        <v>95</v>
      </c>
      <c r="AE379" s="55">
        <v>1</v>
      </c>
      <c r="AF379" s="9" t="s">
        <v>155</v>
      </c>
      <c r="AG379" s="10" t="s">
        <v>78</v>
      </c>
      <c r="AI379" s="9" t="s">
        <v>53</v>
      </c>
      <c r="AJ379" s="10">
        <v>46067</v>
      </c>
      <c r="AK379" s="10">
        <v>46114</v>
      </c>
      <c r="AL379" s="9" t="s">
        <v>1956</v>
      </c>
      <c r="AM379" s="27" t="str">
        <f t="shared" ref="AM379:AM400" si="152">IF(AB379=0," ",IF(AB379&lt;=AA379+10,"On time","Atrasado"))</f>
        <v>On time</v>
      </c>
      <c r="AN379" s="27" t="str">
        <f t="shared" ca="1" si="137"/>
        <v>Chegou</v>
      </c>
      <c r="AO379" s="27" t="str">
        <f t="shared" ca="1" si="128"/>
        <v>Chegou HCI</v>
      </c>
      <c r="AP379" t="s">
        <v>289</v>
      </c>
      <c r="AQ379" t="s">
        <v>2210</v>
      </c>
    </row>
    <row r="380" spans="4:43" ht="15" hidden="1" customHeight="1">
      <c r="D380" t="s">
        <v>1649</v>
      </c>
      <c r="E380" s="23" t="s">
        <v>1650</v>
      </c>
      <c r="I380" s="26"/>
      <c r="L380" s="27" t="str">
        <f t="shared" si="136"/>
        <v xml:space="preserve"> </v>
      </c>
      <c r="N380" s="27" t="str">
        <f t="shared" si="134"/>
        <v xml:space="preserve"> </v>
      </c>
      <c r="O380" s="27">
        <f t="shared" si="150"/>
        <v>0</v>
      </c>
      <c r="P380" s="28" t="str">
        <f t="shared" si="129"/>
        <v>On time</v>
      </c>
      <c r="Q380" s="27">
        <f t="shared" si="151"/>
        <v>0</v>
      </c>
      <c r="R380" s="29" t="s">
        <v>125</v>
      </c>
      <c r="S380" s="12" t="s">
        <v>51</v>
      </c>
      <c r="T380" s="35">
        <v>21</v>
      </c>
      <c r="U380" t="s">
        <v>557</v>
      </c>
      <c r="V380" s="31">
        <v>10</v>
      </c>
      <c r="W380" s="9">
        <v>1.91</v>
      </c>
      <c r="X380" s="9">
        <f t="shared" si="135"/>
        <v>19.099999999999998</v>
      </c>
      <c r="Z380" s="10">
        <v>46038</v>
      </c>
      <c r="AA380" s="10">
        <v>46040</v>
      </c>
      <c r="AB380" s="10">
        <v>46043</v>
      </c>
      <c r="AC380" s="10">
        <v>46127</v>
      </c>
      <c r="AD380" s="31">
        <f t="shared" ca="1" si="149"/>
        <v>95</v>
      </c>
      <c r="AE380" s="55">
        <v>1</v>
      </c>
      <c r="AF380" s="9" t="s">
        <v>155</v>
      </c>
      <c r="AG380" s="10" t="s">
        <v>78</v>
      </c>
      <c r="AI380" s="9" t="s">
        <v>53</v>
      </c>
      <c r="AJ380" s="10">
        <v>46067</v>
      </c>
      <c r="AK380" s="10">
        <v>46114</v>
      </c>
      <c r="AL380" s="9" t="s">
        <v>1956</v>
      </c>
      <c r="AM380" s="27" t="str">
        <f t="shared" si="152"/>
        <v>On time</v>
      </c>
      <c r="AN380" s="27" t="str">
        <f t="shared" ca="1" si="137"/>
        <v>Chegou</v>
      </c>
      <c r="AO380" s="27" t="str">
        <f t="shared" ca="1" si="128"/>
        <v>Chegou HCI</v>
      </c>
      <c r="AP380" t="s">
        <v>289</v>
      </c>
      <c r="AQ380" t="s">
        <v>2210</v>
      </c>
    </row>
    <row r="381" spans="4:43" ht="15" hidden="1" customHeight="1">
      <c r="D381" t="s">
        <v>1651</v>
      </c>
      <c r="E381" s="23" t="s">
        <v>1652</v>
      </c>
      <c r="I381" s="26"/>
      <c r="L381" s="27" t="str">
        <f t="shared" si="136"/>
        <v xml:space="preserve"> </v>
      </c>
      <c r="N381" s="27" t="str">
        <f t="shared" si="134"/>
        <v xml:space="preserve"> </v>
      </c>
      <c r="O381" s="27">
        <f t="shared" si="150"/>
        <v>0</v>
      </c>
      <c r="P381" s="28" t="str">
        <f t="shared" si="129"/>
        <v>On time</v>
      </c>
      <c r="Q381" s="27">
        <f t="shared" si="151"/>
        <v>0</v>
      </c>
      <c r="R381" s="29" t="s">
        <v>125</v>
      </c>
      <c r="S381" s="12" t="s">
        <v>51</v>
      </c>
      <c r="T381" s="35">
        <v>22</v>
      </c>
      <c r="U381" t="s">
        <v>558</v>
      </c>
      <c r="V381" s="31">
        <v>4</v>
      </c>
      <c r="W381" s="9">
        <v>1.91</v>
      </c>
      <c r="X381" s="9">
        <f t="shared" si="135"/>
        <v>7.64</v>
      </c>
      <c r="Z381" s="10">
        <v>46038</v>
      </c>
      <c r="AA381" s="10">
        <v>46040</v>
      </c>
      <c r="AB381" s="10">
        <v>46043</v>
      </c>
      <c r="AC381" s="10">
        <v>46127</v>
      </c>
      <c r="AD381" s="31">
        <f t="shared" ca="1" si="149"/>
        <v>95</v>
      </c>
      <c r="AE381" s="55">
        <v>1</v>
      </c>
      <c r="AF381" s="9" t="s">
        <v>155</v>
      </c>
      <c r="AG381" s="10" t="s">
        <v>78</v>
      </c>
      <c r="AI381" s="9" t="s">
        <v>53</v>
      </c>
      <c r="AJ381" s="10">
        <v>46067</v>
      </c>
      <c r="AK381" s="10">
        <v>46114</v>
      </c>
      <c r="AL381" s="9" t="s">
        <v>1956</v>
      </c>
      <c r="AM381" s="27" t="str">
        <f t="shared" si="152"/>
        <v>On time</v>
      </c>
      <c r="AN381" s="27" t="str">
        <f t="shared" ca="1" si="137"/>
        <v>Chegou</v>
      </c>
      <c r="AO381" s="27" t="str">
        <f t="shared" ca="1" si="128"/>
        <v>Chegou HCI</v>
      </c>
      <c r="AP381" t="s">
        <v>289</v>
      </c>
      <c r="AQ381" t="s">
        <v>2210</v>
      </c>
    </row>
    <row r="382" spans="4:43" ht="15" hidden="1" customHeight="1">
      <c r="D382" t="s">
        <v>1653</v>
      </c>
      <c r="E382" s="23" t="s">
        <v>1654</v>
      </c>
      <c r="I382" s="26"/>
      <c r="L382" s="27" t="str">
        <f t="shared" si="136"/>
        <v xml:space="preserve"> </v>
      </c>
      <c r="N382" s="27" t="str">
        <f t="shared" si="134"/>
        <v xml:space="preserve"> </v>
      </c>
      <c r="O382" s="27">
        <f t="shared" si="150"/>
        <v>0</v>
      </c>
      <c r="P382" s="28" t="str">
        <f t="shared" si="129"/>
        <v>On time</v>
      </c>
      <c r="Q382" s="27">
        <f t="shared" si="151"/>
        <v>0</v>
      </c>
      <c r="R382" s="29" t="s">
        <v>125</v>
      </c>
      <c r="S382" s="12" t="s">
        <v>51</v>
      </c>
      <c r="T382" s="35">
        <v>23</v>
      </c>
      <c r="U382" t="s">
        <v>559</v>
      </c>
      <c r="V382" s="31">
        <v>50</v>
      </c>
      <c r="W382" s="9">
        <v>1.79</v>
      </c>
      <c r="X382" s="9">
        <f t="shared" si="135"/>
        <v>89.5</v>
      </c>
      <c r="Z382" s="10">
        <v>46038</v>
      </c>
      <c r="AA382" s="10">
        <v>46040</v>
      </c>
      <c r="AB382" s="10">
        <v>46043</v>
      </c>
      <c r="AC382" s="10">
        <v>46127</v>
      </c>
      <c r="AD382" s="31">
        <f t="shared" ca="1" si="149"/>
        <v>95</v>
      </c>
      <c r="AE382" s="55">
        <v>1</v>
      </c>
      <c r="AF382" s="9" t="s">
        <v>155</v>
      </c>
      <c r="AG382" s="10" t="s">
        <v>78</v>
      </c>
      <c r="AI382" s="9" t="s">
        <v>53</v>
      </c>
      <c r="AJ382" s="10">
        <v>46067</v>
      </c>
      <c r="AK382" s="10">
        <v>46114</v>
      </c>
      <c r="AL382" s="9" t="s">
        <v>1956</v>
      </c>
      <c r="AM382" s="27" t="str">
        <f t="shared" si="152"/>
        <v>On time</v>
      </c>
      <c r="AN382" s="27" t="str">
        <f t="shared" ca="1" si="137"/>
        <v>Chegou</v>
      </c>
      <c r="AO382" s="27" t="str">
        <f t="shared" ca="1" si="128"/>
        <v>Chegou HCI</v>
      </c>
      <c r="AP382" t="s">
        <v>289</v>
      </c>
      <c r="AQ382" t="s">
        <v>2210</v>
      </c>
    </row>
    <row r="383" spans="4:43" ht="15" hidden="1" customHeight="1">
      <c r="D383" t="s">
        <v>1653</v>
      </c>
      <c r="E383" s="23" t="s">
        <v>1654</v>
      </c>
      <c r="I383" s="26"/>
      <c r="L383" s="27" t="str">
        <f t="shared" si="136"/>
        <v xml:space="preserve"> </v>
      </c>
      <c r="N383" s="27" t="str">
        <f t="shared" si="134"/>
        <v xml:space="preserve"> </v>
      </c>
      <c r="O383" s="27">
        <f t="shared" si="150"/>
        <v>0</v>
      </c>
      <c r="P383" s="28" t="str">
        <f t="shared" si="129"/>
        <v>On time</v>
      </c>
      <c r="Q383" s="27">
        <f t="shared" si="151"/>
        <v>0</v>
      </c>
      <c r="R383" s="29" t="s">
        <v>125</v>
      </c>
      <c r="S383" s="12" t="s">
        <v>51</v>
      </c>
      <c r="T383" s="35">
        <v>24</v>
      </c>
      <c r="U383" t="s">
        <v>559</v>
      </c>
      <c r="V383" s="31">
        <v>4</v>
      </c>
      <c r="W383" s="9">
        <v>1.79</v>
      </c>
      <c r="X383" s="9">
        <f t="shared" si="135"/>
        <v>7.16</v>
      </c>
      <c r="Z383" s="10">
        <v>46038</v>
      </c>
      <c r="AA383" s="10">
        <v>46040</v>
      </c>
      <c r="AB383" s="10">
        <v>46043</v>
      </c>
      <c r="AC383" s="10">
        <v>46127</v>
      </c>
      <c r="AD383" s="31">
        <f t="shared" ca="1" si="149"/>
        <v>95</v>
      </c>
      <c r="AE383" s="55">
        <v>1</v>
      </c>
      <c r="AF383" s="9" t="s">
        <v>155</v>
      </c>
      <c r="AG383" s="10" t="s">
        <v>78</v>
      </c>
      <c r="AI383" s="9" t="s">
        <v>53</v>
      </c>
      <c r="AJ383" s="10">
        <v>46067</v>
      </c>
      <c r="AK383" s="10">
        <v>46114</v>
      </c>
      <c r="AL383" s="9" t="s">
        <v>1956</v>
      </c>
      <c r="AM383" s="27" t="str">
        <f t="shared" si="152"/>
        <v>On time</v>
      </c>
      <c r="AN383" s="27" t="str">
        <f t="shared" ca="1" si="137"/>
        <v>Chegou</v>
      </c>
      <c r="AO383" s="27" t="str">
        <f t="shared" ca="1" si="128"/>
        <v>Chegou HCI</v>
      </c>
      <c r="AP383" t="s">
        <v>289</v>
      </c>
      <c r="AQ383" t="s">
        <v>2210</v>
      </c>
    </row>
    <row r="384" spans="4:43" ht="15" hidden="1" customHeight="1">
      <c r="D384" t="s">
        <v>1653</v>
      </c>
      <c r="E384" s="23" t="s">
        <v>1654</v>
      </c>
      <c r="I384" s="26"/>
      <c r="L384" s="27" t="str">
        <f t="shared" si="136"/>
        <v xml:space="preserve"> </v>
      </c>
      <c r="N384" s="27" t="str">
        <f t="shared" si="134"/>
        <v xml:space="preserve"> </v>
      </c>
      <c r="O384" s="27">
        <f t="shared" si="150"/>
        <v>0</v>
      </c>
      <c r="P384" s="28" t="str">
        <f t="shared" si="129"/>
        <v>On time</v>
      </c>
      <c r="Q384" s="27">
        <f t="shared" si="151"/>
        <v>0</v>
      </c>
      <c r="R384" s="29" t="s">
        <v>125</v>
      </c>
      <c r="S384" s="12" t="s">
        <v>51</v>
      </c>
      <c r="T384" s="35">
        <v>25</v>
      </c>
      <c r="U384" t="s">
        <v>559</v>
      </c>
      <c r="V384" s="31">
        <v>16</v>
      </c>
      <c r="W384" s="9">
        <v>1.79</v>
      </c>
      <c r="X384" s="9">
        <f t="shared" si="135"/>
        <v>28.64</v>
      </c>
      <c r="Z384" s="10">
        <v>46038</v>
      </c>
      <c r="AA384" s="10">
        <v>46040</v>
      </c>
      <c r="AB384" s="10">
        <v>46043</v>
      </c>
      <c r="AC384" s="10">
        <v>46127</v>
      </c>
      <c r="AD384" s="31">
        <f t="shared" ca="1" si="149"/>
        <v>95</v>
      </c>
      <c r="AE384" s="55">
        <v>1</v>
      </c>
      <c r="AF384" s="9" t="s">
        <v>155</v>
      </c>
      <c r="AG384" s="10" t="s">
        <v>78</v>
      </c>
      <c r="AI384" s="9" t="s">
        <v>53</v>
      </c>
      <c r="AJ384" s="10">
        <v>46067</v>
      </c>
      <c r="AK384" s="10">
        <v>46114</v>
      </c>
      <c r="AL384" s="9" t="s">
        <v>1956</v>
      </c>
      <c r="AM384" s="27" t="str">
        <f t="shared" si="152"/>
        <v>On time</v>
      </c>
      <c r="AN384" s="27" t="str">
        <f t="shared" ca="1" si="137"/>
        <v>Chegou</v>
      </c>
      <c r="AO384" s="27" t="str">
        <f t="shared" ca="1" si="128"/>
        <v>Chegou HCI</v>
      </c>
      <c r="AP384" t="s">
        <v>289</v>
      </c>
      <c r="AQ384" t="s">
        <v>2210</v>
      </c>
    </row>
    <row r="385" spans="4:43" ht="15" hidden="1" customHeight="1">
      <c r="D385" t="s">
        <v>1655</v>
      </c>
      <c r="E385" s="23" t="s">
        <v>1656</v>
      </c>
      <c r="I385" s="26"/>
      <c r="L385" s="27" t="str">
        <f t="shared" si="136"/>
        <v xml:space="preserve"> </v>
      </c>
      <c r="N385" s="27" t="str">
        <f t="shared" si="134"/>
        <v xml:space="preserve"> </v>
      </c>
      <c r="O385" s="27">
        <f t="shared" si="150"/>
        <v>0</v>
      </c>
      <c r="P385" s="28" t="str">
        <f t="shared" si="129"/>
        <v>On time</v>
      </c>
      <c r="Q385" s="27">
        <f t="shared" si="151"/>
        <v>0</v>
      </c>
      <c r="R385" s="29" t="s">
        <v>125</v>
      </c>
      <c r="S385" s="12" t="s">
        <v>51</v>
      </c>
      <c r="T385" s="35">
        <v>26</v>
      </c>
      <c r="U385" t="s">
        <v>560</v>
      </c>
      <c r="V385" s="31">
        <v>2</v>
      </c>
      <c r="W385" s="9">
        <v>1.21</v>
      </c>
      <c r="X385" s="9">
        <f t="shared" si="135"/>
        <v>2.42</v>
      </c>
      <c r="Z385" s="10">
        <v>46038</v>
      </c>
      <c r="AA385" s="10">
        <v>46040</v>
      </c>
      <c r="AB385" s="10">
        <v>46043</v>
      </c>
      <c r="AC385" s="10">
        <v>46127</v>
      </c>
      <c r="AD385" s="31">
        <f t="shared" ca="1" si="149"/>
        <v>95</v>
      </c>
      <c r="AE385" s="55">
        <v>1</v>
      </c>
      <c r="AF385" s="9" t="s">
        <v>155</v>
      </c>
      <c r="AG385" s="10" t="s">
        <v>78</v>
      </c>
      <c r="AI385" s="9" t="s">
        <v>53</v>
      </c>
      <c r="AJ385" s="10">
        <v>46067</v>
      </c>
      <c r="AK385" s="10">
        <v>46114</v>
      </c>
      <c r="AL385" s="9" t="s">
        <v>1956</v>
      </c>
      <c r="AM385" s="27" t="str">
        <f t="shared" si="152"/>
        <v>On time</v>
      </c>
      <c r="AN385" s="27" t="str">
        <f t="shared" ca="1" si="137"/>
        <v>Chegou</v>
      </c>
      <c r="AO385" s="27" t="str">
        <f t="shared" ca="1" si="128"/>
        <v>Chegou HCI</v>
      </c>
      <c r="AP385" t="s">
        <v>289</v>
      </c>
      <c r="AQ385" t="s">
        <v>2210</v>
      </c>
    </row>
    <row r="386" spans="4:43" ht="15" hidden="1" customHeight="1">
      <c r="D386" t="s">
        <v>1657</v>
      </c>
      <c r="E386" s="23" t="s">
        <v>1658</v>
      </c>
      <c r="I386" s="26"/>
      <c r="L386" s="27" t="str">
        <f t="shared" si="136"/>
        <v xml:space="preserve"> </v>
      </c>
      <c r="N386" s="27" t="str">
        <f t="shared" si="134"/>
        <v xml:space="preserve"> </v>
      </c>
      <c r="O386" s="27">
        <f t="shared" si="150"/>
        <v>0</v>
      </c>
      <c r="P386" s="28" t="str">
        <f t="shared" si="129"/>
        <v>On time</v>
      </c>
      <c r="Q386" s="27">
        <f t="shared" si="151"/>
        <v>0</v>
      </c>
      <c r="R386" s="29" t="s">
        <v>125</v>
      </c>
      <c r="S386" s="12" t="s">
        <v>51</v>
      </c>
      <c r="T386" s="35">
        <v>27</v>
      </c>
      <c r="U386" t="s">
        <v>561</v>
      </c>
      <c r="V386" s="31">
        <v>1</v>
      </c>
      <c r="W386" s="9">
        <v>2.4</v>
      </c>
      <c r="X386" s="9">
        <f t="shared" si="135"/>
        <v>2.4</v>
      </c>
      <c r="Z386" s="10">
        <v>46038</v>
      </c>
      <c r="AA386" s="10">
        <v>46040</v>
      </c>
      <c r="AB386" s="10">
        <v>46043</v>
      </c>
      <c r="AC386" s="10">
        <v>46127</v>
      </c>
      <c r="AD386" s="31">
        <f t="shared" ca="1" si="149"/>
        <v>95</v>
      </c>
      <c r="AE386" s="55">
        <v>1</v>
      </c>
      <c r="AF386" s="9" t="s">
        <v>155</v>
      </c>
      <c r="AG386" s="10" t="s">
        <v>78</v>
      </c>
      <c r="AI386" s="9" t="s">
        <v>53</v>
      </c>
      <c r="AJ386" s="10">
        <v>46067</v>
      </c>
      <c r="AK386" s="10">
        <v>46114</v>
      </c>
      <c r="AL386" s="9" t="s">
        <v>1956</v>
      </c>
      <c r="AM386" s="27" t="str">
        <f t="shared" si="152"/>
        <v>On time</v>
      </c>
      <c r="AN386" s="27" t="str">
        <f t="shared" ca="1" si="137"/>
        <v>Chegou</v>
      </c>
      <c r="AO386" s="27" t="str">
        <f t="shared" ca="1" si="128"/>
        <v>Chegou HCI</v>
      </c>
      <c r="AP386" t="s">
        <v>289</v>
      </c>
      <c r="AQ386" t="s">
        <v>2210</v>
      </c>
    </row>
    <row r="387" spans="4:43" ht="15" hidden="1" customHeight="1">
      <c r="D387" t="s">
        <v>1659</v>
      </c>
      <c r="E387" s="23" t="s">
        <v>1660</v>
      </c>
      <c r="I387" s="26"/>
      <c r="L387" s="27" t="str">
        <f t="shared" si="136"/>
        <v xml:space="preserve"> </v>
      </c>
      <c r="N387" s="27" t="str">
        <f t="shared" si="134"/>
        <v xml:space="preserve"> </v>
      </c>
      <c r="O387" s="27">
        <f t="shared" si="150"/>
        <v>0</v>
      </c>
      <c r="P387" s="28" t="str">
        <f t="shared" si="129"/>
        <v>On time</v>
      </c>
      <c r="Q387" s="27">
        <f t="shared" si="151"/>
        <v>0</v>
      </c>
      <c r="R387" s="29" t="s">
        <v>125</v>
      </c>
      <c r="S387" s="12" t="s">
        <v>51</v>
      </c>
      <c r="T387" s="35">
        <v>28</v>
      </c>
      <c r="U387" t="s">
        <v>562</v>
      </c>
      <c r="V387" s="31">
        <v>1</v>
      </c>
      <c r="W387" s="9">
        <v>1.79</v>
      </c>
      <c r="X387" s="9">
        <f t="shared" si="135"/>
        <v>1.79</v>
      </c>
      <c r="Z387" s="10">
        <v>46038</v>
      </c>
      <c r="AA387" s="10">
        <v>46040</v>
      </c>
      <c r="AB387" s="10">
        <v>46043</v>
      </c>
      <c r="AC387" s="10">
        <v>46127</v>
      </c>
      <c r="AD387" s="31">
        <f t="shared" ca="1" si="149"/>
        <v>95</v>
      </c>
      <c r="AE387" s="55">
        <v>1</v>
      </c>
      <c r="AF387" s="9" t="s">
        <v>155</v>
      </c>
      <c r="AG387" s="10" t="s">
        <v>78</v>
      </c>
      <c r="AI387" s="9" t="s">
        <v>53</v>
      </c>
      <c r="AJ387" s="10">
        <v>46067</v>
      </c>
      <c r="AK387" s="10">
        <v>46114</v>
      </c>
      <c r="AL387" s="9" t="s">
        <v>1956</v>
      </c>
      <c r="AM387" s="27" t="str">
        <f t="shared" si="152"/>
        <v>On time</v>
      </c>
      <c r="AN387" s="27" t="str">
        <f t="shared" ca="1" si="137"/>
        <v>Chegou</v>
      </c>
      <c r="AO387" s="27" t="str">
        <f t="shared" ca="1" si="128"/>
        <v>Chegou HCI</v>
      </c>
      <c r="AP387" t="s">
        <v>289</v>
      </c>
      <c r="AQ387" t="s">
        <v>2210</v>
      </c>
    </row>
    <row r="388" spans="4:43" ht="15" hidden="1" customHeight="1">
      <c r="D388" t="s">
        <v>1661</v>
      </c>
      <c r="E388" s="23" t="s">
        <v>1662</v>
      </c>
      <c r="I388" s="26"/>
      <c r="L388" s="27" t="str">
        <f t="shared" si="136"/>
        <v xml:space="preserve"> </v>
      </c>
      <c r="N388" s="27" t="str">
        <f t="shared" si="134"/>
        <v xml:space="preserve"> </v>
      </c>
      <c r="O388" s="27">
        <f t="shared" si="150"/>
        <v>0</v>
      </c>
      <c r="P388" s="28" t="str">
        <f t="shared" si="129"/>
        <v>On time</v>
      </c>
      <c r="Q388" s="27">
        <f t="shared" si="151"/>
        <v>0</v>
      </c>
      <c r="R388" s="29" t="s">
        <v>125</v>
      </c>
      <c r="S388" s="12" t="s">
        <v>51</v>
      </c>
      <c r="T388" s="35">
        <v>29</v>
      </c>
      <c r="U388" t="s">
        <v>563</v>
      </c>
      <c r="V388" s="31">
        <v>1</v>
      </c>
      <c r="W388" s="9">
        <v>1.21</v>
      </c>
      <c r="X388" s="9">
        <f t="shared" si="135"/>
        <v>1.21</v>
      </c>
      <c r="Z388" s="10">
        <v>46038</v>
      </c>
      <c r="AA388" s="10">
        <v>46040</v>
      </c>
      <c r="AB388" s="10">
        <v>46043</v>
      </c>
      <c r="AC388" s="10">
        <v>46127</v>
      </c>
      <c r="AD388" s="31">
        <f t="shared" ca="1" si="149"/>
        <v>95</v>
      </c>
      <c r="AE388" s="55">
        <v>1</v>
      </c>
      <c r="AF388" s="9" t="s">
        <v>155</v>
      </c>
      <c r="AG388" s="10" t="s">
        <v>78</v>
      </c>
      <c r="AI388" s="9" t="s">
        <v>53</v>
      </c>
      <c r="AJ388" s="10">
        <v>46067</v>
      </c>
      <c r="AK388" s="10">
        <v>46114</v>
      </c>
      <c r="AL388" s="9" t="s">
        <v>1956</v>
      </c>
      <c r="AM388" s="27" t="str">
        <f t="shared" si="152"/>
        <v>On time</v>
      </c>
      <c r="AN388" s="27" t="str">
        <f t="shared" ca="1" si="137"/>
        <v>Chegou</v>
      </c>
      <c r="AO388" s="27" t="str">
        <f t="shared" ref="AO388:AO451" ca="1" si="153">IF(AN388="Chegou","Chegou HCI",IF(AND(AJ388&lt;&gt;"",AK388&lt;&gt;""),IF(TODAY()&gt;=AJ388,"Embarcado","Ag. embarque"),IF(AND(AJ388&lt;&gt;"",AK388=""),"Ag. booking","")))</f>
        <v>Chegou HCI</v>
      </c>
      <c r="AP388" t="s">
        <v>289</v>
      </c>
      <c r="AQ388" t="s">
        <v>2210</v>
      </c>
    </row>
    <row r="389" spans="4:43" ht="15" hidden="1" customHeight="1">
      <c r="D389" t="s">
        <v>1663</v>
      </c>
      <c r="E389" s="23" t="s">
        <v>1664</v>
      </c>
      <c r="I389" s="26"/>
      <c r="L389" s="27" t="str">
        <f t="shared" si="136"/>
        <v xml:space="preserve"> </v>
      </c>
      <c r="N389" s="27" t="str">
        <f t="shared" si="134"/>
        <v xml:space="preserve"> </v>
      </c>
      <c r="O389" s="27">
        <f t="shared" si="150"/>
        <v>0</v>
      </c>
      <c r="P389" s="28" t="str">
        <f t="shared" ref="P389:P452" si="154">IF(Z389=0," ",IF(M389&gt;=Z389+6,"Atrasado","On time"))</f>
        <v>On time</v>
      </c>
      <c r="Q389" s="27">
        <f t="shared" si="151"/>
        <v>0</v>
      </c>
      <c r="R389" s="29" t="s">
        <v>125</v>
      </c>
      <c r="S389" s="12" t="s">
        <v>51</v>
      </c>
      <c r="T389" s="35">
        <v>30</v>
      </c>
      <c r="U389" t="s">
        <v>271</v>
      </c>
      <c r="V389" s="31">
        <v>1</v>
      </c>
      <c r="W389" s="9">
        <v>2.4</v>
      </c>
      <c r="X389" s="9">
        <f t="shared" si="135"/>
        <v>2.4</v>
      </c>
      <c r="Z389" s="10">
        <v>46038</v>
      </c>
      <c r="AA389" s="10">
        <v>46040</v>
      </c>
      <c r="AB389" s="10">
        <v>46043</v>
      </c>
      <c r="AC389" s="10">
        <v>46127</v>
      </c>
      <c r="AD389" s="31">
        <f t="shared" ca="1" si="149"/>
        <v>95</v>
      </c>
      <c r="AE389" s="55">
        <v>1</v>
      </c>
      <c r="AF389" s="9" t="s">
        <v>155</v>
      </c>
      <c r="AG389" s="10" t="s">
        <v>78</v>
      </c>
      <c r="AI389" s="9" t="s">
        <v>53</v>
      </c>
      <c r="AJ389" s="10">
        <v>46067</v>
      </c>
      <c r="AK389" s="10">
        <v>46114</v>
      </c>
      <c r="AL389" s="9" t="s">
        <v>1956</v>
      </c>
      <c r="AM389" s="27" t="str">
        <f t="shared" si="152"/>
        <v>On time</v>
      </c>
      <c r="AN389" s="27" t="str">
        <f t="shared" ca="1" si="137"/>
        <v>Chegou</v>
      </c>
      <c r="AO389" s="27" t="str">
        <f t="shared" ca="1" si="153"/>
        <v>Chegou HCI</v>
      </c>
      <c r="AP389" t="s">
        <v>289</v>
      </c>
      <c r="AQ389" t="s">
        <v>2210</v>
      </c>
    </row>
    <row r="390" spans="4:43" ht="15" hidden="1" customHeight="1">
      <c r="D390" t="s">
        <v>1665</v>
      </c>
      <c r="E390" s="23" t="s">
        <v>1666</v>
      </c>
      <c r="I390" s="26"/>
      <c r="L390" s="27" t="str">
        <f t="shared" si="136"/>
        <v xml:space="preserve"> </v>
      </c>
      <c r="N390" s="27" t="str">
        <f t="shared" si="134"/>
        <v xml:space="preserve"> </v>
      </c>
      <c r="O390" s="27">
        <f t="shared" si="150"/>
        <v>0</v>
      </c>
      <c r="P390" s="28" t="str">
        <f t="shared" si="154"/>
        <v>On time</v>
      </c>
      <c r="Q390" s="27">
        <f t="shared" si="151"/>
        <v>0</v>
      </c>
      <c r="R390" s="29" t="s">
        <v>125</v>
      </c>
      <c r="S390" s="12" t="s">
        <v>51</v>
      </c>
      <c r="T390" s="35">
        <v>31</v>
      </c>
      <c r="U390" t="s">
        <v>272</v>
      </c>
      <c r="V390" s="31">
        <v>4</v>
      </c>
      <c r="W390" s="9">
        <v>1.79</v>
      </c>
      <c r="X390" s="9">
        <f t="shared" si="135"/>
        <v>7.16</v>
      </c>
      <c r="Z390" s="10">
        <v>46038</v>
      </c>
      <c r="AA390" s="10">
        <v>46040</v>
      </c>
      <c r="AB390" s="10">
        <v>46043</v>
      </c>
      <c r="AC390" s="10">
        <v>46127</v>
      </c>
      <c r="AD390" s="31">
        <f t="shared" ca="1" si="149"/>
        <v>95</v>
      </c>
      <c r="AE390" s="55">
        <v>1</v>
      </c>
      <c r="AF390" s="9" t="s">
        <v>155</v>
      </c>
      <c r="AG390" s="10" t="s">
        <v>78</v>
      </c>
      <c r="AI390" s="9" t="s">
        <v>53</v>
      </c>
      <c r="AJ390" s="10">
        <v>46067</v>
      </c>
      <c r="AK390" s="10">
        <v>46114</v>
      </c>
      <c r="AL390" s="9" t="s">
        <v>1956</v>
      </c>
      <c r="AM390" s="27" t="str">
        <f t="shared" si="152"/>
        <v>On time</v>
      </c>
      <c r="AN390" s="27" t="str">
        <f t="shared" ca="1" si="137"/>
        <v>Chegou</v>
      </c>
      <c r="AO390" s="27" t="str">
        <f t="shared" ca="1" si="153"/>
        <v>Chegou HCI</v>
      </c>
      <c r="AP390" t="s">
        <v>289</v>
      </c>
      <c r="AQ390" t="s">
        <v>2210</v>
      </c>
    </row>
    <row r="391" spans="4:43" ht="15" hidden="1" customHeight="1">
      <c r="D391" t="s">
        <v>1667</v>
      </c>
      <c r="E391" s="23" t="s">
        <v>1668</v>
      </c>
      <c r="I391" s="26"/>
      <c r="L391" s="27" t="str">
        <f t="shared" si="136"/>
        <v xml:space="preserve"> </v>
      </c>
      <c r="N391" s="27" t="str">
        <f t="shared" si="134"/>
        <v xml:space="preserve"> </v>
      </c>
      <c r="O391" s="27">
        <f t="shared" si="150"/>
        <v>0</v>
      </c>
      <c r="P391" s="28" t="str">
        <f t="shared" si="154"/>
        <v>On time</v>
      </c>
      <c r="Q391" s="27">
        <f t="shared" si="151"/>
        <v>0</v>
      </c>
      <c r="R391" s="29" t="s">
        <v>125</v>
      </c>
      <c r="S391" s="12" t="s">
        <v>51</v>
      </c>
      <c r="T391" s="34">
        <v>32</v>
      </c>
      <c r="U391" t="s">
        <v>273</v>
      </c>
      <c r="V391" s="27">
        <v>10</v>
      </c>
      <c r="W391" s="9">
        <v>1.21</v>
      </c>
      <c r="X391" s="9">
        <f t="shared" si="135"/>
        <v>12.1</v>
      </c>
      <c r="Z391" s="10">
        <v>46038</v>
      </c>
      <c r="AA391" s="10">
        <v>46040</v>
      </c>
      <c r="AB391" s="10">
        <v>46043</v>
      </c>
      <c r="AC391" s="10">
        <v>46127</v>
      </c>
      <c r="AD391" s="31">
        <f t="shared" ca="1" si="149"/>
        <v>95</v>
      </c>
      <c r="AE391" s="55">
        <v>1</v>
      </c>
      <c r="AF391" s="9" t="s">
        <v>155</v>
      </c>
      <c r="AG391" s="10" t="s">
        <v>78</v>
      </c>
      <c r="AI391" s="9" t="s">
        <v>53</v>
      </c>
      <c r="AJ391" s="10">
        <v>46067</v>
      </c>
      <c r="AK391" s="10">
        <v>46114</v>
      </c>
      <c r="AL391" s="9" t="s">
        <v>1956</v>
      </c>
      <c r="AM391" s="27" t="str">
        <f t="shared" si="152"/>
        <v>On time</v>
      </c>
      <c r="AN391" s="27" t="str">
        <f t="shared" ca="1" si="137"/>
        <v>Chegou</v>
      </c>
      <c r="AO391" s="27" t="str">
        <f t="shared" ca="1" si="153"/>
        <v>Chegou HCI</v>
      </c>
      <c r="AP391" t="s">
        <v>289</v>
      </c>
      <c r="AQ391" t="s">
        <v>2210</v>
      </c>
    </row>
    <row r="392" spans="4:43" ht="15" hidden="1" customHeight="1">
      <c r="D392" t="s">
        <v>1667</v>
      </c>
      <c r="E392" s="23" t="s">
        <v>1668</v>
      </c>
      <c r="I392" s="26"/>
      <c r="L392" s="27" t="str">
        <f t="shared" si="136"/>
        <v xml:space="preserve"> </v>
      </c>
      <c r="N392" s="27" t="str">
        <f t="shared" si="134"/>
        <v xml:space="preserve"> </v>
      </c>
      <c r="O392" s="27">
        <f t="shared" si="150"/>
        <v>0</v>
      </c>
      <c r="P392" s="28" t="str">
        <f t="shared" si="154"/>
        <v>On time</v>
      </c>
      <c r="Q392" s="27">
        <f t="shared" si="151"/>
        <v>0</v>
      </c>
      <c r="R392" s="29" t="s">
        <v>125</v>
      </c>
      <c r="S392" s="12" t="s">
        <v>51</v>
      </c>
      <c r="T392" s="34">
        <v>33</v>
      </c>
      <c r="U392" t="s">
        <v>273</v>
      </c>
      <c r="V392" s="27">
        <v>6</v>
      </c>
      <c r="W392" s="9">
        <v>1.21</v>
      </c>
      <c r="X392" s="9">
        <f t="shared" si="135"/>
        <v>7.26</v>
      </c>
      <c r="Z392" s="10">
        <v>46038</v>
      </c>
      <c r="AA392" s="10">
        <v>46040</v>
      </c>
      <c r="AB392" s="10">
        <v>46043</v>
      </c>
      <c r="AC392" s="10">
        <v>46127</v>
      </c>
      <c r="AD392" s="31">
        <f t="shared" ca="1" si="149"/>
        <v>95</v>
      </c>
      <c r="AE392" s="55">
        <v>1</v>
      </c>
      <c r="AF392" s="9" t="s">
        <v>155</v>
      </c>
      <c r="AG392" s="10" t="s">
        <v>78</v>
      </c>
      <c r="AI392" s="9" t="s">
        <v>53</v>
      </c>
      <c r="AJ392" s="10">
        <v>46067</v>
      </c>
      <c r="AK392" s="10">
        <v>46114</v>
      </c>
      <c r="AL392" s="9" t="s">
        <v>1956</v>
      </c>
      <c r="AM392" s="27" t="str">
        <f t="shared" si="152"/>
        <v>On time</v>
      </c>
      <c r="AN392" s="27" t="str">
        <f t="shared" ca="1" si="137"/>
        <v>Chegou</v>
      </c>
      <c r="AO392" s="27" t="str">
        <f t="shared" ca="1" si="153"/>
        <v>Chegou HCI</v>
      </c>
      <c r="AP392" t="s">
        <v>289</v>
      </c>
      <c r="AQ392" t="s">
        <v>2210</v>
      </c>
    </row>
    <row r="393" spans="4:43" ht="15" hidden="1" customHeight="1">
      <c r="D393" t="s">
        <v>1669</v>
      </c>
      <c r="E393" s="23" t="s">
        <v>1670</v>
      </c>
      <c r="I393" s="26"/>
      <c r="L393" s="27" t="str">
        <f t="shared" si="136"/>
        <v xml:space="preserve"> </v>
      </c>
      <c r="N393" s="27" t="str">
        <f t="shared" si="134"/>
        <v xml:space="preserve"> </v>
      </c>
      <c r="O393" s="27">
        <f t="shared" si="150"/>
        <v>0</v>
      </c>
      <c r="P393" s="28" t="str">
        <f t="shared" si="154"/>
        <v>On time</v>
      </c>
      <c r="Q393" s="27">
        <f t="shared" si="151"/>
        <v>0</v>
      </c>
      <c r="R393" s="29" t="s">
        <v>125</v>
      </c>
      <c r="S393" s="12" t="s">
        <v>51</v>
      </c>
      <c r="T393" s="34">
        <v>34</v>
      </c>
      <c r="U393" t="s">
        <v>274</v>
      </c>
      <c r="V393" s="27">
        <v>3</v>
      </c>
      <c r="W393" s="9">
        <v>4.8499999999999996</v>
      </c>
      <c r="X393" s="9">
        <f t="shared" si="135"/>
        <v>14.549999999999999</v>
      </c>
      <c r="Z393" s="10">
        <v>46038</v>
      </c>
      <c r="AA393" s="10">
        <v>46040</v>
      </c>
      <c r="AB393" s="10">
        <v>46043</v>
      </c>
      <c r="AC393" s="10">
        <v>46127</v>
      </c>
      <c r="AD393" s="31">
        <f t="shared" ca="1" si="149"/>
        <v>95</v>
      </c>
      <c r="AE393" s="55">
        <v>1</v>
      </c>
      <c r="AF393" s="9" t="s">
        <v>155</v>
      </c>
      <c r="AG393" s="10" t="s">
        <v>78</v>
      </c>
      <c r="AI393" s="9" t="s">
        <v>53</v>
      </c>
      <c r="AJ393" s="10">
        <v>46067</v>
      </c>
      <c r="AK393" s="10">
        <v>46114</v>
      </c>
      <c r="AL393" s="9" t="s">
        <v>1956</v>
      </c>
      <c r="AM393" s="27" t="str">
        <f t="shared" si="152"/>
        <v>On time</v>
      </c>
      <c r="AN393" s="27" t="str">
        <f t="shared" ca="1" si="137"/>
        <v>Chegou</v>
      </c>
      <c r="AO393" s="27" t="str">
        <f t="shared" ca="1" si="153"/>
        <v>Chegou HCI</v>
      </c>
      <c r="AP393" t="s">
        <v>289</v>
      </c>
      <c r="AQ393" t="s">
        <v>2210</v>
      </c>
    </row>
    <row r="394" spans="4:43" ht="15" hidden="1" customHeight="1">
      <c r="D394" t="s">
        <v>1671</v>
      </c>
      <c r="E394" s="23" t="s">
        <v>1672</v>
      </c>
      <c r="I394" s="26"/>
      <c r="L394" s="27" t="str">
        <f t="shared" si="136"/>
        <v xml:space="preserve"> </v>
      </c>
      <c r="N394" s="27" t="str">
        <f t="shared" ref="N394:N457" si="155">IF(J394=0," ",IF(M394&lt;=J394+6,"On time","Atrasado"))</f>
        <v xml:space="preserve"> </v>
      </c>
      <c r="O394" s="27">
        <f t="shared" si="150"/>
        <v>0</v>
      </c>
      <c r="P394" s="28" t="str">
        <f t="shared" si="154"/>
        <v>On time</v>
      </c>
      <c r="Q394" s="27">
        <f t="shared" si="151"/>
        <v>0</v>
      </c>
      <c r="R394" s="29" t="s">
        <v>125</v>
      </c>
      <c r="S394" s="12" t="s">
        <v>51</v>
      </c>
      <c r="T394" s="34">
        <v>35</v>
      </c>
      <c r="U394" t="s">
        <v>275</v>
      </c>
      <c r="V394" s="27">
        <v>3</v>
      </c>
      <c r="W394" s="9">
        <v>5.27</v>
      </c>
      <c r="X394" s="9">
        <f t="shared" ref="X394:X458" si="156">W394*V394</f>
        <v>15.809999999999999</v>
      </c>
      <c r="Z394" s="10">
        <v>46038</v>
      </c>
      <c r="AA394" s="10">
        <v>46040</v>
      </c>
      <c r="AB394" s="10">
        <v>46043</v>
      </c>
      <c r="AC394" s="10">
        <v>46127</v>
      </c>
      <c r="AD394" s="31">
        <f t="shared" ca="1" si="149"/>
        <v>95</v>
      </c>
      <c r="AE394" s="55">
        <v>1</v>
      </c>
      <c r="AF394" s="9" t="s">
        <v>155</v>
      </c>
      <c r="AG394" s="10" t="s">
        <v>78</v>
      </c>
      <c r="AI394" s="9" t="s">
        <v>53</v>
      </c>
      <c r="AJ394" s="10">
        <v>46067</v>
      </c>
      <c r="AK394" s="10">
        <v>46114</v>
      </c>
      <c r="AL394" s="9" t="s">
        <v>1956</v>
      </c>
      <c r="AM394" s="27" t="str">
        <f t="shared" si="152"/>
        <v>On time</v>
      </c>
      <c r="AN394" s="27" t="str">
        <f t="shared" ca="1" si="137"/>
        <v>Chegou</v>
      </c>
      <c r="AO394" s="27" t="str">
        <f t="shared" ca="1" si="153"/>
        <v>Chegou HCI</v>
      </c>
      <c r="AP394" t="s">
        <v>289</v>
      </c>
      <c r="AQ394" t="s">
        <v>2210</v>
      </c>
    </row>
    <row r="395" spans="4:43" ht="15" hidden="1" customHeight="1">
      <c r="D395" t="s">
        <v>1673</v>
      </c>
      <c r="E395" s="23" t="s">
        <v>1674</v>
      </c>
      <c r="I395" s="26"/>
      <c r="L395" s="27" t="str">
        <f t="shared" ref="L395:L458" si="157">IF(J395=0," ",IF(K395&lt;=J395+6,"On time","Atrasado"))</f>
        <v xml:space="preserve"> </v>
      </c>
      <c r="N395" s="27" t="str">
        <f t="shared" si="155"/>
        <v xml:space="preserve"> </v>
      </c>
      <c r="O395" s="27">
        <f t="shared" si="150"/>
        <v>0</v>
      </c>
      <c r="P395" s="28" t="str">
        <f t="shared" si="154"/>
        <v>On time</v>
      </c>
      <c r="Q395" s="27">
        <f t="shared" si="151"/>
        <v>0</v>
      </c>
      <c r="R395" s="29" t="s">
        <v>125</v>
      </c>
      <c r="S395" s="12" t="s">
        <v>51</v>
      </c>
      <c r="T395" s="34">
        <v>36</v>
      </c>
      <c r="U395" t="s">
        <v>276</v>
      </c>
      <c r="V395" s="27">
        <v>3</v>
      </c>
      <c r="W395" s="9">
        <v>5.69</v>
      </c>
      <c r="X395" s="9">
        <f t="shared" si="156"/>
        <v>17.07</v>
      </c>
      <c r="Z395" s="10">
        <v>46038</v>
      </c>
      <c r="AA395" s="10">
        <v>46040</v>
      </c>
      <c r="AB395" s="10">
        <v>46043</v>
      </c>
      <c r="AC395" s="10">
        <v>46127</v>
      </c>
      <c r="AD395" s="31">
        <f t="shared" ca="1" si="149"/>
        <v>95</v>
      </c>
      <c r="AE395" s="55">
        <v>1</v>
      </c>
      <c r="AF395" s="9" t="s">
        <v>155</v>
      </c>
      <c r="AG395" s="10" t="s">
        <v>78</v>
      </c>
      <c r="AI395" s="9" t="s">
        <v>53</v>
      </c>
      <c r="AJ395" s="10">
        <v>46067</v>
      </c>
      <c r="AK395" s="10">
        <v>46114</v>
      </c>
      <c r="AL395" s="9" t="s">
        <v>1956</v>
      </c>
      <c r="AM395" s="27" t="str">
        <f t="shared" si="152"/>
        <v>On time</v>
      </c>
      <c r="AN395" s="27" t="str">
        <f t="shared" ca="1" si="137"/>
        <v>Chegou</v>
      </c>
      <c r="AO395" s="27" t="str">
        <f t="shared" ca="1" si="153"/>
        <v>Chegou HCI</v>
      </c>
      <c r="AP395" t="s">
        <v>289</v>
      </c>
      <c r="AQ395" t="s">
        <v>2210</v>
      </c>
    </row>
    <row r="396" spans="4:43" ht="15" hidden="1" customHeight="1">
      <c r="D396" t="s">
        <v>1675</v>
      </c>
      <c r="E396" s="23" t="s">
        <v>1676</v>
      </c>
      <c r="I396" s="26"/>
      <c r="L396" s="27" t="str">
        <f t="shared" si="157"/>
        <v xml:space="preserve"> </v>
      </c>
      <c r="N396" s="27" t="str">
        <f t="shared" si="155"/>
        <v xml:space="preserve"> </v>
      </c>
      <c r="O396" s="27">
        <f t="shared" si="150"/>
        <v>0</v>
      </c>
      <c r="P396" s="28" t="str">
        <f t="shared" si="154"/>
        <v>On time</v>
      </c>
      <c r="Q396" s="27">
        <f t="shared" si="151"/>
        <v>0</v>
      </c>
      <c r="R396" s="29" t="s">
        <v>125</v>
      </c>
      <c r="S396" s="12" t="s">
        <v>51</v>
      </c>
      <c r="T396" s="34">
        <v>37</v>
      </c>
      <c r="U396" t="s">
        <v>277</v>
      </c>
      <c r="V396" s="27">
        <v>2</v>
      </c>
      <c r="W396" s="9">
        <v>1.36</v>
      </c>
      <c r="X396" s="9">
        <f t="shared" si="156"/>
        <v>2.72</v>
      </c>
      <c r="Z396" s="10">
        <v>46038</v>
      </c>
      <c r="AA396" s="10">
        <v>46040</v>
      </c>
      <c r="AB396" s="10">
        <v>46043</v>
      </c>
      <c r="AC396" s="10">
        <v>46127</v>
      </c>
      <c r="AD396" s="31">
        <f t="shared" ca="1" si="149"/>
        <v>95</v>
      </c>
      <c r="AE396" s="55">
        <v>1</v>
      </c>
      <c r="AF396" s="9" t="s">
        <v>155</v>
      </c>
      <c r="AG396" s="10" t="s">
        <v>78</v>
      </c>
      <c r="AI396" s="9" t="s">
        <v>53</v>
      </c>
      <c r="AJ396" s="10">
        <v>46067</v>
      </c>
      <c r="AK396" s="10">
        <v>46114</v>
      </c>
      <c r="AL396" s="9" t="s">
        <v>1956</v>
      </c>
      <c r="AM396" s="27" t="str">
        <f t="shared" si="152"/>
        <v>On time</v>
      </c>
      <c r="AN396" s="27" t="str">
        <f t="shared" ca="1" si="137"/>
        <v>Chegou</v>
      </c>
      <c r="AO396" s="27" t="str">
        <f t="shared" ca="1" si="153"/>
        <v>Chegou HCI</v>
      </c>
      <c r="AP396" t="s">
        <v>289</v>
      </c>
      <c r="AQ396" t="s">
        <v>2210</v>
      </c>
    </row>
    <row r="397" spans="4:43" ht="15" hidden="1" customHeight="1">
      <c r="D397" t="s">
        <v>1677</v>
      </c>
      <c r="E397" s="23" t="s">
        <v>1678</v>
      </c>
      <c r="I397" s="26"/>
      <c r="L397" s="27" t="str">
        <f t="shared" si="157"/>
        <v xml:space="preserve"> </v>
      </c>
      <c r="N397" s="27" t="str">
        <f t="shared" si="155"/>
        <v xml:space="preserve"> </v>
      </c>
      <c r="O397" s="27">
        <f t="shared" si="150"/>
        <v>0</v>
      </c>
      <c r="P397" s="28" t="str">
        <f t="shared" si="154"/>
        <v>On time</v>
      </c>
      <c r="Q397" s="27">
        <f t="shared" si="151"/>
        <v>0</v>
      </c>
      <c r="R397" s="29" t="s">
        <v>125</v>
      </c>
      <c r="S397" s="12" t="s">
        <v>51</v>
      </c>
      <c r="T397" s="34">
        <v>38</v>
      </c>
      <c r="U397" t="s">
        <v>278</v>
      </c>
      <c r="V397" s="27">
        <v>1</v>
      </c>
      <c r="W397" s="9">
        <v>5.9</v>
      </c>
      <c r="X397" s="9">
        <f t="shared" si="156"/>
        <v>5.9</v>
      </c>
      <c r="Z397" s="10">
        <v>46038</v>
      </c>
      <c r="AA397" s="10">
        <v>46040</v>
      </c>
      <c r="AB397" s="10">
        <v>46043</v>
      </c>
      <c r="AC397" s="10">
        <v>46127</v>
      </c>
      <c r="AD397" s="31">
        <f t="shared" ca="1" si="149"/>
        <v>95</v>
      </c>
      <c r="AE397" s="55">
        <v>1</v>
      </c>
      <c r="AF397" s="9" t="s">
        <v>155</v>
      </c>
      <c r="AG397" s="10" t="s">
        <v>78</v>
      </c>
      <c r="AI397" s="9" t="s">
        <v>53</v>
      </c>
      <c r="AJ397" s="10">
        <v>46067</v>
      </c>
      <c r="AK397" s="10">
        <v>46114</v>
      </c>
      <c r="AL397" s="9" t="s">
        <v>1956</v>
      </c>
      <c r="AM397" s="27" t="str">
        <f t="shared" si="152"/>
        <v>On time</v>
      </c>
      <c r="AN397" s="27" t="str">
        <f t="shared" ca="1" si="137"/>
        <v>Chegou</v>
      </c>
      <c r="AO397" s="27" t="str">
        <f t="shared" ca="1" si="153"/>
        <v>Chegou HCI</v>
      </c>
      <c r="AP397" t="s">
        <v>289</v>
      </c>
      <c r="AQ397" t="s">
        <v>2210</v>
      </c>
    </row>
    <row r="398" spans="4:43" ht="15" hidden="1" customHeight="1">
      <c r="D398" t="s">
        <v>1679</v>
      </c>
      <c r="E398" s="23" t="s">
        <v>1680</v>
      </c>
      <c r="I398" s="26"/>
      <c r="L398" s="27" t="str">
        <f t="shared" si="157"/>
        <v xml:space="preserve"> </v>
      </c>
      <c r="N398" s="27" t="str">
        <f t="shared" si="155"/>
        <v xml:space="preserve"> </v>
      </c>
      <c r="O398" s="27">
        <f t="shared" si="150"/>
        <v>0</v>
      </c>
      <c r="P398" s="28" t="str">
        <f t="shared" si="154"/>
        <v>On time</v>
      </c>
      <c r="Q398" s="27">
        <f t="shared" si="151"/>
        <v>0</v>
      </c>
      <c r="R398" s="29" t="s">
        <v>125</v>
      </c>
      <c r="S398" s="12" t="s">
        <v>51</v>
      </c>
      <c r="T398" s="34">
        <v>39</v>
      </c>
      <c r="U398" t="s">
        <v>279</v>
      </c>
      <c r="V398" s="27">
        <v>4</v>
      </c>
      <c r="W398" s="9">
        <v>13.86</v>
      </c>
      <c r="X398" s="9">
        <f t="shared" si="156"/>
        <v>55.44</v>
      </c>
      <c r="Z398" s="10">
        <v>46038</v>
      </c>
      <c r="AA398" s="10">
        <v>46040</v>
      </c>
      <c r="AB398" s="10">
        <v>46043</v>
      </c>
      <c r="AC398" s="10">
        <v>46127</v>
      </c>
      <c r="AD398" s="31">
        <f t="shared" ca="1" si="149"/>
        <v>95</v>
      </c>
      <c r="AE398" s="55">
        <v>1</v>
      </c>
      <c r="AF398" s="9" t="s">
        <v>155</v>
      </c>
      <c r="AG398" s="10" t="s">
        <v>78</v>
      </c>
      <c r="AI398" s="9" t="s">
        <v>53</v>
      </c>
      <c r="AJ398" s="10">
        <v>46067</v>
      </c>
      <c r="AK398" s="10">
        <v>46114</v>
      </c>
      <c r="AL398" s="9" t="s">
        <v>1956</v>
      </c>
      <c r="AM398" s="27" t="str">
        <f t="shared" si="152"/>
        <v>On time</v>
      </c>
      <c r="AN398" s="27" t="str">
        <f t="shared" ca="1" si="137"/>
        <v>Chegou</v>
      </c>
      <c r="AO398" s="27" t="str">
        <f t="shared" ca="1" si="153"/>
        <v>Chegou HCI</v>
      </c>
      <c r="AP398" t="s">
        <v>289</v>
      </c>
      <c r="AQ398" t="s">
        <v>2210</v>
      </c>
    </row>
    <row r="399" spans="4:43" ht="15" hidden="1" customHeight="1">
      <c r="D399" t="s">
        <v>1681</v>
      </c>
      <c r="E399" s="23" t="s">
        <v>1682</v>
      </c>
      <c r="I399" s="26"/>
      <c r="L399" s="27" t="str">
        <f t="shared" si="157"/>
        <v xml:space="preserve"> </v>
      </c>
      <c r="N399" s="27" t="str">
        <f t="shared" si="155"/>
        <v xml:space="preserve"> </v>
      </c>
      <c r="O399" s="27">
        <f t="shared" si="150"/>
        <v>0</v>
      </c>
      <c r="P399" s="28" t="str">
        <f t="shared" si="154"/>
        <v>On time</v>
      </c>
      <c r="Q399" s="27">
        <f t="shared" si="151"/>
        <v>0</v>
      </c>
      <c r="R399" s="29" t="s">
        <v>125</v>
      </c>
      <c r="S399" s="12" t="s">
        <v>51</v>
      </c>
      <c r="T399" s="34">
        <v>40</v>
      </c>
      <c r="U399" t="s">
        <v>280</v>
      </c>
      <c r="V399" s="27">
        <v>1</v>
      </c>
      <c r="W399" s="9">
        <v>5.27</v>
      </c>
      <c r="X399" s="9">
        <f t="shared" si="156"/>
        <v>5.27</v>
      </c>
      <c r="Z399" s="10">
        <v>46038</v>
      </c>
      <c r="AA399" s="10">
        <v>46040</v>
      </c>
      <c r="AB399" s="10">
        <v>46043</v>
      </c>
      <c r="AC399" s="10">
        <v>46127</v>
      </c>
      <c r="AD399" s="31">
        <f t="shared" ca="1" si="149"/>
        <v>95</v>
      </c>
      <c r="AE399" s="55">
        <v>1</v>
      </c>
      <c r="AF399" s="9" t="s">
        <v>155</v>
      </c>
      <c r="AG399" s="10" t="s">
        <v>78</v>
      </c>
      <c r="AI399" s="9" t="s">
        <v>53</v>
      </c>
      <c r="AJ399" s="10">
        <v>46067</v>
      </c>
      <c r="AK399" s="10">
        <v>46114</v>
      </c>
      <c r="AL399" s="9" t="s">
        <v>1956</v>
      </c>
      <c r="AM399" s="27" t="str">
        <f t="shared" si="152"/>
        <v>On time</v>
      </c>
      <c r="AN399" s="27" t="str">
        <f t="shared" ref="AN399:AN463" ca="1" si="158">IF(AND(AC399&lt;&gt;"",AC399&lt;=TODAY()),"Chegou",IF(A399="","Estoque",IF(OR(AC399="",I399=""),"",IF(I399-AC399&lt;=0,"Atrasado",IF(I399-AC399&lt;=9,"Crítico",IF(I399-AC399&lt;=20,"Verificar aéreo",IF(I399-AC399&lt;=25,"Alerta","No prazo")        ))))))</f>
        <v>Chegou</v>
      </c>
      <c r="AO399" s="27" t="str">
        <f t="shared" ca="1" si="153"/>
        <v>Chegou HCI</v>
      </c>
      <c r="AP399" t="s">
        <v>289</v>
      </c>
      <c r="AQ399" t="s">
        <v>2210</v>
      </c>
    </row>
    <row r="400" spans="4:43" ht="15" hidden="1" customHeight="1">
      <c r="D400" t="s">
        <v>1683</v>
      </c>
      <c r="E400" s="23" t="s">
        <v>1684</v>
      </c>
      <c r="I400" s="26"/>
      <c r="L400" s="27" t="str">
        <f t="shared" si="157"/>
        <v xml:space="preserve"> </v>
      </c>
      <c r="N400" s="27" t="str">
        <f t="shared" si="155"/>
        <v xml:space="preserve"> </v>
      </c>
      <c r="O400" s="27">
        <f t="shared" si="150"/>
        <v>0</v>
      </c>
      <c r="P400" s="28" t="str">
        <f t="shared" si="154"/>
        <v>On time</v>
      </c>
      <c r="Q400" s="27">
        <f t="shared" si="151"/>
        <v>0</v>
      </c>
      <c r="R400" s="29" t="s">
        <v>125</v>
      </c>
      <c r="S400" s="12" t="s">
        <v>51</v>
      </c>
      <c r="T400" s="34">
        <v>41</v>
      </c>
      <c r="U400" t="s">
        <v>281</v>
      </c>
      <c r="V400" s="27">
        <v>4</v>
      </c>
      <c r="W400" s="9">
        <v>2.0299999999999998</v>
      </c>
      <c r="X400" s="9">
        <f t="shared" si="156"/>
        <v>8.1199999999999992</v>
      </c>
      <c r="Z400" s="10">
        <v>46038</v>
      </c>
      <c r="AA400" s="10">
        <v>46040</v>
      </c>
      <c r="AB400" s="10">
        <v>46043</v>
      </c>
      <c r="AC400" s="10">
        <v>46127</v>
      </c>
      <c r="AD400" s="31">
        <f t="shared" ca="1" si="149"/>
        <v>95</v>
      </c>
      <c r="AE400" s="55">
        <v>1</v>
      </c>
      <c r="AF400" s="9" t="s">
        <v>155</v>
      </c>
      <c r="AG400" s="10" t="s">
        <v>78</v>
      </c>
      <c r="AI400" s="9" t="s">
        <v>53</v>
      </c>
      <c r="AJ400" s="10">
        <v>46067</v>
      </c>
      <c r="AK400" s="10">
        <v>46114</v>
      </c>
      <c r="AL400" s="9" t="s">
        <v>1956</v>
      </c>
      <c r="AM400" s="27" t="str">
        <f t="shared" si="152"/>
        <v>On time</v>
      </c>
      <c r="AN400" s="27" t="str">
        <f t="shared" ca="1" si="158"/>
        <v>Chegou</v>
      </c>
      <c r="AO400" s="27" t="str">
        <f t="shared" ca="1" si="153"/>
        <v>Chegou HCI</v>
      </c>
      <c r="AP400" t="s">
        <v>289</v>
      </c>
      <c r="AQ400" t="s">
        <v>2210</v>
      </c>
    </row>
    <row r="401" spans="1:43" ht="15" hidden="1" customHeight="1">
      <c r="D401" t="s">
        <v>1683</v>
      </c>
      <c r="E401" s="23" t="s">
        <v>1684</v>
      </c>
      <c r="I401" s="26"/>
      <c r="L401" s="27" t="str">
        <f t="shared" si="157"/>
        <v xml:space="preserve"> </v>
      </c>
      <c r="N401" s="27" t="str">
        <f t="shared" si="155"/>
        <v xml:space="preserve"> </v>
      </c>
      <c r="O401" s="27">
        <f t="shared" si="150"/>
        <v>0</v>
      </c>
      <c r="P401" s="28" t="str">
        <f t="shared" si="154"/>
        <v>On time</v>
      </c>
      <c r="Q401" s="27">
        <f t="shared" si="151"/>
        <v>0</v>
      </c>
      <c r="R401" s="29" t="s">
        <v>125</v>
      </c>
      <c r="S401" s="12" t="s">
        <v>51</v>
      </c>
      <c r="T401" s="34">
        <v>42</v>
      </c>
      <c r="U401" t="s">
        <v>281</v>
      </c>
      <c r="V401" s="27">
        <v>3</v>
      </c>
      <c r="W401" s="9">
        <v>2.0299999999999998</v>
      </c>
      <c r="X401" s="9">
        <f t="shared" si="156"/>
        <v>6.09</v>
      </c>
      <c r="Z401" s="10">
        <v>46038</v>
      </c>
      <c r="AA401" s="10">
        <v>46040</v>
      </c>
      <c r="AB401" s="10">
        <v>46043</v>
      </c>
      <c r="AC401" s="10">
        <v>46127</v>
      </c>
      <c r="AD401" s="31">
        <f t="shared" ca="1" si="149"/>
        <v>95</v>
      </c>
      <c r="AE401" s="55">
        <v>1</v>
      </c>
      <c r="AF401" s="9" t="s">
        <v>155</v>
      </c>
      <c r="AG401" s="10" t="s">
        <v>78</v>
      </c>
      <c r="AI401" s="9" t="s">
        <v>53</v>
      </c>
      <c r="AJ401" s="10">
        <v>46067</v>
      </c>
      <c r="AK401" s="10">
        <v>46114</v>
      </c>
      <c r="AL401" s="9" t="s">
        <v>1956</v>
      </c>
      <c r="AM401" s="27" t="str">
        <f>IF(AB401=0," ",IF(AB401&lt;=AA401+10,"On time","Atrasado"))</f>
        <v>On time</v>
      </c>
      <c r="AN401" s="27" t="str">
        <f t="shared" ca="1" si="158"/>
        <v>Chegou</v>
      </c>
      <c r="AO401" s="27" t="str">
        <f t="shared" ca="1" si="153"/>
        <v>Chegou HCI</v>
      </c>
      <c r="AP401" t="s">
        <v>289</v>
      </c>
      <c r="AQ401" t="s">
        <v>2210</v>
      </c>
    </row>
    <row r="402" spans="1:43" ht="15" hidden="1" customHeight="1">
      <c r="D402" t="s">
        <v>1683</v>
      </c>
      <c r="E402" s="23" t="s">
        <v>1684</v>
      </c>
      <c r="I402" s="26"/>
      <c r="L402" s="27" t="str">
        <f t="shared" si="157"/>
        <v xml:space="preserve"> </v>
      </c>
      <c r="N402" s="27" t="str">
        <f t="shared" si="155"/>
        <v xml:space="preserve"> </v>
      </c>
      <c r="O402" s="27">
        <f t="shared" si="150"/>
        <v>0</v>
      </c>
      <c r="P402" s="28" t="str">
        <f t="shared" si="154"/>
        <v>On time</v>
      </c>
      <c r="Q402" s="27">
        <f t="shared" si="151"/>
        <v>0</v>
      </c>
      <c r="R402" s="29" t="s">
        <v>125</v>
      </c>
      <c r="S402" s="12" t="s">
        <v>51</v>
      </c>
      <c r="T402" s="34">
        <v>43</v>
      </c>
      <c r="U402" t="s">
        <v>281</v>
      </c>
      <c r="V402" s="27">
        <v>1</v>
      </c>
      <c r="W402" s="9">
        <v>2.0299999999999998</v>
      </c>
      <c r="X402" s="9">
        <f t="shared" si="156"/>
        <v>2.0299999999999998</v>
      </c>
      <c r="Z402" s="10">
        <v>46038</v>
      </c>
      <c r="AA402" s="10">
        <v>46040</v>
      </c>
      <c r="AB402" s="10">
        <v>46043</v>
      </c>
      <c r="AC402" s="10">
        <v>46127</v>
      </c>
      <c r="AD402" s="31">
        <f t="shared" ca="1" si="149"/>
        <v>95</v>
      </c>
      <c r="AE402" s="55">
        <v>1</v>
      </c>
      <c r="AF402" s="9" t="s">
        <v>155</v>
      </c>
      <c r="AG402" s="10" t="s">
        <v>78</v>
      </c>
      <c r="AI402" s="9" t="s">
        <v>53</v>
      </c>
      <c r="AJ402" s="10">
        <v>46067</v>
      </c>
      <c r="AK402" s="10">
        <v>46114</v>
      </c>
      <c r="AL402" s="9" t="s">
        <v>1956</v>
      </c>
      <c r="AM402" s="27" t="str">
        <f t="shared" ref="AM402:AM412" si="159">IF(AB402=0," ",IF(AB402&lt;=AA402+10,"On time","Atrasado"))</f>
        <v>On time</v>
      </c>
      <c r="AN402" s="27" t="str">
        <f t="shared" ca="1" si="158"/>
        <v>Chegou</v>
      </c>
      <c r="AO402" s="27" t="str">
        <f t="shared" ca="1" si="153"/>
        <v>Chegou HCI</v>
      </c>
      <c r="AP402" t="s">
        <v>289</v>
      </c>
      <c r="AQ402" t="s">
        <v>2210</v>
      </c>
    </row>
    <row r="403" spans="1:43" ht="15" hidden="1" customHeight="1">
      <c r="D403" t="s">
        <v>1683</v>
      </c>
      <c r="E403" s="23" t="s">
        <v>1684</v>
      </c>
      <c r="I403" s="26"/>
      <c r="L403" s="27" t="str">
        <f t="shared" si="157"/>
        <v xml:space="preserve"> </v>
      </c>
      <c r="N403" s="27" t="str">
        <f t="shared" si="155"/>
        <v xml:space="preserve"> </v>
      </c>
      <c r="O403" s="27">
        <f t="shared" si="150"/>
        <v>0</v>
      </c>
      <c r="P403" s="28" t="str">
        <f t="shared" si="154"/>
        <v>On time</v>
      </c>
      <c r="Q403" s="27">
        <f t="shared" si="151"/>
        <v>0</v>
      </c>
      <c r="R403" s="29" t="s">
        <v>125</v>
      </c>
      <c r="S403" s="12" t="s">
        <v>51</v>
      </c>
      <c r="T403" s="34">
        <v>44</v>
      </c>
      <c r="U403" t="s">
        <v>281</v>
      </c>
      <c r="V403" s="27">
        <v>2</v>
      </c>
      <c r="W403" s="9">
        <v>2.0299999999999998</v>
      </c>
      <c r="X403" s="9">
        <f t="shared" si="156"/>
        <v>4.0599999999999996</v>
      </c>
      <c r="Z403" s="10">
        <v>46038</v>
      </c>
      <c r="AA403" s="10">
        <v>46040</v>
      </c>
      <c r="AB403" s="10">
        <v>46043</v>
      </c>
      <c r="AC403" s="10">
        <v>46127</v>
      </c>
      <c r="AD403" s="31">
        <f t="shared" ca="1" si="149"/>
        <v>95</v>
      </c>
      <c r="AE403" s="55">
        <v>1</v>
      </c>
      <c r="AF403" s="9" t="s">
        <v>155</v>
      </c>
      <c r="AG403" s="10" t="s">
        <v>78</v>
      </c>
      <c r="AI403" s="9" t="s">
        <v>53</v>
      </c>
      <c r="AJ403" s="10">
        <v>46067</v>
      </c>
      <c r="AK403" s="10">
        <v>46114</v>
      </c>
      <c r="AL403" s="9" t="s">
        <v>1956</v>
      </c>
      <c r="AM403" s="27" t="str">
        <f t="shared" si="159"/>
        <v>On time</v>
      </c>
      <c r="AN403" s="27" t="str">
        <f t="shared" ca="1" si="158"/>
        <v>Chegou</v>
      </c>
      <c r="AO403" s="27" t="str">
        <f t="shared" ca="1" si="153"/>
        <v>Chegou HCI</v>
      </c>
      <c r="AP403" t="s">
        <v>289</v>
      </c>
      <c r="AQ403" t="s">
        <v>2210</v>
      </c>
    </row>
    <row r="404" spans="1:43" ht="15" hidden="1" customHeight="1">
      <c r="D404" t="s">
        <v>1685</v>
      </c>
      <c r="E404" s="23" t="s">
        <v>1686</v>
      </c>
      <c r="I404" s="26"/>
      <c r="L404" s="27" t="str">
        <f t="shared" si="157"/>
        <v xml:space="preserve"> </v>
      </c>
      <c r="N404" s="27" t="str">
        <f t="shared" si="155"/>
        <v xml:space="preserve"> </v>
      </c>
      <c r="O404" s="27">
        <f t="shared" si="150"/>
        <v>0</v>
      </c>
      <c r="P404" s="28" t="str">
        <f t="shared" si="154"/>
        <v>On time</v>
      </c>
      <c r="Q404" s="27">
        <f t="shared" si="151"/>
        <v>0</v>
      </c>
      <c r="R404" s="29" t="s">
        <v>125</v>
      </c>
      <c r="S404" s="12" t="s">
        <v>51</v>
      </c>
      <c r="T404" s="34">
        <v>45</v>
      </c>
      <c r="U404" t="s">
        <v>282</v>
      </c>
      <c r="V404" s="27">
        <v>2</v>
      </c>
      <c r="W404" s="9">
        <v>3.55</v>
      </c>
      <c r="X404" s="9">
        <f t="shared" si="156"/>
        <v>7.1</v>
      </c>
      <c r="Z404" s="10">
        <v>46038</v>
      </c>
      <c r="AA404" s="10">
        <v>46040</v>
      </c>
      <c r="AB404" s="10">
        <v>46043</v>
      </c>
      <c r="AC404" s="10">
        <v>46127</v>
      </c>
      <c r="AD404" s="31">
        <f t="shared" ca="1" si="149"/>
        <v>95</v>
      </c>
      <c r="AE404" s="55">
        <v>1</v>
      </c>
      <c r="AF404" s="9" t="s">
        <v>155</v>
      </c>
      <c r="AG404" s="10" t="s">
        <v>78</v>
      </c>
      <c r="AI404" s="9" t="s">
        <v>53</v>
      </c>
      <c r="AJ404" s="10">
        <v>46067</v>
      </c>
      <c r="AK404" s="10">
        <v>46114</v>
      </c>
      <c r="AL404" s="9" t="s">
        <v>1956</v>
      </c>
      <c r="AM404" s="27" t="str">
        <f t="shared" si="159"/>
        <v>On time</v>
      </c>
      <c r="AN404" s="27" t="str">
        <f t="shared" ca="1" si="158"/>
        <v>Chegou</v>
      </c>
      <c r="AO404" s="27" t="str">
        <f t="shared" ca="1" si="153"/>
        <v>Chegou HCI</v>
      </c>
      <c r="AP404" t="s">
        <v>289</v>
      </c>
      <c r="AQ404" t="s">
        <v>2210</v>
      </c>
    </row>
    <row r="405" spans="1:43" ht="15" hidden="1" customHeight="1">
      <c r="D405" t="s">
        <v>1687</v>
      </c>
      <c r="E405" s="23" t="s">
        <v>1688</v>
      </c>
      <c r="I405" s="26"/>
      <c r="L405" s="27" t="str">
        <f t="shared" si="157"/>
        <v xml:space="preserve"> </v>
      </c>
      <c r="N405" s="27" t="str">
        <f t="shared" si="155"/>
        <v xml:space="preserve"> </v>
      </c>
      <c r="O405" s="27">
        <f t="shared" si="150"/>
        <v>0</v>
      </c>
      <c r="P405" s="28" t="str">
        <f t="shared" si="154"/>
        <v>On time</v>
      </c>
      <c r="Q405" s="27">
        <f t="shared" si="151"/>
        <v>0</v>
      </c>
      <c r="R405" s="29" t="s">
        <v>125</v>
      </c>
      <c r="S405" s="12" t="s">
        <v>51</v>
      </c>
      <c r="T405" s="34">
        <v>46</v>
      </c>
      <c r="U405" t="s">
        <v>283</v>
      </c>
      <c r="V405" s="27">
        <v>4</v>
      </c>
      <c r="W405" s="9">
        <v>1.1299999999999999</v>
      </c>
      <c r="X405" s="9">
        <f t="shared" si="156"/>
        <v>4.5199999999999996</v>
      </c>
      <c r="Z405" s="10">
        <v>46038</v>
      </c>
      <c r="AA405" s="10">
        <v>46040</v>
      </c>
      <c r="AB405" s="10">
        <v>46043</v>
      </c>
      <c r="AC405" s="10">
        <v>46127</v>
      </c>
      <c r="AD405" s="31">
        <f t="shared" ca="1" si="149"/>
        <v>95</v>
      </c>
      <c r="AE405" s="55">
        <v>1</v>
      </c>
      <c r="AF405" s="9" t="s">
        <v>155</v>
      </c>
      <c r="AG405" s="10" t="s">
        <v>78</v>
      </c>
      <c r="AI405" s="9" t="s">
        <v>53</v>
      </c>
      <c r="AJ405" s="10">
        <v>46067</v>
      </c>
      <c r="AK405" s="10">
        <v>46114</v>
      </c>
      <c r="AL405" s="9" t="s">
        <v>1956</v>
      </c>
      <c r="AM405" s="27" t="str">
        <f t="shared" si="159"/>
        <v>On time</v>
      </c>
      <c r="AN405" s="27" t="str">
        <f t="shared" ca="1" si="158"/>
        <v>Chegou</v>
      </c>
      <c r="AO405" s="27" t="str">
        <f t="shared" ca="1" si="153"/>
        <v>Chegou HCI</v>
      </c>
      <c r="AP405" t="s">
        <v>289</v>
      </c>
      <c r="AQ405" t="s">
        <v>2210</v>
      </c>
    </row>
    <row r="406" spans="1:43" ht="15" hidden="1" customHeight="1">
      <c r="D406" t="s">
        <v>1689</v>
      </c>
      <c r="E406" s="23" t="s">
        <v>1690</v>
      </c>
      <c r="I406" s="26"/>
      <c r="L406" s="27" t="str">
        <f t="shared" si="157"/>
        <v xml:space="preserve"> </v>
      </c>
      <c r="N406" s="27" t="str">
        <f t="shared" si="155"/>
        <v xml:space="preserve"> </v>
      </c>
      <c r="O406" s="27">
        <f t="shared" si="150"/>
        <v>0</v>
      </c>
      <c r="P406" s="28" t="str">
        <f t="shared" si="154"/>
        <v>On time</v>
      </c>
      <c r="Q406" s="27">
        <f t="shared" si="151"/>
        <v>0</v>
      </c>
      <c r="R406" s="29" t="s">
        <v>125</v>
      </c>
      <c r="S406" s="12" t="s">
        <v>51</v>
      </c>
      <c r="T406" s="34">
        <v>47</v>
      </c>
      <c r="U406" t="s">
        <v>284</v>
      </c>
      <c r="V406" s="27">
        <v>5</v>
      </c>
      <c r="W406" s="9">
        <v>4.74</v>
      </c>
      <c r="X406" s="9">
        <f t="shared" si="156"/>
        <v>23.700000000000003</v>
      </c>
      <c r="Z406" s="10">
        <v>46038</v>
      </c>
      <c r="AA406" s="10">
        <v>46040</v>
      </c>
      <c r="AB406" s="10">
        <v>46043</v>
      </c>
      <c r="AC406" s="10">
        <v>46127</v>
      </c>
      <c r="AD406" s="31">
        <f t="shared" ca="1" si="149"/>
        <v>95</v>
      </c>
      <c r="AE406" s="55">
        <v>1</v>
      </c>
      <c r="AF406" s="9" t="s">
        <v>155</v>
      </c>
      <c r="AG406" s="10" t="s">
        <v>78</v>
      </c>
      <c r="AI406" s="9" t="s">
        <v>53</v>
      </c>
      <c r="AJ406" s="10">
        <v>46067</v>
      </c>
      <c r="AK406" s="10">
        <v>46114</v>
      </c>
      <c r="AL406" s="9" t="s">
        <v>1956</v>
      </c>
      <c r="AM406" s="27" t="str">
        <f t="shared" si="159"/>
        <v>On time</v>
      </c>
      <c r="AN406" s="27" t="str">
        <f t="shared" ca="1" si="158"/>
        <v>Chegou</v>
      </c>
      <c r="AO406" s="27" t="str">
        <f t="shared" ca="1" si="153"/>
        <v>Chegou HCI</v>
      </c>
      <c r="AP406" t="s">
        <v>289</v>
      </c>
      <c r="AQ406" t="s">
        <v>2210</v>
      </c>
    </row>
    <row r="407" spans="1:43" ht="15" hidden="1" customHeight="1">
      <c r="D407" t="s">
        <v>1691</v>
      </c>
      <c r="E407" s="23" t="s">
        <v>1692</v>
      </c>
      <c r="I407" s="26"/>
      <c r="L407" s="27" t="str">
        <f t="shared" si="157"/>
        <v xml:space="preserve"> </v>
      </c>
      <c r="N407" s="27" t="str">
        <f t="shared" si="155"/>
        <v xml:space="preserve"> </v>
      </c>
      <c r="O407" s="27">
        <f t="shared" si="150"/>
        <v>0</v>
      </c>
      <c r="P407" s="28" t="str">
        <f t="shared" si="154"/>
        <v>On time</v>
      </c>
      <c r="Q407" s="27">
        <f t="shared" si="151"/>
        <v>0</v>
      </c>
      <c r="R407" s="29" t="s">
        <v>125</v>
      </c>
      <c r="S407" s="12" t="s">
        <v>51</v>
      </c>
      <c r="T407" s="34">
        <v>48</v>
      </c>
      <c r="U407" t="s">
        <v>285</v>
      </c>
      <c r="V407" s="27">
        <v>2</v>
      </c>
      <c r="W407" s="9">
        <v>4.88</v>
      </c>
      <c r="X407" s="9">
        <f t="shared" si="156"/>
        <v>9.76</v>
      </c>
      <c r="Z407" s="10">
        <v>46038</v>
      </c>
      <c r="AA407" s="10">
        <v>46040</v>
      </c>
      <c r="AB407" s="10">
        <v>46043</v>
      </c>
      <c r="AC407" s="10">
        <v>46127</v>
      </c>
      <c r="AD407" s="31">
        <f t="shared" ca="1" si="149"/>
        <v>95</v>
      </c>
      <c r="AE407" s="55">
        <v>1</v>
      </c>
      <c r="AF407" s="9" t="s">
        <v>155</v>
      </c>
      <c r="AG407" s="10" t="s">
        <v>78</v>
      </c>
      <c r="AI407" s="9" t="s">
        <v>53</v>
      </c>
      <c r="AJ407" s="10">
        <v>46067</v>
      </c>
      <c r="AK407" s="10">
        <v>46114</v>
      </c>
      <c r="AL407" s="9" t="s">
        <v>1956</v>
      </c>
      <c r="AM407" s="27" t="str">
        <f t="shared" si="159"/>
        <v>On time</v>
      </c>
      <c r="AN407" s="27" t="str">
        <f t="shared" ca="1" si="158"/>
        <v>Chegou</v>
      </c>
      <c r="AO407" s="27" t="str">
        <f t="shared" ca="1" si="153"/>
        <v>Chegou HCI</v>
      </c>
      <c r="AP407" t="s">
        <v>289</v>
      </c>
      <c r="AQ407" t="s">
        <v>2210</v>
      </c>
    </row>
    <row r="408" spans="1:43" ht="15" hidden="1" customHeight="1">
      <c r="D408" t="s">
        <v>1693</v>
      </c>
      <c r="E408" s="23" t="s">
        <v>1694</v>
      </c>
      <c r="I408" s="26"/>
      <c r="L408" s="27" t="str">
        <f t="shared" si="157"/>
        <v xml:space="preserve"> </v>
      </c>
      <c r="N408" s="27" t="str">
        <f t="shared" si="155"/>
        <v xml:space="preserve"> </v>
      </c>
      <c r="O408" s="27">
        <f t="shared" si="150"/>
        <v>0</v>
      </c>
      <c r="P408" s="28" t="str">
        <f t="shared" si="154"/>
        <v>On time</v>
      </c>
      <c r="Q408" s="27">
        <f t="shared" si="151"/>
        <v>0</v>
      </c>
      <c r="R408" s="29" t="s">
        <v>125</v>
      </c>
      <c r="S408" s="12" t="s">
        <v>51</v>
      </c>
      <c r="T408" s="34">
        <v>49</v>
      </c>
      <c r="U408" t="s">
        <v>286</v>
      </c>
      <c r="V408" s="27">
        <v>1</v>
      </c>
      <c r="W408" s="9">
        <v>5.13</v>
      </c>
      <c r="X408" s="9">
        <f t="shared" si="156"/>
        <v>5.13</v>
      </c>
      <c r="Z408" s="10">
        <v>46038</v>
      </c>
      <c r="AA408" s="10">
        <v>46040</v>
      </c>
      <c r="AB408" s="10">
        <v>46043</v>
      </c>
      <c r="AC408" s="10">
        <v>46127</v>
      </c>
      <c r="AD408" s="31">
        <f t="shared" ca="1" si="149"/>
        <v>95</v>
      </c>
      <c r="AE408" s="55">
        <v>1</v>
      </c>
      <c r="AF408" s="9" t="s">
        <v>155</v>
      </c>
      <c r="AG408" s="10" t="s">
        <v>78</v>
      </c>
      <c r="AI408" s="9" t="s">
        <v>53</v>
      </c>
      <c r="AJ408" s="10">
        <v>46067</v>
      </c>
      <c r="AK408" s="10">
        <v>46114</v>
      </c>
      <c r="AL408" s="9" t="s">
        <v>1956</v>
      </c>
      <c r="AM408" s="27" t="str">
        <f t="shared" si="159"/>
        <v>On time</v>
      </c>
      <c r="AN408" s="27" t="str">
        <f t="shared" ca="1" si="158"/>
        <v>Chegou</v>
      </c>
      <c r="AO408" s="27" t="str">
        <f t="shared" ca="1" si="153"/>
        <v>Chegou HCI</v>
      </c>
      <c r="AP408" t="s">
        <v>289</v>
      </c>
      <c r="AQ408" t="s">
        <v>2210</v>
      </c>
    </row>
    <row r="409" spans="1:43" ht="15" hidden="1" customHeight="1">
      <c r="D409" t="s">
        <v>1671</v>
      </c>
      <c r="E409" s="23" t="s">
        <v>1672</v>
      </c>
      <c r="I409" s="26"/>
      <c r="L409" s="27" t="str">
        <f t="shared" si="157"/>
        <v xml:space="preserve"> </v>
      </c>
      <c r="N409" s="27" t="str">
        <f t="shared" si="155"/>
        <v xml:space="preserve"> </v>
      </c>
      <c r="O409" s="27">
        <f t="shared" si="150"/>
        <v>0</v>
      </c>
      <c r="P409" s="28" t="str">
        <f t="shared" si="154"/>
        <v>On time</v>
      </c>
      <c r="Q409" s="27">
        <f t="shared" si="151"/>
        <v>0</v>
      </c>
      <c r="R409" s="29" t="s">
        <v>125</v>
      </c>
      <c r="S409" s="12" t="s">
        <v>51</v>
      </c>
      <c r="T409" s="34">
        <v>50</v>
      </c>
      <c r="U409" t="s">
        <v>275</v>
      </c>
      <c r="V409" s="27">
        <v>1</v>
      </c>
      <c r="W409" s="9">
        <v>5.27</v>
      </c>
      <c r="X409" s="9">
        <f>W409*V409</f>
        <v>5.27</v>
      </c>
      <c r="Z409" s="10">
        <v>46038</v>
      </c>
      <c r="AA409" s="10">
        <v>46040</v>
      </c>
      <c r="AB409" s="10">
        <v>46043</v>
      </c>
      <c r="AC409" s="10">
        <v>46127</v>
      </c>
      <c r="AD409" s="31">
        <f t="shared" ca="1" si="149"/>
        <v>95</v>
      </c>
      <c r="AE409" s="55">
        <v>1</v>
      </c>
      <c r="AF409" s="9" t="s">
        <v>155</v>
      </c>
      <c r="AG409" s="10" t="s">
        <v>78</v>
      </c>
      <c r="AI409" s="9" t="s">
        <v>53</v>
      </c>
      <c r="AJ409" s="10">
        <v>46067</v>
      </c>
      <c r="AK409" s="10">
        <v>46114</v>
      </c>
      <c r="AL409" s="9" t="s">
        <v>1956</v>
      </c>
      <c r="AM409" s="27" t="str">
        <f t="shared" si="159"/>
        <v>On time</v>
      </c>
      <c r="AN409" s="27" t="str">
        <f t="shared" ca="1" si="158"/>
        <v>Chegou</v>
      </c>
      <c r="AO409" s="27" t="str">
        <f t="shared" ca="1" si="153"/>
        <v>Chegou HCI</v>
      </c>
      <c r="AP409" t="s">
        <v>289</v>
      </c>
      <c r="AQ409" t="s">
        <v>2210</v>
      </c>
    </row>
    <row r="410" spans="1:43" ht="15" hidden="1" customHeight="1">
      <c r="A410">
        <v>512754</v>
      </c>
      <c r="B410">
        <v>14</v>
      </c>
      <c r="C410" t="s">
        <v>1965</v>
      </c>
      <c r="D410" t="s">
        <v>1242</v>
      </c>
      <c r="E410" s="23" t="s">
        <v>1695</v>
      </c>
      <c r="F410">
        <v>3</v>
      </c>
      <c r="G410" s="25">
        <v>36.130000000000003</v>
      </c>
      <c r="H410" s="25">
        <f>G410*F410</f>
        <v>108.39000000000001</v>
      </c>
      <c r="I410" s="26">
        <v>46139</v>
      </c>
      <c r="J410" s="10">
        <v>46121</v>
      </c>
      <c r="K410" s="10">
        <v>46121</v>
      </c>
      <c r="L410" s="27" t="str">
        <f t="shared" si="157"/>
        <v>On time</v>
      </c>
      <c r="M410" s="58">
        <v>46038</v>
      </c>
      <c r="N410" s="27" t="str">
        <f t="shared" si="155"/>
        <v>On time</v>
      </c>
      <c r="O410" s="27">
        <f t="shared" si="150"/>
        <v>-83</v>
      </c>
      <c r="P410" s="28" t="str">
        <f t="shared" si="154"/>
        <v>On time</v>
      </c>
      <c r="Q410" s="27">
        <f t="shared" si="151"/>
        <v>18</v>
      </c>
      <c r="R410" s="29" t="s">
        <v>125</v>
      </c>
      <c r="S410" s="12" t="s">
        <v>51</v>
      </c>
      <c r="T410" s="34">
        <v>51</v>
      </c>
      <c r="U410" t="s">
        <v>287</v>
      </c>
      <c r="V410" s="79">
        <v>121</v>
      </c>
      <c r="W410" s="70">
        <v>2.17</v>
      </c>
      <c r="X410" s="80">
        <f>W410*V410</f>
        <v>262.57</v>
      </c>
      <c r="Z410" s="10">
        <v>46038</v>
      </c>
      <c r="AA410" s="10">
        <v>46040</v>
      </c>
      <c r="AB410" s="10">
        <v>46043</v>
      </c>
      <c r="AC410" s="10">
        <v>46127</v>
      </c>
      <c r="AD410" s="31">
        <f t="shared" ref="AD410" ca="1" si="160">TODAY()-AA410</f>
        <v>95</v>
      </c>
      <c r="AE410" s="55">
        <v>1</v>
      </c>
      <c r="AF410" s="9" t="s">
        <v>155</v>
      </c>
      <c r="AG410" s="10" t="s">
        <v>78</v>
      </c>
      <c r="AI410" s="9" t="s">
        <v>53</v>
      </c>
      <c r="AJ410" s="10">
        <v>46067</v>
      </c>
      <c r="AK410" s="10">
        <v>46114</v>
      </c>
      <c r="AL410" s="9" t="s">
        <v>1956</v>
      </c>
      <c r="AM410" s="27" t="str">
        <f t="shared" ref="AM410" si="161">IF(AB410=0," ",IF(AB410&lt;=AA410+10,"On time","Atrasado"))</f>
        <v>On time</v>
      </c>
      <c r="AN410" s="27" t="str">
        <f t="shared" ref="AN410" ca="1" si="162">IF(AND(AC410&lt;&gt;"",AC410&lt;=TODAY()),"Chegou",IF(A410="","Estoque",IF(OR(AC410="",I410=""),"",IF(I410-AC410&lt;=0,"Atrasado",IF(I410-AC410&lt;=9,"Crítico",IF(I410-AC410&lt;=20,"Verificar aéreo",IF(I410-AC410&lt;=25,"Alerta","No prazo")        ))))))</f>
        <v>Chegou</v>
      </c>
      <c r="AO410" s="27" t="str">
        <f t="shared" ca="1" si="153"/>
        <v>Chegou HCI</v>
      </c>
      <c r="AP410" t="s">
        <v>289</v>
      </c>
      <c r="AQ410" t="s">
        <v>2210</v>
      </c>
    </row>
    <row r="411" spans="1:43" ht="15" hidden="1" customHeight="1">
      <c r="A411">
        <v>513366</v>
      </c>
      <c r="B411">
        <v>2</v>
      </c>
      <c r="C411" t="s">
        <v>98</v>
      </c>
      <c r="D411" t="s">
        <v>1242</v>
      </c>
      <c r="E411" s="23" t="s">
        <v>1695</v>
      </c>
      <c r="F411">
        <v>3</v>
      </c>
      <c r="G411" s="25">
        <v>48.41</v>
      </c>
      <c r="H411" s="25">
        <f>G411*F411</f>
        <v>145.22999999999999</v>
      </c>
      <c r="I411" s="26">
        <v>46135</v>
      </c>
      <c r="J411" s="10">
        <v>46105</v>
      </c>
      <c r="K411" s="10">
        <v>46105</v>
      </c>
      <c r="L411" s="27" t="str">
        <f t="shared" si="157"/>
        <v>On time</v>
      </c>
      <c r="M411" s="58">
        <v>46038</v>
      </c>
      <c r="N411" s="27" t="str">
        <f t="shared" si="155"/>
        <v>On time</v>
      </c>
      <c r="O411" s="27">
        <f t="shared" si="150"/>
        <v>-67</v>
      </c>
      <c r="P411" s="28" t="str">
        <f t="shared" si="154"/>
        <v>On time</v>
      </c>
      <c r="Q411" s="27">
        <f t="shared" si="151"/>
        <v>30</v>
      </c>
      <c r="R411" s="29" t="s">
        <v>125</v>
      </c>
      <c r="S411" s="12" t="s">
        <v>51</v>
      </c>
      <c r="T411" s="34">
        <v>51</v>
      </c>
      <c r="U411" t="s">
        <v>287</v>
      </c>
      <c r="V411" s="79"/>
      <c r="W411" s="70">
        <v>2.17</v>
      </c>
      <c r="X411" s="80"/>
      <c r="Z411" s="10">
        <v>46038</v>
      </c>
      <c r="AA411" s="10">
        <v>46040</v>
      </c>
      <c r="AB411" s="10">
        <v>46043</v>
      </c>
      <c r="AC411" s="10">
        <v>46127</v>
      </c>
      <c r="AD411" s="31">
        <f t="shared" ca="1" si="149"/>
        <v>95</v>
      </c>
      <c r="AE411" s="55">
        <v>1</v>
      </c>
      <c r="AF411" s="9" t="s">
        <v>155</v>
      </c>
      <c r="AG411" s="10" t="s">
        <v>78</v>
      </c>
      <c r="AI411" s="9" t="s">
        <v>53</v>
      </c>
      <c r="AJ411" s="10">
        <v>46067</v>
      </c>
      <c r="AK411" s="10">
        <v>46114</v>
      </c>
      <c r="AL411" s="9" t="s">
        <v>1956</v>
      </c>
      <c r="AM411" s="27" t="str">
        <f t="shared" si="159"/>
        <v>On time</v>
      </c>
      <c r="AN411" s="27" t="str">
        <f t="shared" ca="1" si="158"/>
        <v>Chegou</v>
      </c>
      <c r="AO411" s="27" t="str">
        <f t="shared" ca="1" si="153"/>
        <v>Chegou HCI</v>
      </c>
      <c r="AP411" t="s">
        <v>289</v>
      </c>
      <c r="AQ411" t="s">
        <v>2210</v>
      </c>
    </row>
    <row r="412" spans="1:43" ht="15" hidden="1" customHeight="1">
      <c r="D412" t="s">
        <v>1261</v>
      </c>
      <c r="E412" s="23" t="s">
        <v>1696</v>
      </c>
      <c r="I412" s="26"/>
      <c r="L412" s="27" t="str">
        <f t="shared" si="157"/>
        <v xml:space="preserve"> </v>
      </c>
      <c r="N412" s="27" t="str">
        <f t="shared" si="155"/>
        <v xml:space="preserve"> </v>
      </c>
      <c r="O412" s="27">
        <f t="shared" si="150"/>
        <v>0</v>
      </c>
      <c r="P412" s="28" t="str">
        <f t="shared" si="154"/>
        <v>On time</v>
      </c>
      <c r="Q412" s="27">
        <f t="shared" si="151"/>
        <v>0</v>
      </c>
      <c r="R412" s="29" t="s">
        <v>125</v>
      </c>
      <c r="S412" s="12" t="s">
        <v>51</v>
      </c>
      <c r="T412" s="34">
        <v>52</v>
      </c>
      <c r="U412" t="s">
        <v>288</v>
      </c>
      <c r="V412" s="27">
        <v>72</v>
      </c>
      <c r="W412" s="9">
        <v>6.5</v>
      </c>
      <c r="X412" s="9">
        <f>W412*V412</f>
        <v>468</v>
      </c>
      <c r="Z412" s="10">
        <v>46038</v>
      </c>
      <c r="AA412" s="10">
        <v>46040</v>
      </c>
      <c r="AB412" s="10">
        <v>46043</v>
      </c>
      <c r="AC412" s="10">
        <v>46127</v>
      </c>
      <c r="AD412" s="31">
        <f t="shared" ca="1" si="149"/>
        <v>95</v>
      </c>
      <c r="AE412" s="55">
        <v>1</v>
      </c>
      <c r="AF412" s="9" t="s">
        <v>155</v>
      </c>
      <c r="AG412" s="10" t="s">
        <v>78</v>
      </c>
      <c r="AI412" s="9" t="s">
        <v>53</v>
      </c>
      <c r="AJ412" s="10">
        <v>46067</v>
      </c>
      <c r="AK412" s="10">
        <v>46114</v>
      </c>
      <c r="AL412" s="9" t="s">
        <v>1956</v>
      </c>
      <c r="AM412" s="27" t="str">
        <f t="shared" si="159"/>
        <v>On time</v>
      </c>
      <c r="AN412" s="27" t="str">
        <f t="shared" ca="1" si="158"/>
        <v>Chegou</v>
      </c>
      <c r="AO412" s="27" t="str">
        <f t="shared" ca="1" si="153"/>
        <v>Chegou HCI</v>
      </c>
      <c r="AP412" t="s">
        <v>289</v>
      </c>
      <c r="AQ412" t="s">
        <v>2210</v>
      </c>
    </row>
    <row r="413" spans="1:43" ht="15" hidden="1" customHeight="1">
      <c r="D413" t="s">
        <v>1699</v>
      </c>
      <c r="E413" s="23" t="s">
        <v>1941</v>
      </c>
      <c r="I413" s="26"/>
      <c r="L413" s="27" t="str">
        <f t="shared" si="157"/>
        <v xml:space="preserve"> </v>
      </c>
      <c r="N413" s="27" t="str">
        <f t="shared" si="155"/>
        <v xml:space="preserve"> </v>
      </c>
      <c r="O413" s="27">
        <f t="shared" si="150"/>
        <v>0</v>
      </c>
      <c r="P413" s="28" t="str">
        <f t="shared" si="154"/>
        <v>On time</v>
      </c>
      <c r="Q413" s="27">
        <f t="shared" si="151"/>
        <v>0</v>
      </c>
      <c r="R413" s="29" t="s">
        <v>127</v>
      </c>
      <c r="S413" s="12" t="s">
        <v>129</v>
      </c>
      <c r="T413" s="34">
        <v>1</v>
      </c>
      <c r="U413" t="s">
        <v>290</v>
      </c>
      <c r="V413" s="27">
        <v>1</v>
      </c>
      <c r="W413" s="9">
        <v>12100</v>
      </c>
      <c r="X413" s="9">
        <f t="shared" si="156"/>
        <v>12100</v>
      </c>
      <c r="Z413" s="10">
        <v>46031</v>
      </c>
      <c r="AA413" s="10">
        <v>46090</v>
      </c>
      <c r="AB413" s="10">
        <v>46157</v>
      </c>
      <c r="AC413" s="10">
        <v>46237</v>
      </c>
      <c r="AD413" s="31">
        <f t="shared" ca="1" si="148"/>
        <v>45</v>
      </c>
      <c r="AE413" s="55" t="s">
        <v>304</v>
      </c>
      <c r="AF413" t="s">
        <v>62</v>
      </c>
      <c r="AG413" s="10" t="s">
        <v>78</v>
      </c>
      <c r="AH413" s="10" t="s">
        <v>78</v>
      </c>
      <c r="AI413" s="9" t="s">
        <v>53</v>
      </c>
      <c r="AL413" s="9" t="s">
        <v>2067</v>
      </c>
      <c r="AM413" s="27" t="str">
        <f>IF(AB413=0," ",IF(AB413&lt;=AA413+10,"On time","Atrasado"))</f>
        <v>Atrasado</v>
      </c>
      <c r="AN413" s="27" t="str">
        <f t="shared" ca="1" si="158"/>
        <v>Estoque</v>
      </c>
      <c r="AO413" s="27" t="str">
        <f t="shared" ca="1" si="153"/>
        <v/>
      </c>
      <c r="AP413" t="s">
        <v>906</v>
      </c>
    </row>
    <row r="414" spans="1:43" ht="15" hidden="1" customHeight="1">
      <c r="D414" t="s">
        <v>1700</v>
      </c>
      <c r="E414" s="23" t="s">
        <v>1942</v>
      </c>
      <c r="I414" s="26"/>
      <c r="L414" s="27" t="str">
        <f t="shared" si="157"/>
        <v xml:space="preserve"> </v>
      </c>
      <c r="N414" s="27" t="str">
        <f t="shared" si="155"/>
        <v xml:space="preserve"> </v>
      </c>
      <c r="O414" s="27">
        <f t="shared" si="150"/>
        <v>0</v>
      </c>
      <c r="P414" s="28" t="str">
        <f t="shared" si="154"/>
        <v>On time</v>
      </c>
      <c r="Q414" s="27">
        <f t="shared" si="151"/>
        <v>0</v>
      </c>
      <c r="R414" s="29" t="s">
        <v>127</v>
      </c>
      <c r="S414" s="12" t="s">
        <v>129</v>
      </c>
      <c r="T414" s="35">
        <v>2</v>
      </c>
      <c r="U414" t="s">
        <v>291</v>
      </c>
      <c r="V414" s="27">
        <v>1</v>
      </c>
      <c r="W414" s="9">
        <v>670</v>
      </c>
      <c r="X414" s="9">
        <f t="shared" si="156"/>
        <v>670</v>
      </c>
      <c r="Z414" s="10">
        <v>46031</v>
      </c>
      <c r="AA414" s="10">
        <v>46090</v>
      </c>
      <c r="AB414" s="10">
        <v>46157</v>
      </c>
      <c r="AC414" s="10">
        <v>46237</v>
      </c>
      <c r="AD414" s="31">
        <f t="shared" ca="1" si="148"/>
        <v>45</v>
      </c>
      <c r="AE414" s="36" t="s">
        <v>304</v>
      </c>
      <c r="AF414" t="s">
        <v>62</v>
      </c>
      <c r="AG414" s="10" t="s">
        <v>78</v>
      </c>
      <c r="AH414" s="10" t="s">
        <v>78</v>
      </c>
      <c r="AI414" s="9" t="s">
        <v>53</v>
      </c>
      <c r="AL414" s="9" t="s">
        <v>2067</v>
      </c>
      <c r="AM414" s="27" t="str">
        <f t="shared" ref="AM414:AM477" si="163">IF(AB414=0," ",IF(AB414&lt;=AA414+10,"On time","Atrasado"))</f>
        <v>Atrasado</v>
      </c>
      <c r="AN414" s="27" t="str">
        <f t="shared" ca="1" si="158"/>
        <v>Estoque</v>
      </c>
      <c r="AO414" s="27" t="str">
        <f t="shared" ca="1" si="153"/>
        <v/>
      </c>
      <c r="AP414" t="s">
        <v>906</v>
      </c>
    </row>
    <row r="415" spans="1:43" ht="15" hidden="1" customHeight="1">
      <c r="D415" t="s">
        <v>1701</v>
      </c>
      <c r="E415" s="23" t="s">
        <v>1943</v>
      </c>
      <c r="I415" s="26"/>
      <c r="L415" s="27" t="str">
        <f t="shared" si="157"/>
        <v xml:space="preserve"> </v>
      </c>
      <c r="N415" s="27" t="str">
        <f t="shared" si="155"/>
        <v xml:space="preserve"> </v>
      </c>
      <c r="O415" s="27">
        <f t="shared" si="150"/>
        <v>0</v>
      </c>
      <c r="P415" s="28" t="str">
        <f t="shared" si="154"/>
        <v>On time</v>
      </c>
      <c r="Q415" s="27">
        <f t="shared" si="151"/>
        <v>0</v>
      </c>
      <c r="R415" s="29" t="s">
        <v>127</v>
      </c>
      <c r="S415" s="12" t="s">
        <v>129</v>
      </c>
      <c r="T415" s="35">
        <v>3</v>
      </c>
      <c r="U415" t="s">
        <v>292</v>
      </c>
      <c r="V415" s="27">
        <v>1</v>
      </c>
      <c r="W415" s="9">
        <v>170</v>
      </c>
      <c r="X415" s="9">
        <f t="shared" si="156"/>
        <v>170</v>
      </c>
      <c r="Z415" s="10">
        <v>46031</v>
      </c>
      <c r="AA415" s="10">
        <v>46090</v>
      </c>
      <c r="AB415" s="10">
        <v>46157</v>
      </c>
      <c r="AC415" s="10">
        <v>46237</v>
      </c>
      <c r="AD415" s="31">
        <f t="shared" ca="1" si="148"/>
        <v>45</v>
      </c>
      <c r="AE415" s="36" t="s">
        <v>304</v>
      </c>
      <c r="AF415" t="s">
        <v>62</v>
      </c>
      <c r="AG415" s="10" t="s">
        <v>78</v>
      </c>
      <c r="AH415" s="10" t="s">
        <v>78</v>
      </c>
      <c r="AI415" s="9" t="s">
        <v>53</v>
      </c>
      <c r="AL415" s="9" t="s">
        <v>2067</v>
      </c>
      <c r="AM415" s="27" t="str">
        <f t="shared" si="163"/>
        <v>Atrasado</v>
      </c>
      <c r="AN415" s="27" t="str">
        <f t="shared" ca="1" si="158"/>
        <v>Estoque</v>
      </c>
      <c r="AO415" s="27" t="str">
        <f t="shared" ca="1" si="153"/>
        <v/>
      </c>
      <c r="AP415" t="s">
        <v>906</v>
      </c>
    </row>
    <row r="416" spans="1:43" ht="15" hidden="1" customHeight="1">
      <c r="D416" t="s">
        <v>1702</v>
      </c>
      <c r="E416" s="23" t="s">
        <v>1944</v>
      </c>
      <c r="I416" s="26"/>
      <c r="L416" s="27" t="str">
        <f t="shared" si="157"/>
        <v xml:space="preserve"> </v>
      </c>
      <c r="N416" s="27" t="str">
        <f t="shared" si="155"/>
        <v xml:space="preserve"> </v>
      </c>
      <c r="O416" s="27">
        <f t="shared" si="150"/>
        <v>0</v>
      </c>
      <c r="P416" s="28" t="str">
        <f t="shared" si="154"/>
        <v>On time</v>
      </c>
      <c r="Q416" s="27">
        <f t="shared" si="151"/>
        <v>0</v>
      </c>
      <c r="R416" s="29" t="s">
        <v>127</v>
      </c>
      <c r="S416" s="12" t="s">
        <v>129</v>
      </c>
      <c r="T416" s="35">
        <v>4</v>
      </c>
      <c r="U416" t="s">
        <v>293</v>
      </c>
      <c r="V416" s="27">
        <v>1</v>
      </c>
      <c r="W416" s="9">
        <v>90</v>
      </c>
      <c r="X416" s="9">
        <f t="shared" si="156"/>
        <v>90</v>
      </c>
      <c r="Z416" s="10">
        <v>46031</v>
      </c>
      <c r="AA416" s="10">
        <v>46090</v>
      </c>
      <c r="AB416" s="10">
        <v>46157</v>
      </c>
      <c r="AC416" s="10">
        <v>46237</v>
      </c>
      <c r="AD416" s="31">
        <f t="shared" ca="1" si="148"/>
        <v>45</v>
      </c>
      <c r="AE416" s="36" t="s">
        <v>304</v>
      </c>
      <c r="AF416" t="s">
        <v>62</v>
      </c>
      <c r="AG416" s="10" t="s">
        <v>78</v>
      </c>
      <c r="AH416" s="10" t="s">
        <v>78</v>
      </c>
      <c r="AI416" s="9" t="s">
        <v>53</v>
      </c>
      <c r="AL416" s="9" t="s">
        <v>2067</v>
      </c>
      <c r="AM416" s="27" t="str">
        <f t="shared" si="163"/>
        <v>Atrasado</v>
      </c>
      <c r="AN416" s="27" t="str">
        <f t="shared" ca="1" si="158"/>
        <v>Estoque</v>
      </c>
      <c r="AO416" s="27" t="str">
        <f t="shared" ca="1" si="153"/>
        <v/>
      </c>
      <c r="AP416" t="s">
        <v>906</v>
      </c>
    </row>
    <row r="417" spans="4:42" ht="15" hidden="1" customHeight="1">
      <c r="D417" t="s">
        <v>1703</v>
      </c>
      <c r="E417" s="23" t="s">
        <v>1945</v>
      </c>
      <c r="I417" s="26"/>
      <c r="L417" s="27" t="str">
        <f t="shared" si="157"/>
        <v xml:space="preserve"> </v>
      </c>
      <c r="N417" s="27" t="str">
        <f t="shared" si="155"/>
        <v xml:space="preserve"> </v>
      </c>
      <c r="O417" s="27">
        <f t="shared" si="150"/>
        <v>0</v>
      </c>
      <c r="P417" s="28" t="str">
        <f t="shared" si="154"/>
        <v>On time</v>
      </c>
      <c r="Q417" s="27">
        <f t="shared" si="151"/>
        <v>0</v>
      </c>
      <c r="R417" s="29" t="s">
        <v>127</v>
      </c>
      <c r="S417" s="12" t="s">
        <v>129</v>
      </c>
      <c r="T417" s="35">
        <v>5</v>
      </c>
      <c r="U417" t="s">
        <v>294</v>
      </c>
      <c r="V417" s="27">
        <v>1</v>
      </c>
      <c r="W417" s="9">
        <v>90</v>
      </c>
      <c r="X417" s="9">
        <f t="shared" si="156"/>
        <v>90</v>
      </c>
      <c r="Z417" s="10">
        <v>46031</v>
      </c>
      <c r="AA417" s="10">
        <v>46090</v>
      </c>
      <c r="AB417" s="10">
        <v>46157</v>
      </c>
      <c r="AC417" s="10">
        <v>46237</v>
      </c>
      <c r="AD417" s="27">
        <f ca="1">TODAY()-AA417</f>
        <v>45</v>
      </c>
      <c r="AE417" s="36" t="s">
        <v>304</v>
      </c>
      <c r="AF417" t="s">
        <v>62</v>
      </c>
      <c r="AG417" s="10" t="s">
        <v>78</v>
      </c>
      <c r="AH417" s="10" t="s">
        <v>78</v>
      </c>
      <c r="AI417" s="9" t="s">
        <v>53</v>
      </c>
      <c r="AL417" s="9" t="s">
        <v>2067</v>
      </c>
      <c r="AM417" s="27" t="str">
        <f t="shared" si="163"/>
        <v>Atrasado</v>
      </c>
      <c r="AN417" s="27" t="str">
        <f t="shared" ca="1" si="158"/>
        <v>Estoque</v>
      </c>
      <c r="AO417" s="27" t="str">
        <f t="shared" ca="1" si="153"/>
        <v/>
      </c>
      <c r="AP417" t="s">
        <v>906</v>
      </c>
    </row>
    <row r="418" spans="4:42" ht="15" hidden="1" customHeight="1">
      <c r="D418" t="s">
        <v>1704</v>
      </c>
      <c r="E418" s="23" t="s">
        <v>1946</v>
      </c>
      <c r="I418" s="26"/>
      <c r="L418" s="27" t="str">
        <f t="shared" si="157"/>
        <v xml:space="preserve"> </v>
      </c>
      <c r="N418" s="27" t="str">
        <f t="shared" si="155"/>
        <v xml:space="preserve"> </v>
      </c>
      <c r="O418" s="27">
        <f t="shared" si="150"/>
        <v>0</v>
      </c>
      <c r="P418" s="28" t="str">
        <f t="shared" si="154"/>
        <v>On time</v>
      </c>
      <c r="Q418" s="27">
        <f t="shared" si="151"/>
        <v>0</v>
      </c>
      <c r="R418" s="29" t="s">
        <v>127</v>
      </c>
      <c r="S418" s="12" t="s">
        <v>129</v>
      </c>
      <c r="T418" s="35">
        <v>6</v>
      </c>
      <c r="U418" t="s">
        <v>295</v>
      </c>
      <c r="V418" s="27">
        <v>1</v>
      </c>
      <c r="W418" s="9">
        <v>90</v>
      </c>
      <c r="X418" s="9">
        <f t="shared" si="156"/>
        <v>90</v>
      </c>
      <c r="Z418" s="10">
        <v>46031</v>
      </c>
      <c r="AA418" s="10">
        <v>46090</v>
      </c>
      <c r="AB418" s="10">
        <v>46157</v>
      </c>
      <c r="AC418" s="10">
        <v>46237</v>
      </c>
      <c r="AD418" s="31">
        <f t="shared" ca="1" si="148"/>
        <v>45</v>
      </c>
      <c r="AE418" s="36" t="s">
        <v>304</v>
      </c>
      <c r="AF418" t="s">
        <v>62</v>
      </c>
      <c r="AG418" s="10" t="s">
        <v>78</v>
      </c>
      <c r="AH418" s="10" t="s">
        <v>78</v>
      </c>
      <c r="AI418" s="9" t="s">
        <v>53</v>
      </c>
      <c r="AL418" s="9" t="s">
        <v>2067</v>
      </c>
      <c r="AM418" s="27" t="str">
        <f t="shared" si="163"/>
        <v>Atrasado</v>
      </c>
      <c r="AN418" s="27" t="str">
        <f t="shared" ca="1" si="158"/>
        <v>Estoque</v>
      </c>
      <c r="AO418" s="27" t="str">
        <f t="shared" ca="1" si="153"/>
        <v/>
      </c>
      <c r="AP418" t="s">
        <v>906</v>
      </c>
    </row>
    <row r="419" spans="4:42" ht="15" hidden="1" customHeight="1">
      <c r="D419" t="s">
        <v>1705</v>
      </c>
      <c r="E419" s="23" t="s">
        <v>1947</v>
      </c>
      <c r="I419" s="26"/>
      <c r="L419" s="27" t="str">
        <f t="shared" si="157"/>
        <v xml:space="preserve"> </v>
      </c>
      <c r="N419" s="27" t="str">
        <f t="shared" si="155"/>
        <v xml:space="preserve"> </v>
      </c>
      <c r="O419" s="27">
        <f t="shared" si="150"/>
        <v>0</v>
      </c>
      <c r="P419" s="28" t="str">
        <f t="shared" si="154"/>
        <v>On time</v>
      </c>
      <c r="Q419" s="27">
        <f t="shared" si="151"/>
        <v>0</v>
      </c>
      <c r="R419" s="29" t="s">
        <v>127</v>
      </c>
      <c r="S419" s="12" t="s">
        <v>129</v>
      </c>
      <c r="T419" s="35">
        <v>7</v>
      </c>
      <c r="U419" t="s">
        <v>296</v>
      </c>
      <c r="V419" s="27">
        <v>1</v>
      </c>
      <c r="W419" s="9">
        <v>90</v>
      </c>
      <c r="X419" s="9">
        <f t="shared" si="156"/>
        <v>90</v>
      </c>
      <c r="Z419" s="10">
        <v>46031</v>
      </c>
      <c r="AA419" s="10">
        <v>46090</v>
      </c>
      <c r="AB419" s="10">
        <v>46157</v>
      </c>
      <c r="AC419" s="10">
        <v>46237</v>
      </c>
      <c r="AD419" s="31">
        <f t="shared" ca="1" si="148"/>
        <v>45</v>
      </c>
      <c r="AE419" s="36" t="s">
        <v>304</v>
      </c>
      <c r="AF419" t="s">
        <v>62</v>
      </c>
      <c r="AG419" s="10" t="s">
        <v>78</v>
      </c>
      <c r="AH419" s="10" t="s">
        <v>78</v>
      </c>
      <c r="AI419" s="9" t="s">
        <v>53</v>
      </c>
      <c r="AL419" s="9" t="s">
        <v>2067</v>
      </c>
      <c r="AM419" s="27" t="str">
        <f t="shared" si="163"/>
        <v>Atrasado</v>
      </c>
      <c r="AN419" s="27" t="str">
        <f t="shared" ca="1" si="158"/>
        <v>Estoque</v>
      </c>
      <c r="AO419" s="27" t="str">
        <f t="shared" ca="1" si="153"/>
        <v/>
      </c>
      <c r="AP419" t="s">
        <v>906</v>
      </c>
    </row>
    <row r="420" spans="4:42" ht="15" hidden="1" customHeight="1">
      <c r="D420" t="s">
        <v>1706</v>
      </c>
      <c r="E420" s="23" t="s">
        <v>1948</v>
      </c>
      <c r="I420" s="26"/>
      <c r="L420" s="27" t="str">
        <f t="shared" si="157"/>
        <v xml:space="preserve"> </v>
      </c>
      <c r="N420" s="27" t="str">
        <f t="shared" si="155"/>
        <v xml:space="preserve"> </v>
      </c>
      <c r="O420" s="27">
        <f t="shared" si="150"/>
        <v>0</v>
      </c>
      <c r="P420" s="28" t="str">
        <f t="shared" si="154"/>
        <v>On time</v>
      </c>
      <c r="Q420" s="27">
        <f t="shared" si="151"/>
        <v>0</v>
      </c>
      <c r="R420" s="29" t="s">
        <v>127</v>
      </c>
      <c r="S420" s="12" t="s">
        <v>129</v>
      </c>
      <c r="T420" s="35">
        <v>8</v>
      </c>
      <c r="U420" t="s">
        <v>297</v>
      </c>
      <c r="V420" s="27">
        <v>1</v>
      </c>
      <c r="W420" s="9">
        <v>90</v>
      </c>
      <c r="X420" s="9">
        <f t="shared" si="156"/>
        <v>90</v>
      </c>
      <c r="Z420" s="10">
        <v>46031</v>
      </c>
      <c r="AA420" s="10">
        <v>46090</v>
      </c>
      <c r="AB420" s="10">
        <v>46157</v>
      </c>
      <c r="AC420" s="10">
        <v>46237</v>
      </c>
      <c r="AD420" s="31">
        <f t="shared" ref="AD420:AD483" ca="1" si="164">TODAY()-AA420</f>
        <v>45</v>
      </c>
      <c r="AE420" s="36" t="s">
        <v>304</v>
      </c>
      <c r="AF420" t="s">
        <v>62</v>
      </c>
      <c r="AG420" s="10" t="s">
        <v>78</v>
      </c>
      <c r="AH420" s="10" t="s">
        <v>78</v>
      </c>
      <c r="AI420" s="9" t="s">
        <v>53</v>
      </c>
      <c r="AL420" s="9" t="s">
        <v>2067</v>
      </c>
      <c r="AM420" s="27" t="str">
        <f t="shared" si="163"/>
        <v>Atrasado</v>
      </c>
      <c r="AN420" s="27" t="str">
        <f t="shared" ca="1" si="158"/>
        <v>Estoque</v>
      </c>
      <c r="AO420" s="27" t="str">
        <f t="shared" ca="1" si="153"/>
        <v/>
      </c>
      <c r="AP420" t="s">
        <v>906</v>
      </c>
    </row>
    <row r="421" spans="4:42" ht="15" hidden="1" customHeight="1">
      <c r="D421" t="s">
        <v>1707</v>
      </c>
      <c r="E421" s="23" t="s">
        <v>1949</v>
      </c>
      <c r="I421" s="26"/>
      <c r="L421" s="27" t="str">
        <f t="shared" si="157"/>
        <v xml:space="preserve"> </v>
      </c>
      <c r="N421" s="27" t="str">
        <f t="shared" si="155"/>
        <v xml:space="preserve"> </v>
      </c>
      <c r="O421" s="27">
        <f t="shared" si="150"/>
        <v>0</v>
      </c>
      <c r="P421" s="28" t="str">
        <f t="shared" si="154"/>
        <v>On time</v>
      </c>
      <c r="Q421" s="27">
        <f t="shared" si="151"/>
        <v>0</v>
      </c>
      <c r="R421" s="29" t="s">
        <v>127</v>
      </c>
      <c r="S421" s="12" t="s">
        <v>129</v>
      </c>
      <c r="T421" s="35">
        <v>9</v>
      </c>
      <c r="U421" t="s">
        <v>298</v>
      </c>
      <c r="V421" s="27">
        <v>1</v>
      </c>
      <c r="W421" s="9">
        <v>280</v>
      </c>
      <c r="X421" s="9">
        <f t="shared" si="156"/>
        <v>280</v>
      </c>
      <c r="Z421" s="10">
        <v>46031</v>
      </c>
      <c r="AA421" s="10">
        <v>46090</v>
      </c>
      <c r="AB421" s="10">
        <v>46157</v>
      </c>
      <c r="AC421" s="10">
        <v>46237</v>
      </c>
      <c r="AD421" s="31">
        <f t="shared" ca="1" si="164"/>
        <v>45</v>
      </c>
      <c r="AE421" s="36" t="s">
        <v>304</v>
      </c>
      <c r="AF421" t="s">
        <v>62</v>
      </c>
      <c r="AG421" s="10" t="s">
        <v>78</v>
      </c>
      <c r="AH421" s="10" t="s">
        <v>78</v>
      </c>
      <c r="AI421" s="9" t="s">
        <v>53</v>
      </c>
      <c r="AL421" s="9" t="s">
        <v>2067</v>
      </c>
      <c r="AM421" s="27" t="str">
        <f t="shared" si="163"/>
        <v>Atrasado</v>
      </c>
      <c r="AN421" s="27" t="str">
        <f t="shared" ca="1" si="158"/>
        <v>Estoque</v>
      </c>
      <c r="AO421" s="27" t="str">
        <f t="shared" ca="1" si="153"/>
        <v/>
      </c>
      <c r="AP421" t="s">
        <v>906</v>
      </c>
    </row>
    <row r="422" spans="4:42" ht="15" hidden="1" customHeight="1">
      <c r="D422" t="s">
        <v>1708</v>
      </c>
      <c r="E422" s="23" t="s">
        <v>1950</v>
      </c>
      <c r="I422" s="26"/>
      <c r="L422" s="27" t="str">
        <f t="shared" si="157"/>
        <v xml:space="preserve"> </v>
      </c>
      <c r="N422" s="27" t="str">
        <f t="shared" si="155"/>
        <v xml:space="preserve"> </v>
      </c>
      <c r="O422" s="27">
        <f t="shared" si="150"/>
        <v>0</v>
      </c>
      <c r="P422" s="28" t="str">
        <f t="shared" si="154"/>
        <v>On time</v>
      </c>
      <c r="Q422" s="27">
        <f t="shared" si="151"/>
        <v>0</v>
      </c>
      <c r="R422" s="29" t="s">
        <v>127</v>
      </c>
      <c r="S422" s="12" t="s">
        <v>129</v>
      </c>
      <c r="T422" s="35">
        <v>10</v>
      </c>
      <c r="U422" t="s">
        <v>299</v>
      </c>
      <c r="V422" s="27">
        <v>1</v>
      </c>
      <c r="W422" s="9">
        <v>340</v>
      </c>
      <c r="X422" s="9">
        <f t="shared" si="156"/>
        <v>340</v>
      </c>
      <c r="Z422" s="10">
        <v>46031</v>
      </c>
      <c r="AA422" s="10">
        <v>46090</v>
      </c>
      <c r="AB422" s="10">
        <v>46157</v>
      </c>
      <c r="AC422" s="10">
        <v>46237</v>
      </c>
      <c r="AD422" s="31">
        <f t="shared" ca="1" si="164"/>
        <v>45</v>
      </c>
      <c r="AE422" s="36" t="s">
        <v>304</v>
      </c>
      <c r="AF422" t="s">
        <v>62</v>
      </c>
      <c r="AG422" s="10" t="s">
        <v>78</v>
      </c>
      <c r="AH422" s="10" t="s">
        <v>78</v>
      </c>
      <c r="AI422" s="9" t="s">
        <v>53</v>
      </c>
      <c r="AL422" s="9" t="s">
        <v>2067</v>
      </c>
      <c r="AM422" s="27" t="str">
        <f t="shared" si="163"/>
        <v>Atrasado</v>
      </c>
      <c r="AN422" s="27" t="str">
        <f t="shared" ca="1" si="158"/>
        <v>Estoque</v>
      </c>
      <c r="AO422" s="27" t="str">
        <f t="shared" ca="1" si="153"/>
        <v/>
      </c>
      <c r="AP422" t="s">
        <v>906</v>
      </c>
    </row>
    <row r="423" spans="4:42" ht="15" hidden="1" customHeight="1">
      <c r="D423" t="s">
        <v>1709</v>
      </c>
      <c r="E423" s="23" t="s">
        <v>1951</v>
      </c>
      <c r="I423" s="26"/>
      <c r="L423" s="27" t="str">
        <f t="shared" si="157"/>
        <v xml:space="preserve"> </v>
      </c>
      <c r="N423" s="27" t="str">
        <f t="shared" si="155"/>
        <v xml:space="preserve"> </v>
      </c>
      <c r="O423" s="27">
        <f t="shared" si="150"/>
        <v>0</v>
      </c>
      <c r="P423" s="28" t="str">
        <f t="shared" si="154"/>
        <v>On time</v>
      </c>
      <c r="Q423" s="27">
        <f t="shared" si="151"/>
        <v>0</v>
      </c>
      <c r="R423" s="29" t="s">
        <v>127</v>
      </c>
      <c r="S423" s="12" t="s">
        <v>129</v>
      </c>
      <c r="T423" s="35">
        <v>11</v>
      </c>
      <c r="U423" t="s">
        <v>300</v>
      </c>
      <c r="V423" s="27">
        <v>1</v>
      </c>
      <c r="W423" s="9">
        <v>560</v>
      </c>
      <c r="X423" s="9">
        <f t="shared" si="156"/>
        <v>560</v>
      </c>
      <c r="Z423" s="10">
        <v>46031</v>
      </c>
      <c r="AA423" s="10">
        <v>46090</v>
      </c>
      <c r="AB423" s="10">
        <v>46157</v>
      </c>
      <c r="AC423" s="10">
        <v>46237</v>
      </c>
      <c r="AD423" s="31">
        <f t="shared" ca="1" si="164"/>
        <v>45</v>
      </c>
      <c r="AE423" s="36" t="s">
        <v>304</v>
      </c>
      <c r="AF423" t="s">
        <v>62</v>
      </c>
      <c r="AG423" s="10" t="s">
        <v>78</v>
      </c>
      <c r="AH423" s="10" t="s">
        <v>78</v>
      </c>
      <c r="AI423" s="9" t="s">
        <v>53</v>
      </c>
      <c r="AL423" s="9" t="s">
        <v>2067</v>
      </c>
      <c r="AM423" s="27" t="str">
        <f t="shared" si="163"/>
        <v>Atrasado</v>
      </c>
      <c r="AN423" s="27" t="str">
        <f t="shared" ca="1" si="158"/>
        <v>Estoque</v>
      </c>
      <c r="AO423" s="27" t="str">
        <f t="shared" ca="1" si="153"/>
        <v/>
      </c>
      <c r="AP423" t="s">
        <v>906</v>
      </c>
    </row>
    <row r="424" spans="4:42" ht="15" hidden="1" customHeight="1">
      <c r="D424" t="s">
        <v>1710</v>
      </c>
      <c r="E424" s="23" t="s">
        <v>1952</v>
      </c>
      <c r="I424" s="26"/>
      <c r="L424" s="27" t="str">
        <f t="shared" si="157"/>
        <v xml:space="preserve"> </v>
      </c>
      <c r="N424" s="27" t="str">
        <f t="shared" si="155"/>
        <v xml:space="preserve"> </v>
      </c>
      <c r="O424" s="27">
        <f t="shared" si="150"/>
        <v>0</v>
      </c>
      <c r="P424" s="28" t="str">
        <f t="shared" si="154"/>
        <v>On time</v>
      </c>
      <c r="Q424" s="27">
        <f t="shared" si="151"/>
        <v>0</v>
      </c>
      <c r="R424" s="29" t="s">
        <v>127</v>
      </c>
      <c r="S424" s="12" t="s">
        <v>129</v>
      </c>
      <c r="T424" s="35">
        <v>12</v>
      </c>
      <c r="U424" t="s">
        <v>301</v>
      </c>
      <c r="V424" s="27">
        <v>1</v>
      </c>
      <c r="W424" s="9">
        <v>230</v>
      </c>
      <c r="X424" s="9">
        <f t="shared" si="156"/>
        <v>230</v>
      </c>
      <c r="Z424" s="10">
        <v>46031</v>
      </c>
      <c r="AA424" s="10">
        <v>46090</v>
      </c>
      <c r="AB424" s="10">
        <v>46157</v>
      </c>
      <c r="AC424" s="10">
        <v>46237</v>
      </c>
      <c r="AD424" s="31">
        <f t="shared" ca="1" si="164"/>
        <v>45</v>
      </c>
      <c r="AE424" s="36" t="s">
        <v>304</v>
      </c>
      <c r="AF424" t="s">
        <v>62</v>
      </c>
      <c r="AG424" s="10" t="s">
        <v>78</v>
      </c>
      <c r="AH424" s="10" t="s">
        <v>78</v>
      </c>
      <c r="AI424" s="9" t="s">
        <v>53</v>
      </c>
      <c r="AL424" s="9" t="s">
        <v>2067</v>
      </c>
      <c r="AM424" s="27" t="str">
        <f t="shared" si="163"/>
        <v>Atrasado</v>
      </c>
      <c r="AN424" s="27" t="str">
        <f t="shared" ca="1" si="158"/>
        <v>Estoque</v>
      </c>
      <c r="AO424" s="27" t="str">
        <f t="shared" ca="1" si="153"/>
        <v/>
      </c>
      <c r="AP424" t="s">
        <v>906</v>
      </c>
    </row>
    <row r="425" spans="4:42" ht="15" hidden="1" customHeight="1">
      <c r="D425" t="s">
        <v>1711</v>
      </c>
      <c r="E425" s="23" t="s">
        <v>1953</v>
      </c>
      <c r="I425" s="26"/>
      <c r="L425" s="27" t="str">
        <f t="shared" si="157"/>
        <v xml:space="preserve"> </v>
      </c>
      <c r="N425" s="27" t="str">
        <f t="shared" si="155"/>
        <v xml:space="preserve"> </v>
      </c>
      <c r="O425" s="27">
        <f t="shared" si="150"/>
        <v>0</v>
      </c>
      <c r="P425" s="28" t="str">
        <f t="shared" si="154"/>
        <v>On time</v>
      </c>
      <c r="Q425" s="27">
        <f t="shared" si="151"/>
        <v>0</v>
      </c>
      <c r="R425" s="29" t="s">
        <v>127</v>
      </c>
      <c r="S425" s="12" t="s">
        <v>129</v>
      </c>
      <c r="T425" s="35">
        <v>13</v>
      </c>
      <c r="U425" t="s">
        <v>302</v>
      </c>
      <c r="V425" s="27">
        <v>10</v>
      </c>
      <c r="W425" s="9">
        <v>200</v>
      </c>
      <c r="X425" s="9">
        <f t="shared" si="156"/>
        <v>2000</v>
      </c>
      <c r="Z425" s="10">
        <v>46031</v>
      </c>
      <c r="AA425" s="10">
        <v>46090</v>
      </c>
      <c r="AB425" s="10">
        <v>46157</v>
      </c>
      <c r="AC425" s="10">
        <v>46237</v>
      </c>
      <c r="AD425" s="31">
        <f t="shared" ca="1" si="164"/>
        <v>45</v>
      </c>
      <c r="AE425" s="36" t="s">
        <v>304</v>
      </c>
      <c r="AF425" t="s">
        <v>62</v>
      </c>
      <c r="AG425" s="10" t="s">
        <v>78</v>
      </c>
      <c r="AH425" s="10" t="s">
        <v>78</v>
      </c>
      <c r="AI425" s="9" t="s">
        <v>53</v>
      </c>
      <c r="AL425" s="9" t="s">
        <v>2067</v>
      </c>
      <c r="AM425" s="27" t="str">
        <f t="shared" si="163"/>
        <v>Atrasado</v>
      </c>
      <c r="AN425" s="27" t="str">
        <f t="shared" ca="1" si="158"/>
        <v>Estoque</v>
      </c>
      <c r="AO425" s="27" t="str">
        <f t="shared" ca="1" si="153"/>
        <v/>
      </c>
      <c r="AP425" t="s">
        <v>906</v>
      </c>
    </row>
    <row r="426" spans="4:42" ht="15" hidden="1" customHeight="1">
      <c r="D426" t="s">
        <v>1712</v>
      </c>
      <c r="E426" s="23" t="s">
        <v>1954</v>
      </c>
      <c r="I426" s="26"/>
      <c r="L426" s="27" t="str">
        <f t="shared" si="157"/>
        <v xml:space="preserve"> </v>
      </c>
      <c r="N426" s="27" t="str">
        <f t="shared" si="155"/>
        <v xml:space="preserve"> </v>
      </c>
      <c r="O426" s="27">
        <f t="shared" si="150"/>
        <v>0</v>
      </c>
      <c r="P426" s="28" t="str">
        <f t="shared" si="154"/>
        <v>On time</v>
      </c>
      <c r="Q426" s="27">
        <f t="shared" si="151"/>
        <v>0</v>
      </c>
      <c r="R426" s="29" t="s">
        <v>127</v>
      </c>
      <c r="S426" s="12" t="s">
        <v>129</v>
      </c>
      <c r="T426" s="35">
        <v>14</v>
      </c>
      <c r="U426" t="s">
        <v>303</v>
      </c>
      <c r="V426" s="27">
        <v>10</v>
      </c>
      <c r="W426" s="9">
        <v>300</v>
      </c>
      <c r="X426" s="9">
        <f t="shared" si="156"/>
        <v>3000</v>
      </c>
      <c r="Z426" s="10">
        <v>46031</v>
      </c>
      <c r="AA426" s="10">
        <v>46090</v>
      </c>
      <c r="AB426" s="10">
        <v>46157</v>
      </c>
      <c r="AC426" s="10">
        <v>46237</v>
      </c>
      <c r="AD426" s="31">
        <f t="shared" ca="1" si="164"/>
        <v>45</v>
      </c>
      <c r="AE426" s="36" t="s">
        <v>304</v>
      </c>
      <c r="AF426" t="s">
        <v>62</v>
      </c>
      <c r="AG426" s="10" t="s">
        <v>78</v>
      </c>
      <c r="AH426" s="10" t="s">
        <v>78</v>
      </c>
      <c r="AI426" s="9" t="s">
        <v>53</v>
      </c>
      <c r="AL426" s="9" t="s">
        <v>2067</v>
      </c>
      <c r="AM426" s="27" t="str">
        <f t="shared" si="163"/>
        <v>Atrasado</v>
      </c>
      <c r="AN426" s="27" t="str">
        <f t="shared" ca="1" si="158"/>
        <v>Estoque</v>
      </c>
      <c r="AO426" s="27" t="str">
        <f t="shared" ca="1" si="153"/>
        <v/>
      </c>
      <c r="AP426" t="s">
        <v>906</v>
      </c>
    </row>
    <row r="427" spans="4:42" ht="15" hidden="1" customHeight="1">
      <c r="D427" t="s">
        <v>1416</v>
      </c>
      <c r="E427" s="23" t="s">
        <v>1417</v>
      </c>
      <c r="I427" s="26"/>
      <c r="L427" s="27" t="str">
        <f t="shared" si="157"/>
        <v xml:space="preserve"> </v>
      </c>
      <c r="N427" s="27" t="str">
        <f t="shared" si="155"/>
        <v xml:space="preserve"> </v>
      </c>
      <c r="O427" s="27">
        <f t="shared" si="150"/>
        <v>0</v>
      </c>
      <c r="P427" s="28" t="str">
        <f t="shared" si="154"/>
        <v>On time</v>
      </c>
      <c r="Q427" s="27">
        <f t="shared" si="151"/>
        <v>0</v>
      </c>
      <c r="R427" s="29" t="s">
        <v>911</v>
      </c>
      <c r="S427" s="12" t="s">
        <v>524</v>
      </c>
      <c r="T427" s="35">
        <v>1</v>
      </c>
      <c r="U427" t="s">
        <v>912</v>
      </c>
      <c r="V427" s="27">
        <v>10</v>
      </c>
      <c r="W427" s="9">
        <v>8.5</v>
      </c>
      <c r="X427" s="9">
        <f t="shared" si="156"/>
        <v>85</v>
      </c>
      <c r="Z427" s="10">
        <v>46106</v>
      </c>
      <c r="AA427" s="10">
        <v>46126</v>
      </c>
      <c r="AB427" s="10">
        <v>46167</v>
      </c>
      <c r="AC427" s="10">
        <v>46232</v>
      </c>
      <c r="AD427" s="31">
        <f t="shared" ca="1" si="164"/>
        <v>9</v>
      </c>
      <c r="AE427" s="36">
        <v>1</v>
      </c>
      <c r="AF427" t="s">
        <v>62</v>
      </c>
      <c r="AG427" s="10" t="s">
        <v>78</v>
      </c>
      <c r="AI427" s="9" t="s">
        <v>53</v>
      </c>
      <c r="AL427" t="s">
        <v>2211</v>
      </c>
      <c r="AM427" s="27" t="str">
        <f t="shared" si="163"/>
        <v>Atrasado</v>
      </c>
      <c r="AN427" s="27" t="str">
        <f t="shared" ca="1" si="158"/>
        <v>Estoque</v>
      </c>
      <c r="AO427" s="27" t="str">
        <f t="shared" ca="1" si="153"/>
        <v/>
      </c>
    </row>
    <row r="428" spans="4:42" ht="15" hidden="1" customHeight="1">
      <c r="D428" t="s">
        <v>1418</v>
      </c>
      <c r="E428" s="23" t="s">
        <v>1419</v>
      </c>
      <c r="I428" s="26"/>
      <c r="L428" s="27" t="str">
        <f t="shared" si="157"/>
        <v xml:space="preserve"> </v>
      </c>
      <c r="N428" s="27" t="str">
        <f t="shared" si="155"/>
        <v xml:space="preserve"> </v>
      </c>
      <c r="O428" s="27">
        <f t="shared" si="150"/>
        <v>0</v>
      </c>
      <c r="P428" s="28" t="str">
        <f t="shared" si="154"/>
        <v>On time</v>
      </c>
      <c r="Q428" s="27">
        <f t="shared" si="151"/>
        <v>0</v>
      </c>
      <c r="R428" s="29" t="s">
        <v>911</v>
      </c>
      <c r="S428" s="12" t="s">
        <v>524</v>
      </c>
      <c r="T428" s="35">
        <v>2</v>
      </c>
      <c r="U428" t="s">
        <v>913</v>
      </c>
      <c r="V428" s="27">
        <v>30</v>
      </c>
      <c r="W428" s="9">
        <v>11.3</v>
      </c>
      <c r="X428" s="9">
        <f t="shared" si="156"/>
        <v>339</v>
      </c>
      <c r="Z428" s="10">
        <v>46106</v>
      </c>
      <c r="AA428" s="10">
        <v>46126</v>
      </c>
      <c r="AB428" s="10">
        <v>46167</v>
      </c>
      <c r="AC428" s="10">
        <v>46232</v>
      </c>
      <c r="AD428" s="31">
        <f t="shared" ref="AD428:AD446" ca="1" si="165">TODAY()-AA428</f>
        <v>9</v>
      </c>
      <c r="AE428" s="36">
        <v>1</v>
      </c>
      <c r="AF428" t="s">
        <v>62</v>
      </c>
      <c r="AG428" s="10" t="s">
        <v>78</v>
      </c>
      <c r="AI428" s="9" t="s">
        <v>53</v>
      </c>
      <c r="AL428" t="s">
        <v>2211</v>
      </c>
      <c r="AM428" s="27" t="str">
        <f t="shared" si="163"/>
        <v>Atrasado</v>
      </c>
      <c r="AN428" s="27" t="str">
        <f t="shared" ca="1" si="158"/>
        <v>Estoque</v>
      </c>
      <c r="AO428" s="27" t="str">
        <f t="shared" ca="1" si="153"/>
        <v/>
      </c>
    </row>
    <row r="429" spans="4:42" ht="15" hidden="1" customHeight="1">
      <c r="D429" t="s">
        <v>1420</v>
      </c>
      <c r="E429" s="23" t="s">
        <v>1421</v>
      </c>
      <c r="I429" s="26"/>
      <c r="L429" s="27" t="str">
        <f t="shared" si="157"/>
        <v xml:space="preserve"> </v>
      </c>
      <c r="N429" s="27" t="str">
        <f t="shared" si="155"/>
        <v xml:space="preserve"> </v>
      </c>
      <c r="O429" s="27">
        <f t="shared" si="150"/>
        <v>0</v>
      </c>
      <c r="P429" s="28" t="str">
        <f t="shared" si="154"/>
        <v>On time</v>
      </c>
      <c r="Q429" s="27">
        <f t="shared" si="151"/>
        <v>0</v>
      </c>
      <c r="R429" s="29" t="s">
        <v>911</v>
      </c>
      <c r="S429" s="12" t="s">
        <v>524</v>
      </c>
      <c r="T429" s="35">
        <v>3</v>
      </c>
      <c r="U429" t="s">
        <v>914</v>
      </c>
      <c r="V429" s="27">
        <v>30</v>
      </c>
      <c r="W429" s="9">
        <v>21.75</v>
      </c>
      <c r="X429" s="9">
        <f t="shared" si="156"/>
        <v>652.5</v>
      </c>
      <c r="Z429" s="10">
        <v>46106</v>
      </c>
      <c r="AA429" s="10">
        <v>46126</v>
      </c>
      <c r="AB429" s="10">
        <v>46167</v>
      </c>
      <c r="AC429" s="10">
        <v>46232</v>
      </c>
      <c r="AD429" s="31">
        <f t="shared" ca="1" si="165"/>
        <v>9</v>
      </c>
      <c r="AE429" s="36">
        <v>1</v>
      </c>
      <c r="AF429" t="s">
        <v>62</v>
      </c>
      <c r="AG429" s="10" t="s">
        <v>78</v>
      </c>
      <c r="AI429" s="9" t="s">
        <v>53</v>
      </c>
      <c r="AL429" t="s">
        <v>2211</v>
      </c>
      <c r="AM429" s="27" t="str">
        <f t="shared" si="163"/>
        <v>Atrasado</v>
      </c>
      <c r="AN429" s="27" t="str">
        <f t="shared" ca="1" si="158"/>
        <v>Estoque</v>
      </c>
      <c r="AO429" s="27" t="str">
        <f t="shared" ca="1" si="153"/>
        <v/>
      </c>
    </row>
    <row r="430" spans="4:42" ht="15" hidden="1" customHeight="1">
      <c r="D430" t="s">
        <v>1422</v>
      </c>
      <c r="E430" s="23" t="s">
        <v>1423</v>
      </c>
      <c r="I430" s="26"/>
      <c r="L430" s="27" t="str">
        <f t="shared" si="157"/>
        <v xml:space="preserve"> </v>
      </c>
      <c r="N430" s="27" t="str">
        <f t="shared" si="155"/>
        <v xml:space="preserve"> </v>
      </c>
      <c r="O430" s="27">
        <f t="shared" si="150"/>
        <v>0</v>
      </c>
      <c r="P430" s="28" t="str">
        <f t="shared" si="154"/>
        <v>On time</v>
      </c>
      <c r="Q430" s="27">
        <f t="shared" si="151"/>
        <v>0</v>
      </c>
      <c r="R430" s="29" t="s">
        <v>911</v>
      </c>
      <c r="S430" s="12" t="s">
        <v>524</v>
      </c>
      <c r="T430" s="35">
        <v>4</v>
      </c>
      <c r="U430" t="s">
        <v>915</v>
      </c>
      <c r="V430" s="27">
        <v>10</v>
      </c>
      <c r="W430" s="9">
        <v>35.21</v>
      </c>
      <c r="X430" s="9">
        <f t="shared" si="156"/>
        <v>352.1</v>
      </c>
      <c r="Z430" s="10">
        <v>46106</v>
      </c>
      <c r="AA430" s="10">
        <v>46126</v>
      </c>
      <c r="AB430" s="10">
        <v>46167</v>
      </c>
      <c r="AC430" s="10">
        <v>46232</v>
      </c>
      <c r="AD430" s="31">
        <f t="shared" ca="1" si="165"/>
        <v>9</v>
      </c>
      <c r="AE430" s="36">
        <v>1</v>
      </c>
      <c r="AF430" t="s">
        <v>62</v>
      </c>
      <c r="AG430" s="10" t="s">
        <v>78</v>
      </c>
      <c r="AI430" s="9" t="s">
        <v>53</v>
      </c>
      <c r="AL430" t="s">
        <v>2211</v>
      </c>
      <c r="AM430" s="27" t="str">
        <f t="shared" si="163"/>
        <v>Atrasado</v>
      </c>
      <c r="AN430" s="27" t="str">
        <f t="shared" ca="1" si="158"/>
        <v>Estoque</v>
      </c>
      <c r="AO430" s="27" t="str">
        <f t="shared" ca="1" si="153"/>
        <v/>
      </c>
    </row>
    <row r="431" spans="4:42" ht="15" hidden="1" customHeight="1">
      <c r="D431" t="s">
        <v>1424</v>
      </c>
      <c r="E431" s="23" t="s">
        <v>1425</v>
      </c>
      <c r="I431" s="26"/>
      <c r="L431" s="27" t="str">
        <f t="shared" si="157"/>
        <v xml:space="preserve"> </v>
      </c>
      <c r="N431" s="27" t="str">
        <f t="shared" si="155"/>
        <v xml:space="preserve"> </v>
      </c>
      <c r="O431" s="27">
        <f t="shared" si="150"/>
        <v>0</v>
      </c>
      <c r="P431" s="28" t="str">
        <f t="shared" si="154"/>
        <v>On time</v>
      </c>
      <c r="Q431" s="27">
        <f t="shared" si="151"/>
        <v>0</v>
      </c>
      <c r="R431" s="29" t="s">
        <v>911</v>
      </c>
      <c r="S431" s="12" t="s">
        <v>524</v>
      </c>
      <c r="T431" s="35">
        <v>5</v>
      </c>
      <c r="U431" t="s">
        <v>916</v>
      </c>
      <c r="V431" s="27">
        <v>3</v>
      </c>
      <c r="W431" s="9">
        <v>118.07</v>
      </c>
      <c r="X431" s="9">
        <f t="shared" si="156"/>
        <v>354.21</v>
      </c>
      <c r="Z431" s="10">
        <v>46106</v>
      </c>
      <c r="AA431" s="10">
        <v>46126</v>
      </c>
      <c r="AB431" s="10">
        <v>46167</v>
      </c>
      <c r="AC431" s="10">
        <v>46232</v>
      </c>
      <c r="AD431" s="31">
        <f t="shared" ca="1" si="165"/>
        <v>9</v>
      </c>
      <c r="AE431" s="36">
        <v>1</v>
      </c>
      <c r="AF431" t="s">
        <v>62</v>
      </c>
      <c r="AG431" s="10" t="s">
        <v>78</v>
      </c>
      <c r="AI431" s="9" t="s">
        <v>53</v>
      </c>
      <c r="AL431" t="s">
        <v>2211</v>
      </c>
      <c r="AM431" s="27" t="str">
        <f t="shared" si="163"/>
        <v>Atrasado</v>
      </c>
      <c r="AN431" s="27" t="str">
        <f t="shared" ca="1" si="158"/>
        <v>Estoque</v>
      </c>
      <c r="AO431" s="27" t="str">
        <f t="shared" ca="1" si="153"/>
        <v/>
      </c>
    </row>
    <row r="432" spans="4:42" ht="15" hidden="1" customHeight="1">
      <c r="D432" t="s">
        <v>1426</v>
      </c>
      <c r="E432" s="23" t="s">
        <v>1427</v>
      </c>
      <c r="I432" s="26"/>
      <c r="L432" s="27" t="str">
        <f t="shared" si="157"/>
        <v xml:space="preserve"> </v>
      </c>
      <c r="N432" s="27" t="str">
        <f t="shared" si="155"/>
        <v xml:space="preserve"> </v>
      </c>
      <c r="O432" s="27">
        <f t="shared" si="150"/>
        <v>0</v>
      </c>
      <c r="P432" s="28" t="str">
        <f t="shared" si="154"/>
        <v>On time</v>
      </c>
      <c r="Q432" s="27">
        <f t="shared" si="151"/>
        <v>0</v>
      </c>
      <c r="R432" s="29" t="s">
        <v>911</v>
      </c>
      <c r="S432" s="12" t="s">
        <v>524</v>
      </c>
      <c r="T432" s="35">
        <v>6</v>
      </c>
      <c r="U432" t="s">
        <v>917</v>
      </c>
      <c r="V432" s="27">
        <v>15</v>
      </c>
      <c r="W432" s="9">
        <v>1.9</v>
      </c>
      <c r="X432" s="9">
        <f t="shared" si="156"/>
        <v>28.5</v>
      </c>
      <c r="Z432" s="10">
        <v>46106</v>
      </c>
      <c r="AA432" s="10">
        <v>46126</v>
      </c>
      <c r="AB432" s="10">
        <v>46167</v>
      </c>
      <c r="AC432" s="10">
        <v>46232</v>
      </c>
      <c r="AD432" s="31">
        <f t="shared" ca="1" si="165"/>
        <v>9</v>
      </c>
      <c r="AE432" s="36">
        <v>1</v>
      </c>
      <c r="AF432" t="s">
        <v>62</v>
      </c>
      <c r="AG432" s="10" t="s">
        <v>78</v>
      </c>
      <c r="AI432" s="9" t="s">
        <v>53</v>
      </c>
      <c r="AL432" t="s">
        <v>2211</v>
      </c>
      <c r="AM432" s="27" t="str">
        <f t="shared" si="163"/>
        <v>Atrasado</v>
      </c>
      <c r="AN432" s="27" t="str">
        <f t="shared" ca="1" si="158"/>
        <v>Estoque</v>
      </c>
      <c r="AO432" s="27" t="str">
        <f t="shared" ca="1" si="153"/>
        <v/>
      </c>
    </row>
    <row r="433" spans="4:41" ht="15" hidden="1" customHeight="1">
      <c r="D433" t="s">
        <v>1428</v>
      </c>
      <c r="E433" s="23" t="s">
        <v>1429</v>
      </c>
      <c r="I433" s="26"/>
      <c r="L433" s="27" t="str">
        <f t="shared" si="157"/>
        <v xml:space="preserve"> </v>
      </c>
      <c r="N433" s="27" t="str">
        <f t="shared" si="155"/>
        <v xml:space="preserve"> </v>
      </c>
      <c r="O433" s="27">
        <f t="shared" si="150"/>
        <v>0</v>
      </c>
      <c r="P433" s="28" t="str">
        <f t="shared" si="154"/>
        <v>On time</v>
      </c>
      <c r="Q433" s="27">
        <f t="shared" si="151"/>
        <v>0</v>
      </c>
      <c r="R433" s="29" t="s">
        <v>911</v>
      </c>
      <c r="S433" s="12" t="s">
        <v>524</v>
      </c>
      <c r="T433" s="35">
        <v>7</v>
      </c>
      <c r="U433" t="s">
        <v>918</v>
      </c>
      <c r="V433" s="27">
        <v>30</v>
      </c>
      <c r="W433" s="9">
        <v>4.1399999999999997</v>
      </c>
      <c r="X433" s="9">
        <f t="shared" si="156"/>
        <v>124.19999999999999</v>
      </c>
      <c r="Z433" s="10">
        <v>46106</v>
      </c>
      <c r="AA433" s="10">
        <v>46126</v>
      </c>
      <c r="AB433" s="10">
        <v>46167</v>
      </c>
      <c r="AC433" s="10">
        <v>46232</v>
      </c>
      <c r="AD433" s="31">
        <f t="shared" ca="1" si="165"/>
        <v>9</v>
      </c>
      <c r="AE433" s="36">
        <v>1</v>
      </c>
      <c r="AF433" t="s">
        <v>62</v>
      </c>
      <c r="AG433" s="10" t="s">
        <v>78</v>
      </c>
      <c r="AI433" s="9" t="s">
        <v>53</v>
      </c>
      <c r="AL433" t="s">
        <v>2211</v>
      </c>
      <c r="AM433" s="27" t="str">
        <f t="shared" si="163"/>
        <v>Atrasado</v>
      </c>
      <c r="AN433" s="27" t="str">
        <f t="shared" ca="1" si="158"/>
        <v>Estoque</v>
      </c>
      <c r="AO433" s="27" t="str">
        <f t="shared" ca="1" si="153"/>
        <v/>
      </c>
    </row>
    <row r="434" spans="4:41" ht="15" hidden="1" customHeight="1">
      <c r="D434" t="s">
        <v>1430</v>
      </c>
      <c r="E434" s="23" t="s">
        <v>1431</v>
      </c>
      <c r="I434" s="26"/>
      <c r="L434" s="27" t="str">
        <f t="shared" si="157"/>
        <v xml:space="preserve"> </v>
      </c>
      <c r="N434" s="27" t="str">
        <f t="shared" si="155"/>
        <v xml:space="preserve"> </v>
      </c>
      <c r="O434" s="27">
        <f t="shared" si="150"/>
        <v>0</v>
      </c>
      <c r="P434" s="28" t="str">
        <f t="shared" si="154"/>
        <v>On time</v>
      </c>
      <c r="Q434" s="27">
        <f t="shared" si="151"/>
        <v>0</v>
      </c>
      <c r="R434" s="29" t="s">
        <v>911</v>
      </c>
      <c r="S434" s="12" t="s">
        <v>524</v>
      </c>
      <c r="T434" s="35">
        <v>8</v>
      </c>
      <c r="U434" t="s">
        <v>919</v>
      </c>
      <c r="V434" s="27">
        <v>10</v>
      </c>
      <c r="W434" s="9">
        <v>5.39</v>
      </c>
      <c r="X434" s="9">
        <f t="shared" si="156"/>
        <v>53.9</v>
      </c>
      <c r="Z434" s="10">
        <v>46106</v>
      </c>
      <c r="AA434" s="10">
        <v>46126</v>
      </c>
      <c r="AB434" s="10">
        <v>46167</v>
      </c>
      <c r="AC434" s="10">
        <v>46232</v>
      </c>
      <c r="AD434" s="31">
        <f t="shared" ca="1" si="165"/>
        <v>9</v>
      </c>
      <c r="AE434" s="36">
        <v>1</v>
      </c>
      <c r="AF434" t="s">
        <v>62</v>
      </c>
      <c r="AG434" s="10" t="s">
        <v>78</v>
      </c>
      <c r="AI434" s="9" t="s">
        <v>53</v>
      </c>
      <c r="AL434" t="s">
        <v>2211</v>
      </c>
      <c r="AM434" s="27" t="str">
        <f t="shared" si="163"/>
        <v>Atrasado</v>
      </c>
      <c r="AN434" s="27" t="str">
        <f t="shared" ca="1" si="158"/>
        <v>Estoque</v>
      </c>
      <c r="AO434" s="27" t="str">
        <f t="shared" ca="1" si="153"/>
        <v/>
      </c>
    </row>
    <row r="435" spans="4:41" ht="15" hidden="1" customHeight="1">
      <c r="D435" t="s">
        <v>1432</v>
      </c>
      <c r="E435" s="23" t="s">
        <v>1433</v>
      </c>
      <c r="I435" s="26"/>
      <c r="L435" s="27" t="str">
        <f t="shared" si="157"/>
        <v xml:space="preserve"> </v>
      </c>
      <c r="N435" s="27" t="str">
        <f t="shared" si="155"/>
        <v xml:space="preserve"> </v>
      </c>
      <c r="O435" s="27">
        <f t="shared" ref="O435:O498" si="166">M435-J435</f>
        <v>0</v>
      </c>
      <c r="P435" s="28" t="str">
        <f t="shared" si="154"/>
        <v>On time</v>
      </c>
      <c r="Q435" s="27">
        <f t="shared" ref="Q435:Q498" si="167">I435-J435</f>
        <v>0</v>
      </c>
      <c r="R435" s="29" t="s">
        <v>911</v>
      </c>
      <c r="S435" s="12" t="s">
        <v>524</v>
      </c>
      <c r="T435" s="35">
        <v>9</v>
      </c>
      <c r="U435" t="s">
        <v>920</v>
      </c>
      <c r="V435" s="27">
        <v>100</v>
      </c>
      <c r="W435" s="9">
        <v>1.08</v>
      </c>
      <c r="X435" s="9">
        <f t="shared" si="156"/>
        <v>108</v>
      </c>
      <c r="Z435" s="10">
        <v>46106</v>
      </c>
      <c r="AA435" s="10">
        <v>46126</v>
      </c>
      <c r="AB435" s="10">
        <v>46167</v>
      </c>
      <c r="AC435" s="10">
        <v>46232</v>
      </c>
      <c r="AD435" s="31">
        <f t="shared" ca="1" si="165"/>
        <v>9</v>
      </c>
      <c r="AE435" s="36">
        <v>1</v>
      </c>
      <c r="AF435" t="s">
        <v>62</v>
      </c>
      <c r="AG435" s="10" t="s">
        <v>78</v>
      </c>
      <c r="AI435" s="9" t="s">
        <v>53</v>
      </c>
      <c r="AL435" t="s">
        <v>2211</v>
      </c>
      <c r="AM435" s="27" t="str">
        <f t="shared" si="163"/>
        <v>Atrasado</v>
      </c>
      <c r="AN435" s="27" t="str">
        <f t="shared" ca="1" si="158"/>
        <v>Estoque</v>
      </c>
      <c r="AO435" s="27" t="str">
        <f t="shared" ca="1" si="153"/>
        <v/>
      </c>
    </row>
    <row r="436" spans="4:41" ht="15" hidden="1" customHeight="1">
      <c r="D436" t="s">
        <v>1434</v>
      </c>
      <c r="E436" s="23" t="s">
        <v>1435</v>
      </c>
      <c r="I436" s="26"/>
      <c r="L436" s="27" t="str">
        <f t="shared" si="157"/>
        <v xml:space="preserve"> </v>
      </c>
      <c r="N436" s="27" t="str">
        <f t="shared" si="155"/>
        <v xml:space="preserve"> </v>
      </c>
      <c r="O436" s="27">
        <f t="shared" si="166"/>
        <v>0</v>
      </c>
      <c r="P436" s="28" t="str">
        <f t="shared" si="154"/>
        <v>On time</v>
      </c>
      <c r="Q436" s="27">
        <f t="shared" si="167"/>
        <v>0</v>
      </c>
      <c r="R436" s="29" t="s">
        <v>911</v>
      </c>
      <c r="S436" s="12" t="s">
        <v>524</v>
      </c>
      <c r="T436" s="35">
        <v>10</v>
      </c>
      <c r="U436" t="s">
        <v>921</v>
      </c>
      <c r="V436" s="27">
        <v>20</v>
      </c>
      <c r="W436" s="9">
        <v>14.1</v>
      </c>
      <c r="X436" s="9">
        <f t="shared" si="156"/>
        <v>282</v>
      </c>
      <c r="Z436" s="10">
        <v>46106</v>
      </c>
      <c r="AA436" s="10">
        <v>46126</v>
      </c>
      <c r="AB436" s="10">
        <v>46167</v>
      </c>
      <c r="AC436" s="10">
        <v>46232</v>
      </c>
      <c r="AD436" s="31">
        <f t="shared" ca="1" si="165"/>
        <v>9</v>
      </c>
      <c r="AE436" s="36">
        <v>1</v>
      </c>
      <c r="AF436" t="s">
        <v>62</v>
      </c>
      <c r="AG436" s="10" t="s">
        <v>78</v>
      </c>
      <c r="AI436" s="9" t="s">
        <v>53</v>
      </c>
      <c r="AL436" t="s">
        <v>2211</v>
      </c>
      <c r="AM436" s="27" t="str">
        <f t="shared" si="163"/>
        <v>Atrasado</v>
      </c>
      <c r="AN436" s="27" t="str">
        <f t="shared" ca="1" si="158"/>
        <v>Estoque</v>
      </c>
      <c r="AO436" s="27" t="str">
        <f t="shared" ca="1" si="153"/>
        <v/>
      </c>
    </row>
    <row r="437" spans="4:41" ht="15" hidden="1" customHeight="1">
      <c r="D437" t="s">
        <v>1436</v>
      </c>
      <c r="E437" s="23" t="s">
        <v>1437</v>
      </c>
      <c r="I437" s="26"/>
      <c r="L437" s="27" t="str">
        <f t="shared" si="157"/>
        <v xml:space="preserve"> </v>
      </c>
      <c r="N437" s="27" t="str">
        <f t="shared" si="155"/>
        <v xml:space="preserve"> </v>
      </c>
      <c r="O437" s="27">
        <f t="shared" si="166"/>
        <v>0</v>
      </c>
      <c r="P437" s="28" t="str">
        <f t="shared" si="154"/>
        <v>On time</v>
      </c>
      <c r="Q437" s="27">
        <f t="shared" si="167"/>
        <v>0</v>
      </c>
      <c r="R437" s="29" t="s">
        <v>911</v>
      </c>
      <c r="S437" s="12" t="s">
        <v>524</v>
      </c>
      <c r="T437" s="35">
        <v>11</v>
      </c>
      <c r="U437" t="s">
        <v>922</v>
      </c>
      <c r="V437" s="27">
        <v>10</v>
      </c>
      <c r="W437" s="9">
        <v>17</v>
      </c>
      <c r="X437" s="9">
        <f t="shared" si="156"/>
        <v>170</v>
      </c>
      <c r="Z437" s="10">
        <v>46106</v>
      </c>
      <c r="AA437" s="10">
        <v>46126</v>
      </c>
      <c r="AB437" s="10">
        <v>46167</v>
      </c>
      <c r="AC437" s="10">
        <v>46232</v>
      </c>
      <c r="AD437" s="31">
        <f t="shared" ca="1" si="165"/>
        <v>9</v>
      </c>
      <c r="AE437" s="36">
        <v>1</v>
      </c>
      <c r="AF437" t="s">
        <v>62</v>
      </c>
      <c r="AG437" s="10" t="s">
        <v>78</v>
      </c>
      <c r="AI437" s="9" t="s">
        <v>53</v>
      </c>
      <c r="AL437" t="s">
        <v>2211</v>
      </c>
      <c r="AM437" s="27" t="str">
        <f t="shared" si="163"/>
        <v>Atrasado</v>
      </c>
      <c r="AN437" s="27" t="str">
        <f t="shared" ca="1" si="158"/>
        <v>Estoque</v>
      </c>
      <c r="AO437" s="27" t="str">
        <f t="shared" ca="1" si="153"/>
        <v/>
      </c>
    </row>
    <row r="438" spans="4:41" ht="15" hidden="1" customHeight="1">
      <c r="D438" t="s">
        <v>1438</v>
      </c>
      <c r="E438" s="23" t="s">
        <v>1439</v>
      </c>
      <c r="I438" s="26"/>
      <c r="L438" s="27" t="str">
        <f t="shared" si="157"/>
        <v xml:space="preserve"> </v>
      </c>
      <c r="N438" s="27" t="str">
        <f t="shared" si="155"/>
        <v xml:space="preserve"> </v>
      </c>
      <c r="O438" s="27">
        <f t="shared" si="166"/>
        <v>0</v>
      </c>
      <c r="P438" s="28" t="str">
        <f t="shared" si="154"/>
        <v>On time</v>
      </c>
      <c r="Q438" s="27">
        <f t="shared" si="167"/>
        <v>0</v>
      </c>
      <c r="R438" s="29" t="s">
        <v>911</v>
      </c>
      <c r="S438" s="12" t="s">
        <v>524</v>
      </c>
      <c r="T438" s="35">
        <v>12</v>
      </c>
      <c r="U438" t="s">
        <v>923</v>
      </c>
      <c r="V438" s="27">
        <v>5</v>
      </c>
      <c r="W438" s="9">
        <v>22</v>
      </c>
      <c r="X438" s="9">
        <f t="shared" si="156"/>
        <v>110</v>
      </c>
      <c r="Z438" s="10">
        <v>46106</v>
      </c>
      <c r="AA438" s="10">
        <v>46126</v>
      </c>
      <c r="AB438" s="10">
        <v>46167</v>
      </c>
      <c r="AC438" s="10">
        <v>46232</v>
      </c>
      <c r="AD438" s="31">
        <f t="shared" ca="1" si="165"/>
        <v>9</v>
      </c>
      <c r="AE438" s="36">
        <v>1</v>
      </c>
      <c r="AF438" t="s">
        <v>62</v>
      </c>
      <c r="AG438" s="10" t="s">
        <v>78</v>
      </c>
      <c r="AI438" s="9" t="s">
        <v>53</v>
      </c>
      <c r="AL438" t="s">
        <v>2211</v>
      </c>
      <c r="AM438" s="27" t="str">
        <f t="shared" si="163"/>
        <v>Atrasado</v>
      </c>
      <c r="AN438" s="27" t="str">
        <f t="shared" ca="1" si="158"/>
        <v>Estoque</v>
      </c>
      <c r="AO438" s="27" t="str">
        <f t="shared" ca="1" si="153"/>
        <v/>
      </c>
    </row>
    <row r="439" spans="4:41" ht="15" hidden="1" customHeight="1">
      <c r="D439" t="s">
        <v>1440</v>
      </c>
      <c r="E439" s="23" t="s">
        <v>1441</v>
      </c>
      <c r="I439" s="26"/>
      <c r="L439" s="27" t="str">
        <f t="shared" si="157"/>
        <v xml:space="preserve"> </v>
      </c>
      <c r="N439" s="27" t="str">
        <f t="shared" si="155"/>
        <v xml:space="preserve"> </v>
      </c>
      <c r="O439" s="27">
        <f t="shared" si="166"/>
        <v>0</v>
      </c>
      <c r="P439" s="28" t="str">
        <f t="shared" si="154"/>
        <v>On time</v>
      </c>
      <c r="Q439" s="27">
        <f t="shared" si="167"/>
        <v>0</v>
      </c>
      <c r="R439" s="29" t="s">
        <v>911</v>
      </c>
      <c r="S439" s="12" t="s">
        <v>524</v>
      </c>
      <c r="T439" s="35">
        <v>13</v>
      </c>
      <c r="U439" t="s">
        <v>924</v>
      </c>
      <c r="V439" s="27">
        <v>5</v>
      </c>
      <c r="W439" s="9">
        <v>47.5</v>
      </c>
      <c r="X439" s="9">
        <f t="shared" si="156"/>
        <v>237.5</v>
      </c>
      <c r="Z439" s="10">
        <v>46106</v>
      </c>
      <c r="AA439" s="10">
        <v>46126</v>
      </c>
      <c r="AB439" s="10">
        <v>46167</v>
      </c>
      <c r="AC439" s="10">
        <v>46232</v>
      </c>
      <c r="AD439" s="31">
        <f t="shared" ca="1" si="165"/>
        <v>9</v>
      </c>
      <c r="AE439" s="36">
        <v>1</v>
      </c>
      <c r="AF439" t="s">
        <v>62</v>
      </c>
      <c r="AG439" s="10" t="s">
        <v>78</v>
      </c>
      <c r="AI439" s="9" t="s">
        <v>53</v>
      </c>
      <c r="AL439" t="s">
        <v>2211</v>
      </c>
      <c r="AM439" s="27" t="str">
        <f t="shared" si="163"/>
        <v>Atrasado</v>
      </c>
      <c r="AN439" s="27" t="str">
        <f t="shared" ca="1" si="158"/>
        <v>Estoque</v>
      </c>
      <c r="AO439" s="27" t="str">
        <f t="shared" ca="1" si="153"/>
        <v/>
      </c>
    </row>
    <row r="440" spans="4:41" ht="15" hidden="1" customHeight="1">
      <c r="D440" t="s">
        <v>1442</v>
      </c>
      <c r="E440" s="23" t="s">
        <v>1443</v>
      </c>
      <c r="I440" s="26"/>
      <c r="L440" s="27" t="str">
        <f t="shared" si="157"/>
        <v xml:space="preserve"> </v>
      </c>
      <c r="N440" s="27" t="str">
        <f t="shared" si="155"/>
        <v xml:space="preserve"> </v>
      </c>
      <c r="O440" s="27">
        <f t="shared" si="166"/>
        <v>0</v>
      </c>
      <c r="P440" s="28" t="str">
        <f t="shared" si="154"/>
        <v>On time</v>
      </c>
      <c r="Q440" s="27">
        <f t="shared" si="167"/>
        <v>0</v>
      </c>
      <c r="R440" s="29" t="s">
        <v>911</v>
      </c>
      <c r="S440" s="12" t="s">
        <v>524</v>
      </c>
      <c r="T440" s="35">
        <v>14</v>
      </c>
      <c r="U440" t="s">
        <v>925</v>
      </c>
      <c r="V440" s="27">
        <v>30</v>
      </c>
      <c r="W440" s="9">
        <v>1.24</v>
      </c>
      <c r="X440" s="9">
        <f t="shared" si="156"/>
        <v>37.200000000000003</v>
      </c>
      <c r="Z440" s="10">
        <v>46106</v>
      </c>
      <c r="AA440" s="10">
        <v>46126</v>
      </c>
      <c r="AB440" s="10">
        <v>46167</v>
      </c>
      <c r="AC440" s="10">
        <v>46232</v>
      </c>
      <c r="AD440" s="31">
        <f t="shared" ca="1" si="165"/>
        <v>9</v>
      </c>
      <c r="AE440" s="36">
        <v>1</v>
      </c>
      <c r="AF440" t="s">
        <v>62</v>
      </c>
      <c r="AG440" s="10" t="s">
        <v>78</v>
      </c>
      <c r="AI440" s="9" t="s">
        <v>53</v>
      </c>
      <c r="AL440" t="s">
        <v>2211</v>
      </c>
      <c r="AM440" s="27" t="str">
        <f t="shared" si="163"/>
        <v>Atrasado</v>
      </c>
      <c r="AN440" s="27" t="str">
        <f t="shared" ca="1" si="158"/>
        <v>Estoque</v>
      </c>
      <c r="AO440" s="27" t="str">
        <f t="shared" ca="1" si="153"/>
        <v/>
      </c>
    </row>
    <row r="441" spans="4:41" ht="15" hidden="1" customHeight="1">
      <c r="D441" t="s">
        <v>1444</v>
      </c>
      <c r="E441" s="23" t="s">
        <v>1445</v>
      </c>
      <c r="I441" s="26"/>
      <c r="L441" s="27" t="str">
        <f t="shared" si="157"/>
        <v xml:space="preserve"> </v>
      </c>
      <c r="N441" s="27" t="str">
        <f t="shared" si="155"/>
        <v xml:space="preserve"> </v>
      </c>
      <c r="O441" s="27">
        <f t="shared" si="166"/>
        <v>0</v>
      </c>
      <c r="P441" s="28" t="str">
        <f t="shared" si="154"/>
        <v>On time</v>
      </c>
      <c r="Q441" s="27">
        <f t="shared" si="167"/>
        <v>0</v>
      </c>
      <c r="R441" s="29" t="s">
        <v>911</v>
      </c>
      <c r="S441" s="12" t="s">
        <v>524</v>
      </c>
      <c r="T441" s="35">
        <v>15</v>
      </c>
      <c r="U441" t="s">
        <v>926</v>
      </c>
      <c r="V441" s="27">
        <v>300</v>
      </c>
      <c r="W441" s="9">
        <v>1.55</v>
      </c>
      <c r="X441" s="9">
        <f t="shared" si="156"/>
        <v>465</v>
      </c>
      <c r="Z441" s="10">
        <v>46106</v>
      </c>
      <c r="AA441" s="10">
        <v>46126</v>
      </c>
      <c r="AB441" s="10">
        <v>46167</v>
      </c>
      <c r="AC441" s="10">
        <v>46232</v>
      </c>
      <c r="AD441" s="31">
        <f t="shared" ca="1" si="165"/>
        <v>9</v>
      </c>
      <c r="AE441" s="36">
        <v>1</v>
      </c>
      <c r="AF441" t="s">
        <v>62</v>
      </c>
      <c r="AG441" s="10" t="s">
        <v>78</v>
      </c>
      <c r="AI441" s="9" t="s">
        <v>53</v>
      </c>
      <c r="AL441" t="s">
        <v>2211</v>
      </c>
      <c r="AM441" s="27" t="str">
        <f t="shared" si="163"/>
        <v>Atrasado</v>
      </c>
      <c r="AN441" s="27" t="str">
        <f t="shared" ca="1" si="158"/>
        <v>Estoque</v>
      </c>
      <c r="AO441" s="27" t="str">
        <f t="shared" ca="1" si="153"/>
        <v/>
      </c>
    </row>
    <row r="442" spans="4:41" ht="15" hidden="1" customHeight="1">
      <c r="D442" t="s">
        <v>1446</v>
      </c>
      <c r="E442" s="23" t="s">
        <v>1447</v>
      </c>
      <c r="I442" s="26"/>
      <c r="L442" s="27" t="str">
        <f t="shared" si="157"/>
        <v xml:space="preserve"> </v>
      </c>
      <c r="N442" s="27" t="str">
        <f t="shared" si="155"/>
        <v xml:space="preserve"> </v>
      </c>
      <c r="O442" s="27">
        <f t="shared" si="166"/>
        <v>0</v>
      </c>
      <c r="P442" s="28" t="str">
        <f t="shared" si="154"/>
        <v>On time</v>
      </c>
      <c r="Q442" s="27">
        <f t="shared" si="167"/>
        <v>0</v>
      </c>
      <c r="R442" s="29" t="s">
        <v>911</v>
      </c>
      <c r="S442" s="12" t="s">
        <v>524</v>
      </c>
      <c r="T442" s="35">
        <v>16</v>
      </c>
      <c r="U442" t="s">
        <v>927</v>
      </c>
      <c r="V442" s="27">
        <v>100</v>
      </c>
      <c r="W442" s="9">
        <v>2.69</v>
      </c>
      <c r="X442" s="9">
        <f t="shared" si="156"/>
        <v>269</v>
      </c>
      <c r="Z442" s="10">
        <v>46106</v>
      </c>
      <c r="AA442" s="10">
        <v>46126</v>
      </c>
      <c r="AB442" s="10">
        <v>46167</v>
      </c>
      <c r="AC442" s="10">
        <v>46232</v>
      </c>
      <c r="AD442" s="31">
        <f t="shared" ca="1" si="165"/>
        <v>9</v>
      </c>
      <c r="AE442" s="36">
        <v>1</v>
      </c>
      <c r="AF442" t="s">
        <v>62</v>
      </c>
      <c r="AG442" s="10" t="s">
        <v>78</v>
      </c>
      <c r="AI442" s="9" t="s">
        <v>53</v>
      </c>
      <c r="AL442" t="s">
        <v>2211</v>
      </c>
      <c r="AM442" s="27" t="str">
        <f t="shared" si="163"/>
        <v>Atrasado</v>
      </c>
      <c r="AN442" s="27" t="str">
        <f t="shared" ca="1" si="158"/>
        <v>Estoque</v>
      </c>
      <c r="AO442" s="27" t="str">
        <f t="shared" ca="1" si="153"/>
        <v/>
      </c>
    </row>
    <row r="443" spans="4:41" ht="15" hidden="1" customHeight="1">
      <c r="D443" t="s">
        <v>1448</v>
      </c>
      <c r="E443" s="23" t="s">
        <v>1449</v>
      </c>
      <c r="I443" s="26"/>
      <c r="L443" s="27" t="str">
        <f t="shared" si="157"/>
        <v xml:space="preserve"> </v>
      </c>
      <c r="N443" s="27" t="str">
        <f t="shared" si="155"/>
        <v xml:space="preserve"> </v>
      </c>
      <c r="O443" s="27">
        <f t="shared" si="166"/>
        <v>0</v>
      </c>
      <c r="P443" s="28" t="str">
        <f t="shared" si="154"/>
        <v>On time</v>
      </c>
      <c r="Q443" s="27">
        <f t="shared" si="167"/>
        <v>0</v>
      </c>
      <c r="R443" s="29" t="s">
        <v>911</v>
      </c>
      <c r="S443" s="12" t="s">
        <v>524</v>
      </c>
      <c r="T443" s="35">
        <v>17</v>
      </c>
      <c r="U443" t="s">
        <v>928</v>
      </c>
      <c r="V443" s="27">
        <v>10</v>
      </c>
      <c r="W443" s="9">
        <v>4.3499999999999996</v>
      </c>
      <c r="X443" s="9">
        <f t="shared" si="156"/>
        <v>43.5</v>
      </c>
      <c r="Z443" s="10">
        <v>46106</v>
      </c>
      <c r="AA443" s="10">
        <v>46126</v>
      </c>
      <c r="AB443" s="10">
        <v>46167</v>
      </c>
      <c r="AC443" s="10">
        <v>46232</v>
      </c>
      <c r="AD443" s="31">
        <f t="shared" ca="1" si="165"/>
        <v>9</v>
      </c>
      <c r="AE443" s="36">
        <v>1</v>
      </c>
      <c r="AF443" t="s">
        <v>62</v>
      </c>
      <c r="AG443" s="10" t="s">
        <v>78</v>
      </c>
      <c r="AI443" s="9" t="s">
        <v>53</v>
      </c>
      <c r="AL443" t="s">
        <v>2211</v>
      </c>
      <c r="AM443" s="27" t="str">
        <f t="shared" si="163"/>
        <v>Atrasado</v>
      </c>
      <c r="AN443" s="27" t="str">
        <f t="shared" ca="1" si="158"/>
        <v>Estoque</v>
      </c>
      <c r="AO443" s="27" t="str">
        <f t="shared" ca="1" si="153"/>
        <v/>
      </c>
    </row>
    <row r="444" spans="4:41" ht="15" hidden="1" customHeight="1">
      <c r="D444" t="s">
        <v>1450</v>
      </c>
      <c r="E444" s="23" t="s">
        <v>1451</v>
      </c>
      <c r="I444" s="26"/>
      <c r="L444" s="27" t="str">
        <f t="shared" si="157"/>
        <v xml:space="preserve"> </v>
      </c>
      <c r="N444" s="27" t="str">
        <f t="shared" si="155"/>
        <v xml:space="preserve"> </v>
      </c>
      <c r="O444" s="27">
        <f t="shared" si="166"/>
        <v>0</v>
      </c>
      <c r="P444" s="28" t="str">
        <f t="shared" si="154"/>
        <v>On time</v>
      </c>
      <c r="Q444" s="27">
        <f t="shared" si="167"/>
        <v>0</v>
      </c>
      <c r="R444" s="29" t="s">
        <v>911</v>
      </c>
      <c r="S444" s="12" t="s">
        <v>524</v>
      </c>
      <c r="T444" s="35">
        <v>18</v>
      </c>
      <c r="U444" t="s">
        <v>929</v>
      </c>
      <c r="V444" s="27">
        <v>50</v>
      </c>
      <c r="W444" s="9">
        <v>5.7</v>
      </c>
      <c r="X444" s="9">
        <f t="shared" si="156"/>
        <v>285</v>
      </c>
      <c r="Z444" s="10">
        <v>46106</v>
      </c>
      <c r="AA444" s="10">
        <v>46126</v>
      </c>
      <c r="AB444" s="10">
        <v>46167</v>
      </c>
      <c r="AC444" s="10">
        <v>46232</v>
      </c>
      <c r="AD444" s="31">
        <f t="shared" ca="1" si="165"/>
        <v>9</v>
      </c>
      <c r="AE444" s="36">
        <v>1</v>
      </c>
      <c r="AF444" t="s">
        <v>62</v>
      </c>
      <c r="AG444" s="10" t="s">
        <v>78</v>
      </c>
      <c r="AI444" s="9" t="s">
        <v>53</v>
      </c>
      <c r="AL444" t="s">
        <v>2211</v>
      </c>
      <c r="AM444" s="27" t="str">
        <f t="shared" si="163"/>
        <v>Atrasado</v>
      </c>
      <c r="AN444" s="27" t="str">
        <f t="shared" ca="1" si="158"/>
        <v>Estoque</v>
      </c>
      <c r="AO444" s="27" t="str">
        <f t="shared" ca="1" si="153"/>
        <v/>
      </c>
    </row>
    <row r="445" spans="4:41" ht="15" hidden="1" customHeight="1">
      <c r="D445" t="s">
        <v>1452</v>
      </c>
      <c r="E445" s="23" t="s">
        <v>1453</v>
      </c>
      <c r="I445" s="26"/>
      <c r="L445" s="27" t="str">
        <f t="shared" si="157"/>
        <v xml:space="preserve"> </v>
      </c>
      <c r="N445" s="27" t="str">
        <f t="shared" si="155"/>
        <v xml:space="preserve"> </v>
      </c>
      <c r="O445" s="27">
        <f t="shared" si="166"/>
        <v>0</v>
      </c>
      <c r="P445" s="28" t="str">
        <f t="shared" si="154"/>
        <v>On time</v>
      </c>
      <c r="Q445" s="27">
        <f t="shared" si="167"/>
        <v>0</v>
      </c>
      <c r="R445" s="29" t="s">
        <v>911</v>
      </c>
      <c r="S445" s="12" t="s">
        <v>524</v>
      </c>
      <c r="T445" s="35">
        <v>19</v>
      </c>
      <c r="U445" t="s">
        <v>930</v>
      </c>
      <c r="V445" s="27">
        <v>30</v>
      </c>
      <c r="W445" s="9">
        <v>9.4</v>
      </c>
      <c r="X445" s="9">
        <f t="shared" si="156"/>
        <v>282</v>
      </c>
      <c r="Z445" s="10">
        <v>46106</v>
      </c>
      <c r="AA445" s="10">
        <v>46126</v>
      </c>
      <c r="AB445" s="10">
        <v>46167</v>
      </c>
      <c r="AC445" s="10">
        <v>46232</v>
      </c>
      <c r="AD445" s="31">
        <f t="shared" ca="1" si="165"/>
        <v>9</v>
      </c>
      <c r="AE445" s="36">
        <v>1</v>
      </c>
      <c r="AF445" t="s">
        <v>62</v>
      </c>
      <c r="AG445" s="10" t="s">
        <v>78</v>
      </c>
      <c r="AI445" s="9" t="s">
        <v>53</v>
      </c>
      <c r="AL445" t="s">
        <v>2211</v>
      </c>
      <c r="AM445" s="27" t="str">
        <f t="shared" si="163"/>
        <v>Atrasado</v>
      </c>
      <c r="AN445" s="27" t="str">
        <f t="shared" ca="1" si="158"/>
        <v>Estoque</v>
      </c>
      <c r="AO445" s="27" t="str">
        <f t="shared" ca="1" si="153"/>
        <v/>
      </c>
    </row>
    <row r="446" spans="4:41" ht="15" hidden="1" customHeight="1">
      <c r="D446" t="s">
        <v>1454</v>
      </c>
      <c r="E446" s="23" t="s">
        <v>1455</v>
      </c>
      <c r="I446" s="26"/>
      <c r="L446" s="27" t="str">
        <f t="shared" si="157"/>
        <v xml:space="preserve"> </v>
      </c>
      <c r="N446" s="27" t="str">
        <f t="shared" si="155"/>
        <v xml:space="preserve"> </v>
      </c>
      <c r="O446" s="27">
        <f t="shared" si="166"/>
        <v>0</v>
      </c>
      <c r="P446" s="28" t="str">
        <f t="shared" si="154"/>
        <v>On time</v>
      </c>
      <c r="Q446" s="27">
        <f t="shared" si="167"/>
        <v>0</v>
      </c>
      <c r="R446" s="29" t="s">
        <v>911</v>
      </c>
      <c r="S446" s="12" t="s">
        <v>524</v>
      </c>
      <c r="T446" s="35">
        <v>20</v>
      </c>
      <c r="U446" t="s">
        <v>931</v>
      </c>
      <c r="V446" s="27">
        <v>10</v>
      </c>
      <c r="W446" s="9">
        <v>21.96</v>
      </c>
      <c r="X446" s="9">
        <f t="shared" si="156"/>
        <v>219.60000000000002</v>
      </c>
      <c r="Z446" s="10">
        <v>46106</v>
      </c>
      <c r="AA446" s="10">
        <v>46126</v>
      </c>
      <c r="AB446" s="10">
        <v>46167</v>
      </c>
      <c r="AC446" s="10">
        <v>46232</v>
      </c>
      <c r="AD446" s="31">
        <f t="shared" ca="1" si="165"/>
        <v>9</v>
      </c>
      <c r="AE446" s="36">
        <v>1</v>
      </c>
      <c r="AF446" t="s">
        <v>62</v>
      </c>
      <c r="AG446" s="10" t="s">
        <v>78</v>
      </c>
      <c r="AI446" s="9" t="s">
        <v>53</v>
      </c>
      <c r="AL446" t="s">
        <v>2211</v>
      </c>
      <c r="AM446" s="27" t="str">
        <f t="shared" si="163"/>
        <v>Atrasado</v>
      </c>
      <c r="AN446" s="27" t="str">
        <f t="shared" ca="1" si="158"/>
        <v>Estoque</v>
      </c>
      <c r="AO446" s="27" t="str">
        <f t="shared" ca="1" si="153"/>
        <v/>
      </c>
    </row>
    <row r="447" spans="4:41" ht="15" hidden="1" customHeight="1">
      <c r="D447" t="s">
        <v>1456</v>
      </c>
      <c r="E447" s="23" t="s">
        <v>1977</v>
      </c>
      <c r="I447" s="26"/>
      <c r="L447" s="27" t="str">
        <f t="shared" si="157"/>
        <v xml:space="preserve"> </v>
      </c>
      <c r="N447" s="27" t="str">
        <f t="shared" si="155"/>
        <v xml:space="preserve"> </v>
      </c>
      <c r="O447" s="27">
        <f t="shared" si="166"/>
        <v>0</v>
      </c>
      <c r="P447" s="28" t="str">
        <f t="shared" si="154"/>
        <v>On time</v>
      </c>
      <c r="Q447" s="27">
        <f t="shared" si="167"/>
        <v>0</v>
      </c>
      <c r="R447" s="29" t="s">
        <v>932</v>
      </c>
      <c r="S447" s="12" t="s">
        <v>524</v>
      </c>
      <c r="T447" s="35">
        <v>1</v>
      </c>
      <c r="U447" t="s">
        <v>933</v>
      </c>
      <c r="V447" s="27">
        <v>20</v>
      </c>
      <c r="W447" s="9">
        <v>0.56000000000000005</v>
      </c>
      <c r="X447" s="9">
        <f t="shared" si="156"/>
        <v>11.200000000000001</v>
      </c>
      <c r="Z447" s="10">
        <v>46106</v>
      </c>
      <c r="AA447" s="10">
        <v>46126</v>
      </c>
      <c r="AB447" s="10">
        <v>46167</v>
      </c>
      <c r="AC447" s="10">
        <v>46232</v>
      </c>
      <c r="AD447" s="31">
        <f t="shared" ca="1" si="164"/>
        <v>9</v>
      </c>
      <c r="AE447" s="36">
        <v>1</v>
      </c>
      <c r="AF447" t="s">
        <v>62</v>
      </c>
      <c r="AG447" s="10" t="s">
        <v>78</v>
      </c>
      <c r="AI447" s="9" t="s">
        <v>53</v>
      </c>
      <c r="AL447" t="s">
        <v>2211</v>
      </c>
      <c r="AM447" s="27" t="str">
        <f t="shared" si="163"/>
        <v>Atrasado</v>
      </c>
      <c r="AN447" s="27" t="str">
        <f t="shared" ca="1" si="158"/>
        <v>Estoque</v>
      </c>
      <c r="AO447" s="27" t="str">
        <f t="shared" ca="1" si="153"/>
        <v/>
      </c>
    </row>
    <row r="448" spans="4:41" ht="15" hidden="1" customHeight="1">
      <c r="D448" t="s">
        <v>1457</v>
      </c>
      <c r="E448" s="23" t="s">
        <v>1978</v>
      </c>
      <c r="I448" s="26"/>
      <c r="L448" s="27" t="str">
        <f t="shared" si="157"/>
        <v xml:space="preserve"> </v>
      </c>
      <c r="N448" s="27" t="str">
        <f t="shared" si="155"/>
        <v xml:space="preserve"> </v>
      </c>
      <c r="O448" s="27">
        <f t="shared" si="166"/>
        <v>0</v>
      </c>
      <c r="P448" s="28" t="str">
        <f t="shared" si="154"/>
        <v>On time</v>
      </c>
      <c r="Q448" s="27">
        <f t="shared" si="167"/>
        <v>0</v>
      </c>
      <c r="R448" s="29" t="s">
        <v>932</v>
      </c>
      <c r="S448" s="12" t="s">
        <v>524</v>
      </c>
      <c r="T448" s="35">
        <v>2</v>
      </c>
      <c r="U448" t="s">
        <v>934</v>
      </c>
      <c r="V448" s="27">
        <v>150</v>
      </c>
      <c r="W448" s="9">
        <v>1.3</v>
      </c>
      <c r="X448" s="9">
        <f t="shared" si="156"/>
        <v>195</v>
      </c>
      <c r="Z448" s="10">
        <v>46106</v>
      </c>
      <c r="AA448" s="10">
        <v>46126</v>
      </c>
      <c r="AB448" s="10">
        <v>46167</v>
      </c>
      <c r="AC448" s="10">
        <v>46232</v>
      </c>
      <c r="AD448" s="31">
        <f t="shared" ref="AD448:AD482" ca="1" si="168">TODAY()-AA448</f>
        <v>9</v>
      </c>
      <c r="AE448" s="36">
        <v>1</v>
      </c>
      <c r="AF448" t="s">
        <v>62</v>
      </c>
      <c r="AG448" s="10" t="s">
        <v>78</v>
      </c>
      <c r="AI448" s="9" t="s">
        <v>53</v>
      </c>
      <c r="AL448" t="s">
        <v>2211</v>
      </c>
      <c r="AM448" s="27" t="str">
        <f t="shared" si="163"/>
        <v>Atrasado</v>
      </c>
      <c r="AN448" s="27" t="str">
        <f t="shared" ca="1" si="158"/>
        <v>Estoque</v>
      </c>
      <c r="AO448" s="27" t="str">
        <f t="shared" ca="1" si="153"/>
        <v/>
      </c>
    </row>
    <row r="449" spans="4:41" ht="15" hidden="1" customHeight="1">
      <c r="D449" t="s">
        <v>1458</v>
      </c>
      <c r="E449" s="23" t="s">
        <v>1979</v>
      </c>
      <c r="I449" s="26"/>
      <c r="L449" s="27" t="str">
        <f t="shared" si="157"/>
        <v xml:space="preserve"> </v>
      </c>
      <c r="N449" s="27" t="str">
        <f t="shared" si="155"/>
        <v xml:space="preserve"> </v>
      </c>
      <c r="O449" s="27">
        <f t="shared" si="166"/>
        <v>0</v>
      </c>
      <c r="P449" s="28" t="str">
        <f t="shared" si="154"/>
        <v>On time</v>
      </c>
      <c r="Q449" s="27">
        <f t="shared" si="167"/>
        <v>0</v>
      </c>
      <c r="R449" s="29" t="s">
        <v>932</v>
      </c>
      <c r="S449" s="12" t="s">
        <v>524</v>
      </c>
      <c r="T449" s="35">
        <v>3</v>
      </c>
      <c r="U449" t="s">
        <v>935</v>
      </c>
      <c r="V449" s="27">
        <v>50</v>
      </c>
      <c r="W449" s="9">
        <v>1.2</v>
      </c>
      <c r="X449" s="9">
        <f t="shared" si="156"/>
        <v>60</v>
      </c>
      <c r="Z449" s="10">
        <v>46106</v>
      </c>
      <c r="AA449" s="10">
        <v>46126</v>
      </c>
      <c r="AB449" s="10">
        <v>46167</v>
      </c>
      <c r="AC449" s="10">
        <v>46232</v>
      </c>
      <c r="AD449" s="31">
        <f t="shared" ca="1" si="168"/>
        <v>9</v>
      </c>
      <c r="AE449" s="36">
        <v>1</v>
      </c>
      <c r="AF449" t="s">
        <v>62</v>
      </c>
      <c r="AG449" s="10" t="s">
        <v>78</v>
      </c>
      <c r="AI449" s="9" t="s">
        <v>53</v>
      </c>
      <c r="AL449" t="s">
        <v>2211</v>
      </c>
      <c r="AM449" s="27" t="str">
        <f t="shared" si="163"/>
        <v>Atrasado</v>
      </c>
      <c r="AN449" s="27" t="str">
        <f t="shared" ca="1" si="158"/>
        <v>Estoque</v>
      </c>
      <c r="AO449" s="27" t="str">
        <f t="shared" ca="1" si="153"/>
        <v/>
      </c>
    </row>
    <row r="450" spans="4:41" ht="15" hidden="1" customHeight="1">
      <c r="D450" t="s">
        <v>1459</v>
      </c>
      <c r="E450" s="23" t="s">
        <v>1980</v>
      </c>
      <c r="I450" s="26"/>
      <c r="L450" s="27" t="str">
        <f t="shared" si="157"/>
        <v xml:space="preserve"> </v>
      </c>
      <c r="N450" s="27" t="str">
        <f t="shared" si="155"/>
        <v xml:space="preserve"> </v>
      </c>
      <c r="O450" s="27">
        <f t="shared" si="166"/>
        <v>0</v>
      </c>
      <c r="P450" s="28" t="str">
        <f t="shared" si="154"/>
        <v>On time</v>
      </c>
      <c r="Q450" s="27">
        <f t="shared" si="167"/>
        <v>0</v>
      </c>
      <c r="R450" s="29" t="s">
        <v>932</v>
      </c>
      <c r="S450" s="12" t="s">
        <v>524</v>
      </c>
      <c r="T450" s="35">
        <v>4</v>
      </c>
      <c r="U450" t="s">
        <v>936</v>
      </c>
      <c r="V450" s="27">
        <v>100</v>
      </c>
      <c r="W450" s="9">
        <v>2.2799999999999998</v>
      </c>
      <c r="X450" s="9">
        <f t="shared" si="156"/>
        <v>227.99999999999997</v>
      </c>
      <c r="Z450" s="10">
        <v>46106</v>
      </c>
      <c r="AA450" s="10">
        <v>46126</v>
      </c>
      <c r="AB450" s="10">
        <v>46167</v>
      </c>
      <c r="AC450" s="10">
        <v>46232</v>
      </c>
      <c r="AD450" s="31">
        <f t="shared" ca="1" si="168"/>
        <v>9</v>
      </c>
      <c r="AE450" s="36">
        <v>1</v>
      </c>
      <c r="AF450" t="s">
        <v>62</v>
      </c>
      <c r="AG450" s="10" t="s">
        <v>78</v>
      </c>
      <c r="AI450" s="9" t="s">
        <v>53</v>
      </c>
      <c r="AL450" t="s">
        <v>2211</v>
      </c>
      <c r="AM450" s="27" t="str">
        <f t="shared" si="163"/>
        <v>Atrasado</v>
      </c>
      <c r="AN450" s="27" t="str">
        <f t="shared" ca="1" si="158"/>
        <v>Estoque</v>
      </c>
      <c r="AO450" s="27" t="str">
        <f t="shared" ca="1" si="153"/>
        <v/>
      </c>
    </row>
    <row r="451" spans="4:41" ht="15" hidden="1" customHeight="1">
      <c r="D451" t="s">
        <v>1460</v>
      </c>
      <c r="E451" s="23" t="s">
        <v>1981</v>
      </c>
      <c r="I451" s="26"/>
      <c r="L451" s="27" t="str">
        <f t="shared" si="157"/>
        <v xml:space="preserve"> </v>
      </c>
      <c r="N451" s="27" t="str">
        <f t="shared" si="155"/>
        <v xml:space="preserve"> </v>
      </c>
      <c r="O451" s="27">
        <f t="shared" si="166"/>
        <v>0</v>
      </c>
      <c r="P451" s="28" t="str">
        <f t="shared" si="154"/>
        <v>On time</v>
      </c>
      <c r="Q451" s="27">
        <f t="shared" si="167"/>
        <v>0</v>
      </c>
      <c r="R451" s="29" t="s">
        <v>932</v>
      </c>
      <c r="S451" s="12" t="s">
        <v>524</v>
      </c>
      <c r="T451" s="35">
        <v>5</v>
      </c>
      <c r="U451" t="s">
        <v>937</v>
      </c>
      <c r="V451" s="27">
        <v>100</v>
      </c>
      <c r="W451" s="9">
        <v>1.76</v>
      </c>
      <c r="X451" s="9">
        <f t="shared" si="156"/>
        <v>176</v>
      </c>
      <c r="Z451" s="10">
        <v>46106</v>
      </c>
      <c r="AA451" s="10">
        <v>46126</v>
      </c>
      <c r="AB451" s="10">
        <v>46167</v>
      </c>
      <c r="AC451" s="10">
        <v>46232</v>
      </c>
      <c r="AD451" s="31">
        <f t="shared" ca="1" si="168"/>
        <v>9</v>
      </c>
      <c r="AE451" s="36">
        <v>1</v>
      </c>
      <c r="AF451" t="s">
        <v>62</v>
      </c>
      <c r="AG451" s="10" t="s">
        <v>78</v>
      </c>
      <c r="AI451" s="9" t="s">
        <v>53</v>
      </c>
      <c r="AL451" t="s">
        <v>2211</v>
      </c>
      <c r="AM451" s="27" t="str">
        <f t="shared" si="163"/>
        <v>Atrasado</v>
      </c>
      <c r="AN451" s="27" t="str">
        <f t="shared" ca="1" si="158"/>
        <v>Estoque</v>
      </c>
      <c r="AO451" s="27" t="str">
        <f t="shared" ca="1" si="153"/>
        <v/>
      </c>
    </row>
    <row r="452" spans="4:41" ht="15" hidden="1" customHeight="1">
      <c r="D452" t="s">
        <v>1461</v>
      </c>
      <c r="E452" s="23" t="s">
        <v>1982</v>
      </c>
      <c r="I452" s="26"/>
      <c r="L452" s="27" t="str">
        <f t="shared" si="157"/>
        <v xml:space="preserve"> </v>
      </c>
      <c r="N452" s="27" t="str">
        <f t="shared" si="155"/>
        <v xml:space="preserve"> </v>
      </c>
      <c r="O452" s="27">
        <f t="shared" si="166"/>
        <v>0</v>
      </c>
      <c r="P452" s="28" t="str">
        <f t="shared" si="154"/>
        <v>On time</v>
      </c>
      <c r="Q452" s="27">
        <f t="shared" si="167"/>
        <v>0</v>
      </c>
      <c r="R452" s="29" t="s">
        <v>932</v>
      </c>
      <c r="S452" s="12" t="s">
        <v>524</v>
      </c>
      <c r="T452" s="35">
        <v>6</v>
      </c>
      <c r="U452" t="s">
        <v>938</v>
      </c>
      <c r="V452" s="27">
        <v>20</v>
      </c>
      <c r="W452" s="9">
        <v>1.97</v>
      </c>
      <c r="X452" s="9">
        <f t="shared" si="156"/>
        <v>39.4</v>
      </c>
      <c r="Z452" s="10">
        <v>46106</v>
      </c>
      <c r="AA452" s="10">
        <v>46126</v>
      </c>
      <c r="AB452" s="10">
        <v>46167</v>
      </c>
      <c r="AC452" s="10">
        <v>46232</v>
      </c>
      <c r="AD452" s="31">
        <f t="shared" ca="1" si="168"/>
        <v>9</v>
      </c>
      <c r="AE452" s="36">
        <v>1</v>
      </c>
      <c r="AF452" t="s">
        <v>62</v>
      </c>
      <c r="AG452" s="10" t="s">
        <v>78</v>
      </c>
      <c r="AI452" s="9" t="s">
        <v>53</v>
      </c>
      <c r="AL452" t="s">
        <v>2211</v>
      </c>
      <c r="AM452" s="27" t="str">
        <f t="shared" si="163"/>
        <v>Atrasado</v>
      </c>
      <c r="AN452" s="27" t="str">
        <f t="shared" ca="1" si="158"/>
        <v>Estoque</v>
      </c>
      <c r="AO452" s="27" t="str">
        <f t="shared" ref="AO452:AO515" ca="1" si="169">IF(AN452="Chegou","Chegou HCI",IF(AND(AJ452&lt;&gt;"",AK452&lt;&gt;""),IF(TODAY()&gt;=AJ452,"Embarcado","Ag. embarque"),IF(AND(AJ452&lt;&gt;"",AK452=""),"Ag. booking","")))</f>
        <v/>
      </c>
    </row>
    <row r="453" spans="4:41" ht="15" hidden="1" customHeight="1">
      <c r="D453" t="s">
        <v>1462</v>
      </c>
      <c r="E453" s="23" t="s">
        <v>1983</v>
      </c>
      <c r="I453" s="26"/>
      <c r="L453" s="27" t="str">
        <f t="shared" si="157"/>
        <v xml:space="preserve"> </v>
      </c>
      <c r="N453" s="27" t="str">
        <f t="shared" si="155"/>
        <v xml:space="preserve"> </v>
      </c>
      <c r="O453" s="27">
        <f t="shared" si="166"/>
        <v>0</v>
      </c>
      <c r="P453" s="28" t="str">
        <f t="shared" ref="P453:P516" si="170">IF(Z453=0," ",IF(M453&gt;=Z453+6,"Atrasado","On time"))</f>
        <v>On time</v>
      </c>
      <c r="Q453" s="27">
        <f t="shared" si="167"/>
        <v>0</v>
      </c>
      <c r="R453" s="29" t="s">
        <v>932</v>
      </c>
      <c r="S453" s="12" t="s">
        <v>524</v>
      </c>
      <c r="T453" s="35">
        <v>7</v>
      </c>
      <c r="U453" t="s">
        <v>939</v>
      </c>
      <c r="V453" s="27">
        <v>150</v>
      </c>
      <c r="W453" s="9">
        <v>4.97</v>
      </c>
      <c r="X453" s="9">
        <f t="shared" si="156"/>
        <v>745.5</v>
      </c>
      <c r="Z453" s="10">
        <v>46106</v>
      </c>
      <c r="AA453" s="10">
        <v>46126</v>
      </c>
      <c r="AB453" s="10">
        <v>46167</v>
      </c>
      <c r="AC453" s="10">
        <v>46232</v>
      </c>
      <c r="AD453" s="31">
        <f t="shared" ca="1" si="168"/>
        <v>9</v>
      </c>
      <c r="AE453" s="36">
        <v>1</v>
      </c>
      <c r="AF453" t="s">
        <v>62</v>
      </c>
      <c r="AG453" s="10" t="s">
        <v>78</v>
      </c>
      <c r="AI453" s="9" t="s">
        <v>53</v>
      </c>
      <c r="AL453" t="s">
        <v>2211</v>
      </c>
      <c r="AM453" s="27" t="str">
        <f t="shared" si="163"/>
        <v>Atrasado</v>
      </c>
      <c r="AN453" s="27" t="str">
        <f t="shared" ca="1" si="158"/>
        <v>Estoque</v>
      </c>
      <c r="AO453" s="27" t="str">
        <f t="shared" ca="1" si="169"/>
        <v/>
      </c>
    </row>
    <row r="454" spans="4:41" ht="15" hidden="1" customHeight="1">
      <c r="D454" t="s">
        <v>1463</v>
      </c>
      <c r="E454" s="23" t="s">
        <v>1984</v>
      </c>
      <c r="I454" s="26"/>
      <c r="L454" s="27" t="str">
        <f t="shared" si="157"/>
        <v xml:space="preserve"> </v>
      </c>
      <c r="N454" s="27" t="str">
        <f t="shared" si="155"/>
        <v xml:space="preserve"> </v>
      </c>
      <c r="O454" s="27">
        <f t="shared" si="166"/>
        <v>0</v>
      </c>
      <c r="P454" s="28" t="str">
        <f t="shared" si="170"/>
        <v>On time</v>
      </c>
      <c r="Q454" s="27">
        <f t="shared" si="167"/>
        <v>0</v>
      </c>
      <c r="R454" s="29" t="s">
        <v>932</v>
      </c>
      <c r="S454" s="12" t="s">
        <v>524</v>
      </c>
      <c r="T454" s="35">
        <v>8</v>
      </c>
      <c r="U454" t="s">
        <v>940</v>
      </c>
      <c r="V454" s="27">
        <v>100</v>
      </c>
      <c r="W454" s="9">
        <v>4.5599999999999996</v>
      </c>
      <c r="X454" s="9">
        <f t="shared" si="156"/>
        <v>455.99999999999994</v>
      </c>
      <c r="Z454" s="10">
        <v>46106</v>
      </c>
      <c r="AA454" s="10">
        <v>46126</v>
      </c>
      <c r="AB454" s="10">
        <v>46167</v>
      </c>
      <c r="AC454" s="10">
        <v>46232</v>
      </c>
      <c r="AD454" s="31">
        <f t="shared" ca="1" si="168"/>
        <v>9</v>
      </c>
      <c r="AE454" s="36">
        <v>1</v>
      </c>
      <c r="AF454" t="s">
        <v>62</v>
      </c>
      <c r="AG454" s="10" t="s">
        <v>78</v>
      </c>
      <c r="AI454" s="9" t="s">
        <v>53</v>
      </c>
      <c r="AL454" t="s">
        <v>2211</v>
      </c>
      <c r="AM454" s="27" t="str">
        <f t="shared" si="163"/>
        <v>Atrasado</v>
      </c>
      <c r="AN454" s="27" t="str">
        <f t="shared" ca="1" si="158"/>
        <v>Estoque</v>
      </c>
      <c r="AO454" s="27" t="str">
        <f t="shared" ca="1" si="169"/>
        <v/>
      </c>
    </row>
    <row r="455" spans="4:41" ht="15" hidden="1" customHeight="1">
      <c r="D455" t="s">
        <v>1464</v>
      </c>
      <c r="E455" s="23" t="s">
        <v>1985</v>
      </c>
      <c r="I455" s="26"/>
      <c r="L455" s="27" t="str">
        <f t="shared" si="157"/>
        <v xml:space="preserve"> </v>
      </c>
      <c r="N455" s="27" t="str">
        <f t="shared" si="155"/>
        <v xml:space="preserve"> </v>
      </c>
      <c r="O455" s="27">
        <f t="shared" si="166"/>
        <v>0</v>
      </c>
      <c r="P455" s="28" t="str">
        <f t="shared" si="170"/>
        <v>On time</v>
      </c>
      <c r="Q455" s="27">
        <f t="shared" si="167"/>
        <v>0</v>
      </c>
      <c r="R455" s="29" t="s">
        <v>932</v>
      </c>
      <c r="S455" s="12" t="s">
        <v>524</v>
      </c>
      <c r="T455" s="35">
        <v>9</v>
      </c>
      <c r="U455" t="s">
        <v>941</v>
      </c>
      <c r="V455" s="27">
        <v>100</v>
      </c>
      <c r="W455" s="9">
        <v>7</v>
      </c>
      <c r="X455" s="9">
        <f t="shared" si="156"/>
        <v>700</v>
      </c>
      <c r="Z455" s="10">
        <v>46106</v>
      </c>
      <c r="AA455" s="10">
        <v>46126</v>
      </c>
      <c r="AB455" s="10">
        <v>46167</v>
      </c>
      <c r="AC455" s="10">
        <v>46232</v>
      </c>
      <c r="AD455" s="31">
        <f t="shared" ca="1" si="168"/>
        <v>9</v>
      </c>
      <c r="AE455" s="36">
        <v>1</v>
      </c>
      <c r="AF455" t="s">
        <v>62</v>
      </c>
      <c r="AG455" s="10" t="s">
        <v>78</v>
      </c>
      <c r="AI455" s="9" t="s">
        <v>53</v>
      </c>
      <c r="AL455" t="s">
        <v>2211</v>
      </c>
      <c r="AM455" s="27" t="str">
        <f t="shared" si="163"/>
        <v>Atrasado</v>
      </c>
      <c r="AN455" s="27" t="str">
        <f t="shared" ca="1" si="158"/>
        <v>Estoque</v>
      </c>
      <c r="AO455" s="27" t="str">
        <f t="shared" ca="1" si="169"/>
        <v/>
      </c>
    </row>
    <row r="456" spans="4:41" ht="15" hidden="1" customHeight="1">
      <c r="D456" t="s">
        <v>1465</v>
      </c>
      <c r="E456" s="23" t="s">
        <v>1986</v>
      </c>
      <c r="I456" s="26"/>
      <c r="L456" s="27" t="str">
        <f t="shared" si="157"/>
        <v xml:space="preserve"> </v>
      </c>
      <c r="N456" s="27" t="str">
        <f t="shared" si="155"/>
        <v xml:space="preserve"> </v>
      </c>
      <c r="O456" s="27">
        <f t="shared" si="166"/>
        <v>0</v>
      </c>
      <c r="P456" s="28" t="str">
        <f t="shared" si="170"/>
        <v>On time</v>
      </c>
      <c r="Q456" s="27">
        <f t="shared" si="167"/>
        <v>0</v>
      </c>
      <c r="R456" s="29" t="s">
        <v>932</v>
      </c>
      <c r="S456" s="12" t="s">
        <v>524</v>
      </c>
      <c r="T456" s="35">
        <v>10</v>
      </c>
      <c r="U456" t="s">
        <v>942</v>
      </c>
      <c r="V456" s="27">
        <v>10</v>
      </c>
      <c r="W456" s="9">
        <v>15.74</v>
      </c>
      <c r="X456" s="9">
        <f t="shared" si="156"/>
        <v>157.4</v>
      </c>
      <c r="Z456" s="10">
        <v>46106</v>
      </c>
      <c r="AA456" s="10">
        <v>46126</v>
      </c>
      <c r="AB456" s="10">
        <v>46167</v>
      </c>
      <c r="AC456" s="10">
        <v>46232</v>
      </c>
      <c r="AD456" s="31">
        <f t="shared" ca="1" si="168"/>
        <v>9</v>
      </c>
      <c r="AE456" s="36">
        <v>1</v>
      </c>
      <c r="AF456" t="s">
        <v>62</v>
      </c>
      <c r="AG456" s="10" t="s">
        <v>78</v>
      </c>
      <c r="AI456" s="9" t="s">
        <v>53</v>
      </c>
      <c r="AL456" t="s">
        <v>2211</v>
      </c>
      <c r="AM456" s="27" t="str">
        <f t="shared" si="163"/>
        <v>Atrasado</v>
      </c>
      <c r="AN456" s="27" t="str">
        <f t="shared" ca="1" si="158"/>
        <v>Estoque</v>
      </c>
      <c r="AO456" s="27" t="str">
        <f t="shared" ca="1" si="169"/>
        <v/>
      </c>
    </row>
    <row r="457" spans="4:41" ht="15" hidden="1" customHeight="1">
      <c r="D457" t="s">
        <v>1466</v>
      </c>
      <c r="E457" s="23" t="s">
        <v>1987</v>
      </c>
      <c r="I457" s="26"/>
      <c r="L457" s="27" t="str">
        <f t="shared" si="157"/>
        <v xml:space="preserve"> </v>
      </c>
      <c r="N457" s="27" t="str">
        <f t="shared" si="155"/>
        <v xml:space="preserve"> </v>
      </c>
      <c r="O457" s="27">
        <f t="shared" si="166"/>
        <v>0</v>
      </c>
      <c r="P457" s="28" t="str">
        <f t="shared" si="170"/>
        <v>On time</v>
      </c>
      <c r="Q457" s="27">
        <f t="shared" si="167"/>
        <v>0</v>
      </c>
      <c r="R457" s="29" t="s">
        <v>932</v>
      </c>
      <c r="S457" s="12" t="s">
        <v>524</v>
      </c>
      <c r="T457" s="35">
        <v>11</v>
      </c>
      <c r="U457" t="s">
        <v>943</v>
      </c>
      <c r="V457" s="27">
        <v>50</v>
      </c>
      <c r="W457" s="9">
        <v>13.05</v>
      </c>
      <c r="X457" s="9">
        <f t="shared" si="156"/>
        <v>652.5</v>
      </c>
      <c r="Z457" s="10">
        <v>46106</v>
      </c>
      <c r="AA457" s="10">
        <v>46126</v>
      </c>
      <c r="AB457" s="10">
        <v>46167</v>
      </c>
      <c r="AC457" s="10">
        <v>46232</v>
      </c>
      <c r="AD457" s="31">
        <f t="shared" ca="1" si="168"/>
        <v>9</v>
      </c>
      <c r="AE457" s="36">
        <v>1</v>
      </c>
      <c r="AF457" t="s">
        <v>62</v>
      </c>
      <c r="AG457" s="10" t="s">
        <v>78</v>
      </c>
      <c r="AI457" s="9" t="s">
        <v>53</v>
      </c>
      <c r="AL457" t="s">
        <v>2211</v>
      </c>
      <c r="AM457" s="27" t="str">
        <f t="shared" si="163"/>
        <v>Atrasado</v>
      </c>
      <c r="AN457" s="27" t="str">
        <f t="shared" ca="1" si="158"/>
        <v>Estoque</v>
      </c>
      <c r="AO457" s="27" t="str">
        <f t="shared" ca="1" si="169"/>
        <v/>
      </c>
    </row>
    <row r="458" spans="4:41" ht="15" hidden="1" customHeight="1">
      <c r="D458" t="s">
        <v>1467</v>
      </c>
      <c r="E458" s="23" t="s">
        <v>1988</v>
      </c>
      <c r="I458" s="26"/>
      <c r="L458" s="27" t="str">
        <f t="shared" si="157"/>
        <v xml:space="preserve"> </v>
      </c>
      <c r="N458" s="27" t="str">
        <f t="shared" ref="N458:N525" si="171">IF(J458=0," ",IF(M458&lt;=J458+6,"On time","Atrasado"))</f>
        <v xml:space="preserve"> </v>
      </c>
      <c r="O458" s="27">
        <f t="shared" si="166"/>
        <v>0</v>
      </c>
      <c r="P458" s="28" t="str">
        <f t="shared" si="170"/>
        <v>On time</v>
      </c>
      <c r="Q458" s="27">
        <f t="shared" si="167"/>
        <v>0</v>
      </c>
      <c r="R458" s="29" t="s">
        <v>932</v>
      </c>
      <c r="S458" s="12" t="s">
        <v>524</v>
      </c>
      <c r="T458" s="35">
        <v>12</v>
      </c>
      <c r="U458" t="s">
        <v>944</v>
      </c>
      <c r="V458" s="27">
        <v>50</v>
      </c>
      <c r="W458" s="9">
        <v>12.01</v>
      </c>
      <c r="X458" s="9">
        <f t="shared" si="156"/>
        <v>600.5</v>
      </c>
      <c r="Z458" s="10">
        <v>46106</v>
      </c>
      <c r="AA458" s="10">
        <v>46126</v>
      </c>
      <c r="AB458" s="10">
        <v>46167</v>
      </c>
      <c r="AC458" s="10">
        <v>46232</v>
      </c>
      <c r="AD458" s="31">
        <f t="shared" ca="1" si="168"/>
        <v>9</v>
      </c>
      <c r="AE458" s="36">
        <v>1</v>
      </c>
      <c r="AF458" t="s">
        <v>62</v>
      </c>
      <c r="AG458" s="10" t="s">
        <v>78</v>
      </c>
      <c r="AI458" s="9" t="s">
        <v>53</v>
      </c>
      <c r="AL458" t="s">
        <v>2211</v>
      </c>
      <c r="AM458" s="27" t="str">
        <f t="shared" si="163"/>
        <v>Atrasado</v>
      </c>
      <c r="AN458" s="27" t="str">
        <f t="shared" ca="1" si="158"/>
        <v>Estoque</v>
      </c>
      <c r="AO458" s="27" t="str">
        <f t="shared" ca="1" si="169"/>
        <v/>
      </c>
    </row>
    <row r="459" spans="4:41" ht="15" hidden="1" customHeight="1">
      <c r="D459" t="s">
        <v>1468</v>
      </c>
      <c r="E459" s="23" t="s">
        <v>1989</v>
      </c>
      <c r="I459" s="26"/>
      <c r="L459" s="27" t="str">
        <f t="shared" ref="L459:L526" si="172">IF(J459=0," ",IF(K459&lt;=J459+6,"On time","Atrasado"))</f>
        <v xml:space="preserve"> </v>
      </c>
      <c r="N459" s="27" t="str">
        <f t="shared" si="171"/>
        <v xml:space="preserve"> </v>
      </c>
      <c r="O459" s="27">
        <f t="shared" si="166"/>
        <v>0</v>
      </c>
      <c r="P459" s="28" t="str">
        <f t="shared" si="170"/>
        <v>On time</v>
      </c>
      <c r="Q459" s="27">
        <f t="shared" si="167"/>
        <v>0</v>
      </c>
      <c r="R459" s="29" t="s">
        <v>932</v>
      </c>
      <c r="S459" s="12" t="s">
        <v>524</v>
      </c>
      <c r="T459" s="35">
        <v>13</v>
      </c>
      <c r="U459" t="s">
        <v>945</v>
      </c>
      <c r="V459" s="27">
        <v>10</v>
      </c>
      <c r="W459" s="9">
        <v>33</v>
      </c>
      <c r="X459" s="9">
        <f t="shared" ref="X459:X531" si="173">W459*V459</f>
        <v>330</v>
      </c>
      <c r="Z459" s="10">
        <v>46106</v>
      </c>
      <c r="AA459" s="10">
        <v>46126</v>
      </c>
      <c r="AB459" s="10">
        <v>46167</v>
      </c>
      <c r="AC459" s="10">
        <v>46232</v>
      </c>
      <c r="AD459" s="31">
        <f t="shared" ca="1" si="168"/>
        <v>9</v>
      </c>
      <c r="AE459" s="36">
        <v>1</v>
      </c>
      <c r="AF459" t="s">
        <v>62</v>
      </c>
      <c r="AG459" s="10" t="s">
        <v>78</v>
      </c>
      <c r="AI459" s="9" t="s">
        <v>53</v>
      </c>
      <c r="AL459" t="s">
        <v>2211</v>
      </c>
      <c r="AM459" s="27" t="str">
        <f t="shared" si="163"/>
        <v>Atrasado</v>
      </c>
      <c r="AN459" s="27" t="str">
        <f t="shared" ca="1" si="158"/>
        <v>Estoque</v>
      </c>
      <c r="AO459" s="27" t="str">
        <f t="shared" ca="1" si="169"/>
        <v/>
      </c>
    </row>
    <row r="460" spans="4:41" ht="15" hidden="1" customHeight="1">
      <c r="D460" t="s">
        <v>1469</v>
      </c>
      <c r="E460" s="23" t="s">
        <v>1990</v>
      </c>
      <c r="I460" s="26"/>
      <c r="L460" s="27" t="str">
        <f t="shared" si="172"/>
        <v xml:space="preserve"> </v>
      </c>
      <c r="N460" s="27" t="str">
        <f t="shared" si="171"/>
        <v xml:space="preserve"> </v>
      </c>
      <c r="O460" s="27">
        <f t="shared" si="166"/>
        <v>0</v>
      </c>
      <c r="P460" s="28" t="str">
        <f t="shared" si="170"/>
        <v>On time</v>
      </c>
      <c r="Q460" s="27">
        <f t="shared" si="167"/>
        <v>0</v>
      </c>
      <c r="R460" s="29" t="s">
        <v>932</v>
      </c>
      <c r="S460" s="12" t="s">
        <v>524</v>
      </c>
      <c r="T460" s="35">
        <v>14</v>
      </c>
      <c r="U460" t="s">
        <v>946</v>
      </c>
      <c r="V460" s="27">
        <v>10</v>
      </c>
      <c r="W460" s="9">
        <v>31</v>
      </c>
      <c r="X460" s="9">
        <f t="shared" si="173"/>
        <v>310</v>
      </c>
      <c r="Z460" s="10">
        <v>46106</v>
      </c>
      <c r="AA460" s="10">
        <v>46126</v>
      </c>
      <c r="AB460" s="10">
        <v>46167</v>
      </c>
      <c r="AC460" s="10">
        <v>46232</v>
      </c>
      <c r="AD460" s="31">
        <f t="shared" ca="1" si="168"/>
        <v>9</v>
      </c>
      <c r="AE460" s="36">
        <v>1</v>
      </c>
      <c r="AF460" t="s">
        <v>62</v>
      </c>
      <c r="AG460" s="10" t="s">
        <v>78</v>
      </c>
      <c r="AI460" s="9" t="s">
        <v>53</v>
      </c>
      <c r="AL460" t="s">
        <v>2211</v>
      </c>
      <c r="AM460" s="27" t="str">
        <f t="shared" si="163"/>
        <v>Atrasado</v>
      </c>
      <c r="AN460" s="27" t="str">
        <f t="shared" ca="1" si="158"/>
        <v>Estoque</v>
      </c>
      <c r="AO460" s="27" t="str">
        <f t="shared" ca="1" si="169"/>
        <v/>
      </c>
    </row>
    <row r="461" spans="4:41" ht="15" hidden="1" customHeight="1">
      <c r="D461" t="s">
        <v>1470</v>
      </c>
      <c r="E461" s="23" t="s">
        <v>1991</v>
      </c>
      <c r="I461" s="26"/>
      <c r="L461" s="27" t="str">
        <f t="shared" si="172"/>
        <v xml:space="preserve"> </v>
      </c>
      <c r="N461" s="27" t="str">
        <f t="shared" si="171"/>
        <v xml:space="preserve"> </v>
      </c>
      <c r="O461" s="27">
        <f t="shared" si="166"/>
        <v>0</v>
      </c>
      <c r="P461" s="28" t="str">
        <f t="shared" si="170"/>
        <v>On time</v>
      </c>
      <c r="Q461" s="27">
        <f t="shared" si="167"/>
        <v>0</v>
      </c>
      <c r="R461" s="29" t="s">
        <v>932</v>
      </c>
      <c r="S461" s="12" t="s">
        <v>524</v>
      </c>
      <c r="T461" s="35">
        <v>15</v>
      </c>
      <c r="U461" t="s">
        <v>947</v>
      </c>
      <c r="V461" s="27">
        <v>5</v>
      </c>
      <c r="W461" s="9">
        <v>29</v>
      </c>
      <c r="X461" s="9">
        <f t="shared" si="173"/>
        <v>145</v>
      </c>
      <c r="Z461" s="10">
        <v>46106</v>
      </c>
      <c r="AA461" s="10">
        <v>46126</v>
      </c>
      <c r="AB461" s="10">
        <v>46167</v>
      </c>
      <c r="AC461" s="10">
        <v>46232</v>
      </c>
      <c r="AD461" s="31">
        <f t="shared" ca="1" si="168"/>
        <v>9</v>
      </c>
      <c r="AE461" s="36">
        <v>1</v>
      </c>
      <c r="AF461" t="s">
        <v>62</v>
      </c>
      <c r="AG461" s="10" t="s">
        <v>78</v>
      </c>
      <c r="AI461" s="9" t="s">
        <v>53</v>
      </c>
      <c r="AL461" t="s">
        <v>2211</v>
      </c>
      <c r="AM461" s="27" t="str">
        <f t="shared" si="163"/>
        <v>Atrasado</v>
      </c>
      <c r="AN461" s="27" t="str">
        <f t="shared" ca="1" si="158"/>
        <v>Estoque</v>
      </c>
      <c r="AO461" s="27" t="str">
        <f t="shared" ca="1" si="169"/>
        <v/>
      </c>
    </row>
    <row r="462" spans="4:41" ht="15" hidden="1" customHeight="1">
      <c r="D462" t="s">
        <v>1471</v>
      </c>
      <c r="E462" s="23" t="s">
        <v>1992</v>
      </c>
      <c r="I462" s="26"/>
      <c r="L462" s="27" t="str">
        <f t="shared" si="172"/>
        <v xml:space="preserve"> </v>
      </c>
      <c r="N462" s="27" t="str">
        <f t="shared" si="171"/>
        <v xml:space="preserve"> </v>
      </c>
      <c r="O462" s="27">
        <f t="shared" si="166"/>
        <v>0</v>
      </c>
      <c r="P462" s="28" t="str">
        <f t="shared" si="170"/>
        <v>On time</v>
      </c>
      <c r="Q462" s="27">
        <f t="shared" si="167"/>
        <v>0</v>
      </c>
      <c r="R462" s="29" t="s">
        <v>932</v>
      </c>
      <c r="S462" s="12" t="s">
        <v>524</v>
      </c>
      <c r="T462" s="35">
        <v>16</v>
      </c>
      <c r="U462" t="s">
        <v>948</v>
      </c>
      <c r="V462" s="27">
        <v>3</v>
      </c>
      <c r="W462" s="9">
        <v>41.43</v>
      </c>
      <c r="X462" s="9">
        <f t="shared" si="173"/>
        <v>124.28999999999999</v>
      </c>
      <c r="Z462" s="10">
        <v>46106</v>
      </c>
      <c r="AA462" s="10">
        <v>46126</v>
      </c>
      <c r="AB462" s="10">
        <v>46167</v>
      </c>
      <c r="AC462" s="10">
        <v>46232</v>
      </c>
      <c r="AD462" s="31">
        <f t="shared" ca="1" si="168"/>
        <v>9</v>
      </c>
      <c r="AE462" s="36">
        <v>1</v>
      </c>
      <c r="AF462" t="s">
        <v>62</v>
      </c>
      <c r="AG462" s="10" t="s">
        <v>78</v>
      </c>
      <c r="AI462" s="9" t="s">
        <v>53</v>
      </c>
      <c r="AL462" t="s">
        <v>2211</v>
      </c>
      <c r="AM462" s="27" t="str">
        <f t="shared" si="163"/>
        <v>Atrasado</v>
      </c>
      <c r="AN462" s="27" t="str">
        <f t="shared" ca="1" si="158"/>
        <v>Estoque</v>
      </c>
      <c r="AO462" s="27" t="str">
        <f t="shared" ca="1" si="169"/>
        <v/>
      </c>
    </row>
    <row r="463" spans="4:41" ht="15" hidden="1" customHeight="1">
      <c r="D463" t="s">
        <v>1472</v>
      </c>
      <c r="E463" s="23" t="s">
        <v>1993</v>
      </c>
      <c r="I463" s="26"/>
      <c r="L463" s="27" t="str">
        <f t="shared" si="172"/>
        <v xml:space="preserve"> </v>
      </c>
      <c r="N463" s="27" t="str">
        <f t="shared" si="171"/>
        <v xml:space="preserve"> </v>
      </c>
      <c r="O463" s="27">
        <f t="shared" si="166"/>
        <v>0</v>
      </c>
      <c r="P463" s="28" t="str">
        <f t="shared" si="170"/>
        <v>On time</v>
      </c>
      <c r="Q463" s="27">
        <f t="shared" si="167"/>
        <v>0</v>
      </c>
      <c r="R463" s="29" t="s">
        <v>932</v>
      </c>
      <c r="S463" s="12" t="s">
        <v>524</v>
      </c>
      <c r="T463" s="35">
        <v>17</v>
      </c>
      <c r="U463" t="s">
        <v>949</v>
      </c>
      <c r="V463" s="27">
        <v>5</v>
      </c>
      <c r="W463" s="9">
        <v>41.43</v>
      </c>
      <c r="X463" s="9">
        <f t="shared" si="173"/>
        <v>207.15</v>
      </c>
      <c r="Z463" s="10">
        <v>46106</v>
      </c>
      <c r="AA463" s="10">
        <v>46126</v>
      </c>
      <c r="AB463" s="10">
        <v>46167</v>
      </c>
      <c r="AC463" s="10">
        <v>46232</v>
      </c>
      <c r="AD463" s="31">
        <f t="shared" ca="1" si="168"/>
        <v>9</v>
      </c>
      <c r="AE463" s="36">
        <v>1</v>
      </c>
      <c r="AF463" t="s">
        <v>62</v>
      </c>
      <c r="AG463" s="10" t="s">
        <v>78</v>
      </c>
      <c r="AI463" s="9" t="s">
        <v>53</v>
      </c>
      <c r="AL463" t="s">
        <v>2211</v>
      </c>
      <c r="AM463" s="27" t="str">
        <f t="shared" si="163"/>
        <v>Atrasado</v>
      </c>
      <c r="AN463" s="27" t="str">
        <f t="shared" ca="1" si="158"/>
        <v>Estoque</v>
      </c>
      <c r="AO463" s="27" t="str">
        <f t="shared" ca="1" si="169"/>
        <v/>
      </c>
    </row>
    <row r="464" spans="4:41" ht="15" hidden="1" customHeight="1">
      <c r="D464" t="s">
        <v>1473</v>
      </c>
      <c r="E464" s="23" t="s">
        <v>1994</v>
      </c>
      <c r="I464" s="26"/>
      <c r="L464" s="27" t="str">
        <f t="shared" si="172"/>
        <v xml:space="preserve"> </v>
      </c>
      <c r="N464" s="27" t="str">
        <f t="shared" si="171"/>
        <v xml:space="preserve"> </v>
      </c>
      <c r="O464" s="27">
        <f t="shared" si="166"/>
        <v>0</v>
      </c>
      <c r="P464" s="28" t="str">
        <f t="shared" si="170"/>
        <v>On time</v>
      </c>
      <c r="Q464" s="27">
        <f t="shared" si="167"/>
        <v>0</v>
      </c>
      <c r="R464" s="29" t="s">
        <v>932</v>
      </c>
      <c r="S464" s="12" t="s">
        <v>524</v>
      </c>
      <c r="T464" s="35">
        <v>18</v>
      </c>
      <c r="U464" t="s">
        <v>950</v>
      </c>
      <c r="V464" s="27">
        <v>5</v>
      </c>
      <c r="W464" s="9">
        <v>35.21</v>
      </c>
      <c r="X464" s="9">
        <f t="shared" si="173"/>
        <v>176.05</v>
      </c>
      <c r="Z464" s="10">
        <v>46106</v>
      </c>
      <c r="AA464" s="10">
        <v>46126</v>
      </c>
      <c r="AB464" s="10">
        <v>46167</v>
      </c>
      <c r="AC464" s="10">
        <v>46232</v>
      </c>
      <c r="AD464" s="31">
        <f t="shared" ca="1" si="168"/>
        <v>9</v>
      </c>
      <c r="AE464" s="36">
        <v>1</v>
      </c>
      <c r="AF464" t="s">
        <v>62</v>
      </c>
      <c r="AG464" s="10" t="s">
        <v>78</v>
      </c>
      <c r="AI464" s="9" t="s">
        <v>53</v>
      </c>
      <c r="AL464" t="s">
        <v>2211</v>
      </c>
      <c r="AM464" s="27" t="str">
        <f t="shared" si="163"/>
        <v>Atrasado</v>
      </c>
      <c r="AN464" s="27" t="str">
        <f t="shared" ref="AN464:AN531" ca="1" si="174">IF(AND(AC464&lt;&gt;"",AC464&lt;=TODAY()),"Chegou",IF(A464="","Estoque",IF(OR(AC464="",I464=""),"",IF(I464-AC464&lt;=0,"Atrasado",IF(I464-AC464&lt;=9,"Crítico",IF(I464-AC464&lt;=20,"Verificar aéreo",IF(I464-AC464&lt;=25,"Alerta","No prazo")        ))))))</f>
        <v>Estoque</v>
      </c>
      <c r="AO464" s="27" t="str">
        <f t="shared" ca="1" si="169"/>
        <v/>
      </c>
    </row>
    <row r="465" spans="1:41" ht="15" hidden="1" customHeight="1">
      <c r="D465" t="s">
        <v>1474</v>
      </c>
      <c r="E465" s="23" t="s">
        <v>1995</v>
      </c>
      <c r="I465" s="26"/>
      <c r="L465" s="27" t="str">
        <f t="shared" si="172"/>
        <v xml:space="preserve"> </v>
      </c>
      <c r="N465" s="27" t="str">
        <f t="shared" si="171"/>
        <v xml:space="preserve"> </v>
      </c>
      <c r="O465" s="27">
        <f t="shared" si="166"/>
        <v>0</v>
      </c>
      <c r="P465" s="28" t="str">
        <f t="shared" si="170"/>
        <v>On time</v>
      </c>
      <c r="Q465" s="27">
        <f t="shared" si="167"/>
        <v>0</v>
      </c>
      <c r="R465" s="29" t="s">
        <v>932</v>
      </c>
      <c r="S465" s="12" t="s">
        <v>524</v>
      </c>
      <c r="T465" s="35">
        <v>19</v>
      </c>
      <c r="U465" t="s">
        <v>951</v>
      </c>
      <c r="V465" s="27">
        <v>2</v>
      </c>
      <c r="W465" s="9">
        <v>45.57</v>
      </c>
      <c r="X465" s="9">
        <f t="shared" si="173"/>
        <v>91.14</v>
      </c>
      <c r="Z465" s="10">
        <v>46106</v>
      </c>
      <c r="AA465" s="10">
        <v>46126</v>
      </c>
      <c r="AB465" s="10">
        <v>46167</v>
      </c>
      <c r="AC465" s="10">
        <v>46232</v>
      </c>
      <c r="AD465" s="31">
        <f t="shared" ca="1" si="168"/>
        <v>9</v>
      </c>
      <c r="AE465" s="36">
        <v>1</v>
      </c>
      <c r="AF465" t="s">
        <v>62</v>
      </c>
      <c r="AG465" s="10" t="s">
        <v>78</v>
      </c>
      <c r="AI465" s="9" t="s">
        <v>53</v>
      </c>
      <c r="AL465" t="s">
        <v>2211</v>
      </c>
      <c r="AM465" s="27" t="str">
        <f t="shared" si="163"/>
        <v>Atrasado</v>
      </c>
      <c r="AN465" s="27" t="str">
        <f t="shared" ca="1" si="174"/>
        <v>Estoque</v>
      </c>
      <c r="AO465" s="27" t="str">
        <f t="shared" ca="1" si="169"/>
        <v/>
      </c>
    </row>
    <row r="466" spans="1:41" ht="15" hidden="1" customHeight="1">
      <c r="D466" t="s">
        <v>1475</v>
      </c>
      <c r="E466" s="23" t="s">
        <v>1996</v>
      </c>
      <c r="I466" s="26"/>
      <c r="L466" s="27" t="str">
        <f t="shared" si="172"/>
        <v xml:space="preserve"> </v>
      </c>
      <c r="N466" s="27" t="str">
        <f t="shared" si="171"/>
        <v xml:space="preserve"> </v>
      </c>
      <c r="O466" s="27">
        <f t="shared" si="166"/>
        <v>0</v>
      </c>
      <c r="P466" s="28" t="str">
        <f t="shared" si="170"/>
        <v>On time</v>
      </c>
      <c r="Q466" s="27">
        <f t="shared" si="167"/>
        <v>0</v>
      </c>
      <c r="R466" s="29" t="s">
        <v>932</v>
      </c>
      <c r="S466" s="12" t="s">
        <v>524</v>
      </c>
      <c r="T466" s="35">
        <v>20</v>
      </c>
      <c r="U466" t="s">
        <v>952</v>
      </c>
      <c r="V466" s="27">
        <v>2</v>
      </c>
      <c r="W466" s="9">
        <v>78.709999999999994</v>
      </c>
      <c r="X466" s="9">
        <f t="shared" si="173"/>
        <v>157.41999999999999</v>
      </c>
      <c r="Z466" s="10">
        <v>46106</v>
      </c>
      <c r="AA466" s="10">
        <v>46126</v>
      </c>
      <c r="AB466" s="10">
        <v>46167</v>
      </c>
      <c r="AC466" s="10">
        <v>46232</v>
      </c>
      <c r="AD466" s="31">
        <f t="shared" ca="1" si="168"/>
        <v>9</v>
      </c>
      <c r="AE466" s="36">
        <v>1</v>
      </c>
      <c r="AF466" t="s">
        <v>62</v>
      </c>
      <c r="AG466" s="10" t="s">
        <v>78</v>
      </c>
      <c r="AI466" s="9" t="s">
        <v>53</v>
      </c>
      <c r="AL466" t="s">
        <v>2211</v>
      </c>
      <c r="AM466" s="27" t="str">
        <f t="shared" si="163"/>
        <v>Atrasado</v>
      </c>
      <c r="AN466" s="27" t="str">
        <f t="shared" ca="1" si="174"/>
        <v>Estoque</v>
      </c>
      <c r="AO466" s="27" t="str">
        <f t="shared" ca="1" si="169"/>
        <v/>
      </c>
    </row>
    <row r="467" spans="1:41" ht="15" hidden="1" customHeight="1">
      <c r="D467" t="s">
        <v>1476</v>
      </c>
      <c r="E467" s="23" t="s">
        <v>1997</v>
      </c>
      <c r="I467" s="26"/>
      <c r="L467" s="27" t="str">
        <f t="shared" si="172"/>
        <v xml:space="preserve"> </v>
      </c>
      <c r="N467" s="27" t="str">
        <f t="shared" si="171"/>
        <v xml:space="preserve"> </v>
      </c>
      <c r="O467" s="27">
        <f t="shared" si="166"/>
        <v>0</v>
      </c>
      <c r="P467" s="28" t="str">
        <f t="shared" si="170"/>
        <v>On time</v>
      </c>
      <c r="Q467" s="27">
        <f t="shared" si="167"/>
        <v>0</v>
      </c>
      <c r="R467" s="29" t="s">
        <v>932</v>
      </c>
      <c r="S467" s="12" t="s">
        <v>524</v>
      </c>
      <c r="T467" s="35">
        <v>21</v>
      </c>
      <c r="U467" t="s">
        <v>953</v>
      </c>
      <c r="V467" s="27">
        <v>2</v>
      </c>
      <c r="W467" s="9">
        <v>97.36</v>
      </c>
      <c r="X467" s="9">
        <f t="shared" si="173"/>
        <v>194.72</v>
      </c>
      <c r="Z467" s="10">
        <v>46106</v>
      </c>
      <c r="AA467" s="10">
        <v>46126</v>
      </c>
      <c r="AB467" s="10">
        <v>46167</v>
      </c>
      <c r="AC467" s="10">
        <v>46232</v>
      </c>
      <c r="AD467" s="31">
        <f t="shared" ca="1" si="168"/>
        <v>9</v>
      </c>
      <c r="AE467" s="36">
        <v>1</v>
      </c>
      <c r="AF467" t="s">
        <v>62</v>
      </c>
      <c r="AG467" s="10" t="s">
        <v>78</v>
      </c>
      <c r="AI467" s="9" t="s">
        <v>53</v>
      </c>
      <c r="AL467" t="s">
        <v>2211</v>
      </c>
      <c r="AM467" s="27" t="str">
        <f t="shared" si="163"/>
        <v>Atrasado</v>
      </c>
      <c r="AN467" s="27" t="str">
        <f t="shared" ca="1" si="174"/>
        <v>Estoque</v>
      </c>
      <c r="AO467" s="27" t="str">
        <f t="shared" ca="1" si="169"/>
        <v/>
      </c>
    </row>
    <row r="468" spans="1:41" ht="15" hidden="1" customHeight="1">
      <c r="A468">
        <v>513747</v>
      </c>
      <c r="B468">
        <v>1</v>
      </c>
      <c r="C468" t="s">
        <v>25</v>
      </c>
      <c r="D468" t="s">
        <v>1477</v>
      </c>
      <c r="E468" s="23" t="s">
        <v>1998</v>
      </c>
      <c r="F468" s="24">
        <v>3</v>
      </c>
      <c r="G468" s="25">
        <v>105.21</v>
      </c>
      <c r="H468" s="25">
        <f>G468*F468</f>
        <v>315.63</v>
      </c>
      <c r="I468" s="26">
        <v>46286</v>
      </c>
      <c r="J468" s="10">
        <v>46106</v>
      </c>
      <c r="K468" s="10">
        <v>46106</v>
      </c>
      <c r="L468" s="27" t="str">
        <f t="shared" si="172"/>
        <v>On time</v>
      </c>
      <c r="M468" s="58">
        <v>46106</v>
      </c>
      <c r="N468" s="27" t="str">
        <f t="shared" si="171"/>
        <v>On time</v>
      </c>
      <c r="O468" s="27">
        <f t="shared" si="166"/>
        <v>0</v>
      </c>
      <c r="P468" s="28" t="str">
        <f t="shared" si="170"/>
        <v>On time</v>
      </c>
      <c r="Q468" s="27">
        <f t="shared" si="167"/>
        <v>180</v>
      </c>
      <c r="R468" s="29" t="s">
        <v>932</v>
      </c>
      <c r="S468" s="12" t="s">
        <v>524</v>
      </c>
      <c r="T468" s="35">
        <v>22</v>
      </c>
      <c r="U468" t="s">
        <v>954</v>
      </c>
      <c r="V468" s="27">
        <v>20</v>
      </c>
      <c r="W468" s="9">
        <v>2.8</v>
      </c>
      <c r="X468" s="9">
        <f t="shared" si="173"/>
        <v>56</v>
      </c>
      <c r="Y468">
        <v>1.89</v>
      </c>
      <c r="Z468" s="10">
        <v>46106</v>
      </c>
      <c r="AA468" s="10">
        <v>46126</v>
      </c>
      <c r="AB468" s="10">
        <v>46167</v>
      </c>
      <c r="AC468" s="10">
        <v>46232</v>
      </c>
      <c r="AD468" s="31">
        <f t="shared" ca="1" si="168"/>
        <v>9</v>
      </c>
      <c r="AE468" s="36">
        <v>1</v>
      </c>
      <c r="AF468" t="s">
        <v>62</v>
      </c>
      <c r="AG468" s="10" t="s">
        <v>78</v>
      </c>
      <c r="AI468" s="9" t="s">
        <v>53</v>
      </c>
      <c r="AL468" t="s">
        <v>2211</v>
      </c>
      <c r="AM468" s="27" t="str">
        <f t="shared" si="163"/>
        <v>Atrasado</v>
      </c>
      <c r="AN468" s="27" t="str">
        <f t="shared" ca="1" si="174"/>
        <v>No prazo</v>
      </c>
      <c r="AO468" s="27" t="str">
        <f t="shared" ca="1" si="169"/>
        <v/>
      </c>
    </row>
    <row r="469" spans="1:41" ht="15" hidden="1" customHeight="1">
      <c r="D469" t="s">
        <v>1478</v>
      </c>
      <c r="E469" s="23" t="s">
        <v>1999</v>
      </c>
      <c r="F469" s="24"/>
      <c r="I469" s="26"/>
      <c r="L469" s="27" t="str">
        <f t="shared" si="172"/>
        <v xml:space="preserve"> </v>
      </c>
      <c r="N469" s="27" t="str">
        <f t="shared" si="171"/>
        <v xml:space="preserve"> </v>
      </c>
      <c r="O469" s="27">
        <f t="shared" si="166"/>
        <v>0</v>
      </c>
      <c r="P469" s="28" t="str">
        <f t="shared" si="170"/>
        <v>On time</v>
      </c>
      <c r="Q469" s="27">
        <f t="shared" si="167"/>
        <v>0</v>
      </c>
      <c r="R469" s="29" t="s">
        <v>932</v>
      </c>
      <c r="S469" s="12" t="s">
        <v>524</v>
      </c>
      <c r="T469" s="35">
        <v>23</v>
      </c>
      <c r="U469" t="s">
        <v>955</v>
      </c>
      <c r="V469" s="27">
        <v>100</v>
      </c>
      <c r="W469" s="9">
        <v>0.41</v>
      </c>
      <c r="X469" s="9">
        <f t="shared" si="173"/>
        <v>41</v>
      </c>
      <c r="Z469" s="10">
        <v>46106</v>
      </c>
      <c r="AA469" s="10">
        <v>46126</v>
      </c>
      <c r="AB469" s="10">
        <v>46167</v>
      </c>
      <c r="AC469" s="10">
        <v>46232</v>
      </c>
      <c r="AD469" s="31">
        <f t="shared" ca="1" si="168"/>
        <v>9</v>
      </c>
      <c r="AE469" s="36">
        <v>1</v>
      </c>
      <c r="AF469" t="s">
        <v>62</v>
      </c>
      <c r="AG469" s="10" t="s">
        <v>78</v>
      </c>
      <c r="AI469" s="9" t="s">
        <v>53</v>
      </c>
      <c r="AL469" t="s">
        <v>2211</v>
      </c>
      <c r="AM469" s="27" t="str">
        <f t="shared" si="163"/>
        <v>Atrasado</v>
      </c>
      <c r="AN469" s="27" t="str">
        <f t="shared" ca="1" si="174"/>
        <v>Estoque</v>
      </c>
      <c r="AO469" s="27" t="str">
        <f t="shared" ca="1" si="169"/>
        <v/>
      </c>
    </row>
    <row r="470" spans="1:41" ht="15" hidden="1" customHeight="1">
      <c r="D470" t="s">
        <v>1479</v>
      </c>
      <c r="E470" s="23" t="s">
        <v>2000</v>
      </c>
      <c r="F470" s="24"/>
      <c r="I470" s="26"/>
      <c r="L470" s="27" t="str">
        <f t="shared" si="172"/>
        <v xml:space="preserve"> </v>
      </c>
      <c r="N470" s="27" t="str">
        <f t="shared" si="171"/>
        <v xml:space="preserve"> </v>
      </c>
      <c r="O470" s="27">
        <f t="shared" si="166"/>
        <v>0</v>
      </c>
      <c r="P470" s="28" t="str">
        <f t="shared" si="170"/>
        <v>On time</v>
      </c>
      <c r="Q470" s="27">
        <f t="shared" si="167"/>
        <v>0</v>
      </c>
      <c r="R470" s="29" t="s">
        <v>932</v>
      </c>
      <c r="S470" s="12" t="s">
        <v>524</v>
      </c>
      <c r="T470" s="35">
        <v>24</v>
      </c>
      <c r="U470" t="s">
        <v>956</v>
      </c>
      <c r="V470" s="27">
        <v>250</v>
      </c>
      <c r="W470" s="9">
        <v>0.77</v>
      </c>
      <c r="X470" s="9">
        <f t="shared" si="173"/>
        <v>192.5</v>
      </c>
      <c r="Z470" s="10">
        <v>46106</v>
      </c>
      <c r="AA470" s="10">
        <v>46126</v>
      </c>
      <c r="AB470" s="10">
        <v>46167</v>
      </c>
      <c r="AC470" s="10">
        <v>46232</v>
      </c>
      <c r="AD470" s="31">
        <f t="shared" ca="1" si="168"/>
        <v>9</v>
      </c>
      <c r="AE470" s="36">
        <v>1</v>
      </c>
      <c r="AF470" t="s">
        <v>62</v>
      </c>
      <c r="AG470" s="10" t="s">
        <v>78</v>
      </c>
      <c r="AI470" s="9" t="s">
        <v>53</v>
      </c>
      <c r="AL470" t="s">
        <v>2211</v>
      </c>
      <c r="AM470" s="27" t="str">
        <f t="shared" si="163"/>
        <v>Atrasado</v>
      </c>
      <c r="AN470" s="27" t="str">
        <f t="shared" ca="1" si="174"/>
        <v>Estoque</v>
      </c>
      <c r="AO470" s="27" t="str">
        <f t="shared" ca="1" si="169"/>
        <v/>
      </c>
    </row>
    <row r="471" spans="1:41" ht="15" hidden="1" customHeight="1">
      <c r="D471" t="s">
        <v>1480</v>
      </c>
      <c r="E471" s="23" t="s">
        <v>2001</v>
      </c>
      <c r="F471" s="24"/>
      <c r="I471" s="26"/>
      <c r="L471" s="27" t="str">
        <f t="shared" si="172"/>
        <v xml:space="preserve"> </v>
      </c>
      <c r="N471" s="27" t="str">
        <f t="shared" si="171"/>
        <v xml:space="preserve"> </v>
      </c>
      <c r="O471" s="27">
        <f t="shared" si="166"/>
        <v>0</v>
      </c>
      <c r="P471" s="28" t="str">
        <f t="shared" si="170"/>
        <v>On time</v>
      </c>
      <c r="Q471" s="27">
        <f t="shared" si="167"/>
        <v>0</v>
      </c>
      <c r="R471" s="29" t="s">
        <v>932</v>
      </c>
      <c r="S471" s="12" t="s">
        <v>524</v>
      </c>
      <c r="T471" s="35">
        <v>25</v>
      </c>
      <c r="U471" t="s">
        <v>957</v>
      </c>
      <c r="V471" s="27">
        <v>250</v>
      </c>
      <c r="W471" s="9">
        <v>1.76</v>
      </c>
      <c r="X471" s="9">
        <f t="shared" si="173"/>
        <v>440</v>
      </c>
      <c r="Z471" s="10">
        <v>46106</v>
      </c>
      <c r="AA471" s="10">
        <v>46126</v>
      </c>
      <c r="AB471" s="10">
        <v>46167</v>
      </c>
      <c r="AC471" s="10">
        <v>46232</v>
      </c>
      <c r="AD471" s="31">
        <f t="shared" ca="1" si="168"/>
        <v>9</v>
      </c>
      <c r="AE471" s="36">
        <v>1</v>
      </c>
      <c r="AF471" t="s">
        <v>62</v>
      </c>
      <c r="AG471" s="10" t="s">
        <v>78</v>
      </c>
      <c r="AI471" s="9" t="s">
        <v>53</v>
      </c>
      <c r="AL471" t="s">
        <v>2211</v>
      </c>
      <c r="AM471" s="27" t="str">
        <f t="shared" si="163"/>
        <v>Atrasado</v>
      </c>
      <c r="AN471" s="27" t="str">
        <f t="shared" ca="1" si="174"/>
        <v>Estoque</v>
      </c>
      <c r="AO471" s="27" t="str">
        <f t="shared" ca="1" si="169"/>
        <v/>
      </c>
    </row>
    <row r="472" spans="1:41" ht="15" hidden="1" customHeight="1">
      <c r="D472" t="s">
        <v>1481</v>
      </c>
      <c r="E472" s="23" t="s">
        <v>2002</v>
      </c>
      <c r="F472" s="24"/>
      <c r="I472" s="26"/>
      <c r="L472" s="27" t="str">
        <f t="shared" si="172"/>
        <v xml:space="preserve"> </v>
      </c>
      <c r="N472" s="27" t="str">
        <f t="shared" si="171"/>
        <v xml:space="preserve"> </v>
      </c>
      <c r="O472" s="27">
        <f t="shared" si="166"/>
        <v>0</v>
      </c>
      <c r="P472" s="28" t="str">
        <f t="shared" si="170"/>
        <v>On time</v>
      </c>
      <c r="Q472" s="27">
        <f t="shared" si="167"/>
        <v>0</v>
      </c>
      <c r="R472" s="29" t="s">
        <v>932</v>
      </c>
      <c r="S472" s="12" t="s">
        <v>524</v>
      </c>
      <c r="T472" s="35">
        <v>26</v>
      </c>
      <c r="U472" t="s">
        <v>958</v>
      </c>
      <c r="V472" s="27">
        <v>200</v>
      </c>
      <c r="W472" s="9">
        <v>3.11</v>
      </c>
      <c r="X472" s="9">
        <f t="shared" si="173"/>
        <v>622</v>
      </c>
      <c r="Z472" s="10">
        <v>46106</v>
      </c>
      <c r="AA472" s="10">
        <v>46126</v>
      </c>
      <c r="AB472" s="10">
        <v>46167</v>
      </c>
      <c r="AC472" s="10">
        <v>46232</v>
      </c>
      <c r="AD472" s="31">
        <f t="shared" ca="1" si="168"/>
        <v>9</v>
      </c>
      <c r="AE472" s="36">
        <v>1</v>
      </c>
      <c r="AF472" t="s">
        <v>62</v>
      </c>
      <c r="AG472" s="10" t="s">
        <v>78</v>
      </c>
      <c r="AI472" s="9" t="s">
        <v>53</v>
      </c>
      <c r="AL472" t="s">
        <v>2211</v>
      </c>
      <c r="AM472" s="27" t="str">
        <f t="shared" si="163"/>
        <v>Atrasado</v>
      </c>
      <c r="AN472" s="27" t="str">
        <f t="shared" ca="1" si="174"/>
        <v>Estoque</v>
      </c>
      <c r="AO472" s="27" t="str">
        <f t="shared" ca="1" si="169"/>
        <v/>
      </c>
    </row>
    <row r="473" spans="1:41" ht="15" hidden="1" customHeight="1">
      <c r="D473" t="s">
        <v>1482</v>
      </c>
      <c r="E473" s="23" t="s">
        <v>2003</v>
      </c>
      <c r="F473" s="24"/>
      <c r="I473" s="26"/>
      <c r="L473" s="27" t="str">
        <f t="shared" si="172"/>
        <v xml:space="preserve"> </v>
      </c>
      <c r="N473" s="27" t="str">
        <f t="shared" si="171"/>
        <v xml:space="preserve"> </v>
      </c>
      <c r="O473" s="27">
        <f t="shared" si="166"/>
        <v>0</v>
      </c>
      <c r="P473" s="28" t="str">
        <f t="shared" si="170"/>
        <v>On time</v>
      </c>
      <c r="Q473" s="27">
        <f t="shared" si="167"/>
        <v>0</v>
      </c>
      <c r="R473" s="29" t="s">
        <v>932</v>
      </c>
      <c r="S473" s="12" t="s">
        <v>524</v>
      </c>
      <c r="T473" s="35">
        <v>27</v>
      </c>
      <c r="U473" t="s">
        <v>959</v>
      </c>
      <c r="V473" s="27">
        <v>150</v>
      </c>
      <c r="W473" s="9">
        <v>2.69</v>
      </c>
      <c r="X473" s="9">
        <f t="shared" si="173"/>
        <v>403.5</v>
      </c>
      <c r="Z473" s="10">
        <v>46106</v>
      </c>
      <c r="AA473" s="10">
        <v>46126</v>
      </c>
      <c r="AB473" s="10">
        <v>46167</v>
      </c>
      <c r="AC473" s="10">
        <v>46232</v>
      </c>
      <c r="AD473" s="31">
        <f t="shared" ca="1" si="168"/>
        <v>9</v>
      </c>
      <c r="AE473" s="36">
        <v>1</v>
      </c>
      <c r="AF473" t="s">
        <v>62</v>
      </c>
      <c r="AG473" s="10" t="s">
        <v>78</v>
      </c>
      <c r="AI473" s="9" t="s">
        <v>53</v>
      </c>
      <c r="AL473" t="s">
        <v>2211</v>
      </c>
      <c r="AM473" s="27" t="str">
        <f t="shared" si="163"/>
        <v>Atrasado</v>
      </c>
      <c r="AN473" s="27" t="str">
        <f t="shared" ca="1" si="174"/>
        <v>Estoque</v>
      </c>
      <c r="AO473" s="27" t="str">
        <f t="shared" ca="1" si="169"/>
        <v/>
      </c>
    </row>
    <row r="474" spans="1:41" ht="15" hidden="1" customHeight="1">
      <c r="D474" t="s">
        <v>1483</v>
      </c>
      <c r="E474" s="23" t="s">
        <v>2004</v>
      </c>
      <c r="F474" s="24"/>
      <c r="I474" s="26"/>
      <c r="L474" s="27" t="str">
        <f t="shared" si="172"/>
        <v xml:space="preserve"> </v>
      </c>
      <c r="N474" s="27" t="str">
        <f t="shared" si="171"/>
        <v xml:space="preserve"> </v>
      </c>
      <c r="O474" s="27">
        <f t="shared" si="166"/>
        <v>0</v>
      </c>
      <c r="P474" s="28" t="str">
        <f t="shared" si="170"/>
        <v>On time</v>
      </c>
      <c r="Q474" s="27">
        <f t="shared" si="167"/>
        <v>0</v>
      </c>
      <c r="R474" s="29" t="s">
        <v>932</v>
      </c>
      <c r="S474" s="12" t="s">
        <v>524</v>
      </c>
      <c r="T474" s="35">
        <v>28</v>
      </c>
      <c r="U474" t="s">
        <v>960</v>
      </c>
      <c r="V474" s="27">
        <v>30</v>
      </c>
      <c r="W474" s="9">
        <v>7.66</v>
      </c>
      <c r="X474" s="9">
        <f t="shared" si="173"/>
        <v>229.8</v>
      </c>
      <c r="Z474" s="10">
        <v>46106</v>
      </c>
      <c r="AA474" s="10">
        <v>46126</v>
      </c>
      <c r="AB474" s="10">
        <v>46167</v>
      </c>
      <c r="AC474" s="10">
        <v>46232</v>
      </c>
      <c r="AD474" s="31">
        <f t="shared" ca="1" si="168"/>
        <v>9</v>
      </c>
      <c r="AE474" s="36">
        <v>1</v>
      </c>
      <c r="AF474" t="s">
        <v>62</v>
      </c>
      <c r="AG474" s="10" t="s">
        <v>78</v>
      </c>
      <c r="AI474" s="9" t="s">
        <v>53</v>
      </c>
      <c r="AL474" t="s">
        <v>2211</v>
      </c>
      <c r="AM474" s="27" t="str">
        <f t="shared" si="163"/>
        <v>Atrasado</v>
      </c>
      <c r="AN474" s="27" t="str">
        <f t="shared" ca="1" si="174"/>
        <v>Estoque</v>
      </c>
      <c r="AO474" s="27" t="str">
        <f t="shared" ca="1" si="169"/>
        <v/>
      </c>
    </row>
    <row r="475" spans="1:41" ht="15" hidden="1" customHeight="1">
      <c r="D475" t="s">
        <v>1484</v>
      </c>
      <c r="E475" s="23" t="s">
        <v>2005</v>
      </c>
      <c r="F475" s="24"/>
      <c r="I475" s="26"/>
      <c r="L475" s="27" t="str">
        <f t="shared" si="172"/>
        <v xml:space="preserve"> </v>
      </c>
      <c r="N475" s="27" t="str">
        <f t="shared" si="171"/>
        <v xml:space="preserve"> </v>
      </c>
      <c r="O475" s="27">
        <f t="shared" si="166"/>
        <v>0</v>
      </c>
      <c r="P475" s="28" t="str">
        <f t="shared" si="170"/>
        <v>On time</v>
      </c>
      <c r="Q475" s="27">
        <f t="shared" si="167"/>
        <v>0</v>
      </c>
      <c r="R475" s="29" t="s">
        <v>932</v>
      </c>
      <c r="S475" s="12" t="s">
        <v>524</v>
      </c>
      <c r="T475" s="35">
        <v>29</v>
      </c>
      <c r="U475" t="s">
        <v>961</v>
      </c>
      <c r="V475" s="27">
        <v>50</v>
      </c>
      <c r="W475" s="9">
        <v>6.9</v>
      </c>
      <c r="X475" s="9">
        <f t="shared" si="173"/>
        <v>345</v>
      </c>
      <c r="Z475" s="10">
        <v>46106</v>
      </c>
      <c r="AA475" s="10">
        <v>46126</v>
      </c>
      <c r="AB475" s="10">
        <v>46167</v>
      </c>
      <c r="AC475" s="10">
        <v>46232</v>
      </c>
      <c r="AD475" s="31">
        <f t="shared" ca="1" si="168"/>
        <v>9</v>
      </c>
      <c r="AE475" s="36">
        <v>1</v>
      </c>
      <c r="AF475" t="s">
        <v>62</v>
      </c>
      <c r="AG475" s="10" t="s">
        <v>78</v>
      </c>
      <c r="AI475" s="9" t="s">
        <v>53</v>
      </c>
      <c r="AL475" t="s">
        <v>2211</v>
      </c>
      <c r="AM475" s="27" t="str">
        <f t="shared" si="163"/>
        <v>Atrasado</v>
      </c>
      <c r="AN475" s="27" t="str">
        <f t="shared" ca="1" si="174"/>
        <v>Estoque</v>
      </c>
      <c r="AO475" s="27" t="str">
        <f t="shared" ca="1" si="169"/>
        <v/>
      </c>
    </row>
    <row r="476" spans="1:41" ht="15" hidden="1" customHeight="1">
      <c r="D476" t="s">
        <v>1485</v>
      </c>
      <c r="E476" s="23" t="s">
        <v>2006</v>
      </c>
      <c r="F476" s="24"/>
      <c r="I476" s="26"/>
      <c r="L476" s="27" t="str">
        <f t="shared" si="172"/>
        <v xml:space="preserve"> </v>
      </c>
      <c r="N476" s="27" t="str">
        <f t="shared" si="171"/>
        <v xml:space="preserve"> </v>
      </c>
      <c r="O476" s="27">
        <f t="shared" si="166"/>
        <v>0</v>
      </c>
      <c r="P476" s="28" t="str">
        <f t="shared" si="170"/>
        <v>On time</v>
      </c>
      <c r="Q476" s="27">
        <f t="shared" si="167"/>
        <v>0</v>
      </c>
      <c r="R476" s="29" t="s">
        <v>932</v>
      </c>
      <c r="S476" s="12" t="s">
        <v>524</v>
      </c>
      <c r="T476" s="35">
        <v>30</v>
      </c>
      <c r="U476" t="s">
        <v>962</v>
      </c>
      <c r="V476" s="27">
        <v>20</v>
      </c>
      <c r="W476" s="9">
        <v>12.36</v>
      </c>
      <c r="X476" s="9">
        <f t="shared" si="173"/>
        <v>247.2</v>
      </c>
      <c r="Z476" s="10">
        <v>46106</v>
      </c>
      <c r="AA476" s="10">
        <v>46126</v>
      </c>
      <c r="AB476" s="10">
        <v>46167</v>
      </c>
      <c r="AC476" s="10">
        <v>46232</v>
      </c>
      <c r="AD476" s="31">
        <f t="shared" ca="1" si="168"/>
        <v>9</v>
      </c>
      <c r="AE476" s="36">
        <v>1</v>
      </c>
      <c r="AF476" t="s">
        <v>62</v>
      </c>
      <c r="AG476" s="10" t="s">
        <v>78</v>
      </c>
      <c r="AI476" s="9" t="s">
        <v>53</v>
      </c>
      <c r="AL476" t="s">
        <v>2211</v>
      </c>
      <c r="AM476" s="27" t="str">
        <f t="shared" si="163"/>
        <v>Atrasado</v>
      </c>
      <c r="AN476" s="27" t="str">
        <f t="shared" ca="1" si="174"/>
        <v>Estoque</v>
      </c>
      <c r="AO476" s="27" t="str">
        <f t="shared" ca="1" si="169"/>
        <v/>
      </c>
    </row>
    <row r="477" spans="1:41" ht="15" hidden="1" customHeight="1">
      <c r="D477" t="s">
        <v>1486</v>
      </c>
      <c r="E477" s="23" t="s">
        <v>2007</v>
      </c>
      <c r="F477" s="24"/>
      <c r="I477" s="26"/>
      <c r="L477" s="27" t="str">
        <f t="shared" si="172"/>
        <v xml:space="preserve"> </v>
      </c>
      <c r="N477" s="27" t="str">
        <f t="shared" si="171"/>
        <v xml:space="preserve"> </v>
      </c>
      <c r="O477" s="27">
        <f t="shared" si="166"/>
        <v>0</v>
      </c>
      <c r="P477" s="28" t="str">
        <f t="shared" si="170"/>
        <v>On time</v>
      </c>
      <c r="Q477" s="27">
        <f t="shared" si="167"/>
        <v>0</v>
      </c>
      <c r="R477" s="29" t="s">
        <v>932</v>
      </c>
      <c r="S477" s="12" t="s">
        <v>524</v>
      </c>
      <c r="T477" s="35">
        <v>31</v>
      </c>
      <c r="U477" t="s">
        <v>963</v>
      </c>
      <c r="V477" s="27">
        <v>30</v>
      </c>
      <c r="W477" s="9">
        <v>10.98</v>
      </c>
      <c r="X477" s="9">
        <f t="shared" si="173"/>
        <v>329.40000000000003</v>
      </c>
      <c r="Z477" s="10">
        <v>46106</v>
      </c>
      <c r="AA477" s="10">
        <v>46126</v>
      </c>
      <c r="AB477" s="10">
        <v>46167</v>
      </c>
      <c r="AC477" s="10">
        <v>46232</v>
      </c>
      <c r="AD477" s="31">
        <f t="shared" ca="1" si="168"/>
        <v>9</v>
      </c>
      <c r="AE477" s="36">
        <v>1</v>
      </c>
      <c r="AF477" t="s">
        <v>62</v>
      </c>
      <c r="AG477" s="10" t="s">
        <v>78</v>
      </c>
      <c r="AI477" s="9" t="s">
        <v>53</v>
      </c>
      <c r="AL477" t="s">
        <v>2211</v>
      </c>
      <c r="AM477" s="27" t="str">
        <f t="shared" si="163"/>
        <v>Atrasado</v>
      </c>
      <c r="AN477" s="27" t="str">
        <f t="shared" ca="1" si="174"/>
        <v>Estoque</v>
      </c>
      <c r="AO477" s="27" t="str">
        <f t="shared" ca="1" si="169"/>
        <v/>
      </c>
    </row>
    <row r="478" spans="1:41" ht="15" hidden="1" customHeight="1">
      <c r="D478" t="s">
        <v>1487</v>
      </c>
      <c r="E478" s="23" t="s">
        <v>2008</v>
      </c>
      <c r="F478" s="24"/>
      <c r="I478" s="26"/>
      <c r="L478" s="27" t="str">
        <f t="shared" si="172"/>
        <v xml:space="preserve"> </v>
      </c>
      <c r="N478" s="27" t="str">
        <f t="shared" si="171"/>
        <v xml:space="preserve"> </v>
      </c>
      <c r="O478" s="27">
        <f t="shared" si="166"/>
        <v>0</v>
      </c>
      <c r="P478" s="28" t="str">
        <f t="shared" si="170"/>
        <v>On time</v>
      </c>
      <c r="Q478" s="27">
        <f t="shared" si="167"/>
        <v>0</v>
      </c>
      <c r="R478" s="29" t="s">
        <v>932</v>
      </c>
      <c r="S478" s="12" t="s">
        <v>524</v>
      </c>
      <c r="T478" s="35">
        <v>32</v>
      </c>
      <c r="U478" t="s">
        <v>964</v>
      </c>
      <c r="V478" s="27">
        <v>100</v>
      </c>
      <c r="W478" s="9">
        <v>0.6</v>
      </c>
      <c r="X478" s="9">
        <f t="shared" si="173"/>
        <v>60</v>
      </c>
      <c r="Z478" s="10">
        <v>46106</v>
      </c>
      <c r="AA478" s="10">
        <v>46126</v>
      </c>
      <c r="AB478" s="10">
        <v>46167</v>
      </c>
      <c r="AC478" s="10">
        <v>46232</v>
      </c>
      <c r="AD478" s="31">
        <f t="shared" ca="1" si="168"/>
        <v>9</v>
      </c>
      <c r="AE478" s="36">
        <v>1</v>
      </c>
      <c r="AF478" t="s">
        <v>62</v>
      </c>
      <c r="AG478" s="10" t="s">
        <v>78</v>
      </c>
      <c r="AI478" s="9" t="s">
        <v>53</v>
      </c>
      <c r="AL478" t="s">
        <v>2211</v>
      </c>
      <c r="AM478" s="27" t="str">
        <f t="shared" ref="AM478:AM551" si="175">IF(AB478=0," ",IF(AB478&lt;=AA478+10,"On time","Atrasado"))</f>
        <v>Atrasado</v>
      </c>
      <c r="AN478" s="27" t="str">
        <f t="shared" ca="1" si="174"/>
        <v>Estoque</v>
      </c>
      <c r="AO478" s="27" t="str">
        <f t="shared" ca="1" si="169"/>
        <v/>
      </c>
    </row>
    <row r="479" spans="1:41" ht="15" hidden="1" customHeight="1">
      <c r="D479" t="s">
        <v>1488</v>
      </c>
      <c r="E479" s="23" t="s">
        <v>2009</v>
      </c>
      <c r="F479" s="24"/>
      <c r="I479" s="26"/>
      <c r="L479" s="27" t="str">
        <f t="shared" si="172"/>
        <v xml:space="preserve"> </v>
      </c>
      <c r="N479" s="27" t="str">
        <f t="shared" si="171"/>
        <v xml:space="preserve"> </v>
      </c>
      <c r="O479" s="27">
        <f t="shared" si="166"/>
        <v>0</v>
      </c>
      <c r="P479" s="28" t="str">
        <f t="shared" si="170"/>
        <v>On time</v>
      </c>
      <c r="Q479" s="27">
        <f t="shared" si="167"/>
        <v>0</v>
      </c>
      <c r="R479" s="29" t="s">
        <v>932</v>
      </c>
      <c r="S479" s="12" t="s">
        <v>524</v>
      </c>
      <c r="T479" s="35">
        <v>33</v>
      </c>
      <c r="U479" t="s">
        <v>965</v>
      </c>
      <c r="V479" s="27">
        <v>10</v>
      </c>
      <c r="W479" s="9">
        <v>1.35</v>
      </c>
      <c r="X479" s="9">
        <f t="shared" si="173"/>
        <v>13.5</v>
      </c>
      <c r="Z479" s="10">
        <v>46106</v>
      </c>
      <c r="AA479" s="10">
        <v>46126</v>
      </c>
      <c r="AB479" s="10">
        <v>46167</v>
      </c>
      <c r="AC479" s="10">
        <v>46232</v>
      </c>
      <c r="AD479" s="31">
        <f t="shared" ca="1" si="168"/>
        <v>9</v>
      </c>
      <c r="AE479" s="36">
        <v>1</v>
      </c>
      <c r="AF479" t="s">
        <v>62</v>
      </c>
      <c r="AG479" s="10" t="s">
        <v>78</v>
      </c>
      <c r="AI479" s="9" t="s">
        <v>53</v>
      </c>
      <c r="AL479" t="s">
        <v>2211</v>
      </c>
      <c r="AM479" s="27" t="str">
        <f t="shared" si="175"/>
        <v>Atrasado</v>
      </c>
      <c r="AN479" s="27" t="str">
        <f t="shared" ca="1" si="174"/>
        <v>Estoque</v>
      </c>
      <c r="AO479" s="27" t="str">
        <f t="shared" ca="1" si="169"/>
        <v/>
      </c>
    </row>
    <row r="480" spans="1:41" ht="15" hidden="1" customHeight="1">
      <c r="D480" t="s">
        <v>1489</v>
      </c>
      <c r="E480" s="23" t="s">
        <v>2010</v>
      </c>
      <c r="F480" s="24"/>
      <c r="I480" s="26"/>
      <c r="L480" s="27" t="str">
        <f t="shared" si="172"/>
        <v xml:space="preserve"> </v>
      </c>
      <c r="N480" s="27" t="str">
        <f t="shared" si="171"/>
        <v xml:space="preserve"> </v>
      </c>
      <c r="O480" s="27">
        <f t="shared" si="166"/>
        <v>0</v>
      </c>
      <c r="P480" s="28" t="str">
        <f t="shared" si="170"/>
        <v>On time</v>
      </c>
      <c r="Q480" s="27">
        <f t="shared" si="167"/>
        <v>0</v>
      </c>
      <c r="R480" s="29" t="s">
        <v>932</v>
      </c>
      <c r="S480" s="12" t="s">
        <v>524</v>
      </c>
      <c r="T480" s="35">
        <v>34</v>
      </c>
      <c r="U480" t="s">
        <v>966</v>
      </c>
      <c r="V480" s="27">
        <v>30</v>
      </c>
      <c r="W480" s="9">
        <v>0.28999999999999998</v>
      </c>
      <c r="X480" s="9">
        <f t="shared" si="173"/>
        <v>8.6999999999999993</v>
      </c>
      <c r="Z480" s="10">
        <v>46106</v>
      </c>
      <c r="AA480" s="10">
        <v>46126</v>
      </c>
      <c r="AB480" s="10">
        <v>46167</v>
      </c>
      <c r="AC480" s="10">
        <v>46232</v>
      </c>
      <c r="AD480" s="31">
        <f t="shared" ca="1" si="168"/>
        <v>9</v>
      </c>
      <c r="AE480" s="36">
        <v>1</v>
      </c>
      <c r="AF480" t="s">
        <v>62</v>
      </c>
      <c r="AG480" s="10" t="s">
        <v>78</v>
      </c>
      <c r="AI480" s="9" t="s">
        <v>53</v>
      </c>
      <c r="AL480" t="s">
        <v>2211</v>
      </c>
      <c r="AM480" s="27" t="str">
        <f t="shared" si="175"/>
        <v>Atrasado</v>
      </c>
      <c r="AN480" s="27" t="str">
        <f t="shared" ca="1" si="174"/>
        <v>Estoque</v>
      </c>
      <c r="AO480" s="27" t="str">
        <f t="shared" ca="1" si="169"/>
        <v/>
      </c>
    </row>
    <row r="481" spans="4:41" ht="15" hidden="1" customHeight="1">
      <c r="D481" t="s">
        <v>1490</v>
      </c>
      <c r="E481" s="23" t="s">
        <v>2011</v>
      </c>
      <c r="F481" s="24"/>
      <c r="I481" s="26"/>
      <c r="L481" s="27" t="str">
        <f t="shared" si="172"/>
        <v xml:space="preserve"> </v>
      </c>
      <c r="N481" s="27" t="str">
        <f t="shared" si="171"/>
        <v xml:space="preserve"> </v>
      </c>
      <c r="O481" s="27">
        <f t="shared" si="166"/>
        <v>0</v>
      </c>
      <c r="P481" s="28" t="str">
        <f t="shared" si="170"/>
        <v>On time</v>
      </c>
      <c r="Q481" s="27">
        <f t="shared" si="167"/>
        <v>0</v>
      </c>
      <c r="R481" s="29" t="s">
        <v>932</v>
      </c>
      <c r="S481" s="12" t="s">
        <v>524</v>
      </c>
      <c r="T481" s="35">
        <v>35</v>
      </c>
      <c r="U481" t="s">
        <v>967</v>
      </c>
      <c r="V481" s="27">
        <v>10</v>
      </c>
      <c r="W481" s="9">
        <v>18.8</v>
      </c>
      <c r="X481" s="9">
        <f t="shared" si="173"/>
        <v>188</v>
      </c>
      <c r="Z481" s="10">
        <v>46106</v>
      </c>
      <c r="AA481" s="10">
        <v>46126</v>
      </c>
      <c r="AB481" s="10">
        <v>46167</v>
      </c>
      <c r="AC481" s="10">
        <v>46232</v>
      </c>
      <c r="AD481" s="31">
        <f t="shared" ca="1" si="168"/>
        <v>9</v>
      </c>
      <c r="AE481" s="36">
        <v>1</v>
      </c>
      <c r="AF481" t="s">
        <v>62</v>
      </c>
      <c r="AG481" s="10" t="s">
        <v>78</v>
      </c>
      <c r="AI481" s="9" t="s">
        <v>53</v>
      </c>
      <c r="AL481" t="s">
        <v>2211</v>
      </c>
      <c r="AM481" s="27" t="str">
        <f t="shared" si="175"/>
        <v>Atrasado</v>
      </c>
      <c r="AN481" s="27" t="str">
        <f t="shared" ca="1" si="174"/>
        <v>Estoque</v>
      </c>
      <c r="AO481" s="27" t="str">
        <f t="shared" ca="1" si="169"/>
        <v/>
      </c>
    </row>
    <row r="482" spans="4:41" ht="15" hidden="1" customHeight="1">
      <c r="D482" t="s">
        <v>1491</v>
      </c>
      <c r="E482" s="23" t="s">
        <v>2012</v>
      </c>
      <c r="F482" s="24"/>
      <c r="I482" s="26"/>
      <c r="L482" s="27" t="str">
        <f t="shared" si="172"/>
        <v xml:space="preserve"> </v>
      </c>
      <c r="N482" s="27" t="str">
        <f t="shared" si="171"/>
        <v xml:space="preserve"> </v>
      </c>
      <c r="O482" s="27">
        <f t="shared" si="166"/>
        <v>0</v>
      </c>
      <c r="P482" s="28" t="str">
        <f t="shared" si="170"/>
        <v>On time</v>
      </c>
      <c r="Q482" s="27">
        <f t="shared" si="167"/>
        <v>0</v>
      </c>
      <c r="R482" s="29" t="s">
        <v>932</v>
      </c>
      <c r="S482" s="12" t="s">
        <v>524</v>
      </c>
      <c r="T482" s="35">
        <v>36</v>
      </c>
      <c r="U482" t="s">
        <v>968</v>
      </c>
      <c r="V482" s="27">
        <v>10</v>
      </c>
      <c r="W482" s="9">
        <v>30</v>
      </c>
      <c r="X482" s="9">
        <f t="shared" si="173"/>
        <v>300</v>
      </c>
      <c r="Z482" s="10">
        <v>46106</v>
      </c>
      <c r="AA482" s="10">
        <v>46126</v>
      </c>
      <c r="AB482" s="10">
        <v>46167</v>
      </c>
      <c r="AC482" s="10">
        <v>46232</v>
      </c>
      <c r="AD482" s="31">
        <f t="shared" ca="1" si="168"/>
        <v>9</v>
      </c>
      <c r="AE482" s="36">
        <v>1</v>
      </c>
      <c r="AF482" t="s">
        <v>62</v>
      </c>
      <c r="AG482" s="10" t="s">
        <v>78</v>
      </c>
      <c r="AI482" s="9" t="s">
        <v>53</v>
      </c>
      <c r="AL482" t="s">
        <v>2211</v>
      </c>
      <c r="AM482" s="27" t="str">
        <f t="shared" si="175"/>
        <v>Atrasado</v>
      </c>
      <c r="AN482" s="27" t="str">
        <f t="shared" ca="1" si="174"/>
        <v>Estoque</v>
      </c>
      <c r="AO482" s="27" t="str">
        <f t="shared" ca="1" si="169"/>
        <v/>
      </c>
    </row>
    <row r="483" spans="4:41" ht="15" hidden="1" customHeight="1">
      <c r="D483" t="s">
        <v>1526</v>
      </c>
      <c r="E483" s="23" t="s">
        <v>1527</v>
      </c>
      <c r="F483" s="24"/>
      <c r="I483" s="26"/>
      <c r="L483" s="27" t="str">
        <f t="shared" si="172"/>
        <v xml:space="preserve"> </v>
      </c>
      <c r="N483" s="27" t="str">
        <f t="shared" si="171"/>
        <v xml:space="preserve"> </v>
      </c>
      <c r="O483" s="27">
        <f t="shared" si="166"/>
        <v>0</v>
      </c>
      <c r="P483" s="28" t="str">
        <f t="shared" si="170"/>
        <v>On time</v>
      </c>
      <c r="Q483" s="27">
        <f t="shared" si="167"/>
        <v>0</v>
      </c>
      <c r="R483" s="29" t="s">
        <v>984</v>
      </c>
      <c r="S483" s="12" t="s">
        <v>524</v>
      </c>
      <c r="T483" s="35">
        <v>1</v>
      </c>
      <c r="U483" t="s">
        <v>985</v>
      </c>
      <c r="V483" s="27">
        <v>20</v>
      </c>
      <c r="W483" s="9">
        <v>1.5</v>
      </c>
      <c r="X483" s="9">
        <f t="shared" si="173"/>
        <v>30</v>
      </c>
      <c r="Z483" s="10">
        <v>46106</v>
      </c>
      <c r="AA483" s="10">
        <v>46126</v>
      </c>
      <c r="AB483" s="10">
        <v>46167</v>
      </c>
      <c r="AC483" s="10">
        <v>46232</v>
      </c>
      <c r="AD483" s="31">
        <f t="shared" ca="1" si="164"/>
        <v>9</v>
      </c>
      <c r="AE483" s="36">
        <v>1</v>
      </c>
      <c r="AF483" t="s">
        <v>62</v>
      </c>
      <c r="AG483" s="10" t="s">
        <v>78</v>
      </c>
      <c r="AI483" s="9" t="s">
        <v>53</v>
      </c>
      <c r="AL483" t="s">
        <v>2211</v>
      </c>
      <c r="AM483" s="27" t="str">
        <f t="shared" si="175"/>
        <v>Atrasado</v>
      </c>
      <c r="AN483" s="27" t="str">
        <f t="shared" ca="1" si="174"/>
        <v>Estoque</v>
      </c>
      <c r="AO483" s="27" t="str">
        <f t="shared" ca="1" si="169"/>
        <v/>
      </c>
    </row>
    <row r="484" spans="4:41" ht="15" hidden="1" customHeight="1">
      <c r="D484" t="s">
        <v>1528</v>
      </c>
      <c r="E484" s="23" t="s">
        <v>1529</v>
      </c>
      <c r="F484" s="24"/>
      <c r="I484" s="26"/>
      <c r="L484" s="27" t="str">
        <f t="shared" si="172"/>
        <v xml:space="preserve"> </v>
      </c>
      <c r="N484" s="27" t="str">
        <f t="shared" si="171"/>
        <v xml:space="preserve"> </v>
      </c>
      <c r="O484" s="27">
        <f t="shared" si="166"/>
        <v>0</v>
      </c>
      <c r="P484" s="28" t="str">
        <f t="shared" si="170"/>
        <v>On time</v>
      </c>
      <c r="Q484" s="27">
        <f t="shared" si="167"/>
        <v>0</v>
      </c>
      <c r="R484" s="29" t="s">
        <v>984</v>
      </c>
      <c r="S484" s="12" t="s">
        <v>524</v>
      </c>
      <c r="T484" s="35">
        <v>2</v>
      </c>
      <c r="U484" t="s">
        <v>986</v>
      </c>
      <c r="V484" s="27">
        <v>30</v>
      </c>
      <c r="W484" s="9">
        <v>3.05</v>
      </c>
      <c r="X484" s="9">
        <f t="shared" si="173"/>
        <v>91.5</v>
      </c>
      <c r="Z484" s="10">
        <v>46106</v>
      </c>
      <c r="AA484" s="10">
        <v>46126</v>
      </c>
      <c r="AB484" s="10">
        <v>46167</v>
      </c>
      <c r="AC484" s="10">
        <v>46232</v>
      </c>
      <c r="AD484" s="31">
        <f t="shared" ref="AD484:AD501" ca="1" si="176">TODAY()-AA484</f>
        <v>9</v>
      </c>
      <c r="AE484" s="36">
        <v>1</v>
      </c>
      <c r="AF484" t="s">
        <v>62</v>
      </c>
      <c r="AG484" s="10" t="s">
        <v>78</v>
      </c>
      <c r="AI484" s="9" t="s">
        <v>53</v>
      </c>
      <c r="AL484" t="s">
        <v>2211</v>
      </c>
      <c r="AM484" s="27" t="str">
        <f t="shared" si="175"/>
        <v>Atrasado</v>
      </c>
      <c r="AN484" s="27" t="str">
        <f t="shared" ca="1" si="174"/>
        <v>Estoque</v>
      </c>
      <c r="AO484" s="27" t="str">
        <f t="shared" ca="1" si="169"/>
        <v/>
      </c>
    </row>
    <row r="485" spans="4:41" ht="15" hidden="1" customHeight="1">
      <c r="D485" t="s">
        <v>1530</v>
      </c>
      <c r="E485" s="23" t="s">
        <v>1531</v>
      </c>
      <c r="F485" s="24"/>
      <c r="I485" s="26"/>
      <c r="L485" s="27" t="str">
        <f t="shared" si="172"/>
        <v xml:space="preserve"> </v>
      </c>
      <c r="N485" s="27" t="str">
        <f t="shared" si="171"/>
        <v xml:space="preserve"> </v>
      </c>
      <c r="O485" s="27">
        <f t="shared" si="166"/>
        <v>0</v>
      </c>
      <c r="P485" s="28" t="str">
        <f t="shared" si="170"/>
        <v>On time</v>
      </c>
      <c r="Q485" s="27">
        <f t="shared" si="167"/>
        <v>0</v>
      </c>
      <c r="R485" s="29" t="s">
        <v>984</v>
      </c>
      <c r="S485" s="12" t="s">
        <v>524</v>
      </c>
      <c r="T485" s="35">
        <v>3</v>
      </c>
      <c r="U485" t="s">
        <v>987</v>
      </c>
      <c r="V485" s="27">
        <v>50</v>
      </c>
      <c r="W485" s="9">
        <v>4.5599999999999996</v>
      </c>
      <c r="X485" s="9">
        <f t="shared" si="173"/>
        <v>227.99999999999997</v>
      </c>
      <c r="Z485" s="10">
        <v>46106</v>
      </c>
      <c r="AA485" s="10">
        <v>46126</v>
      </c>
      <c r="AB485" s="10">
        <v>46167</v>
      </c>
      <c r="AC485" s="10">
        <v>46232</v>
      </c>
      <c r="AD485" s="31">
        <f t="shared" ca="1" si="176"/>
        <v>9</v>
      </c>
      <c r="AE485" s="36">
        <v>1</v>
      </c>
      <c r="AF485" t="s">
        <v>62</v>
      </c>
      <c r="AG485" s="10" t="s">
        <v>78</v>
      </c>
      <c r="AI485" s="9" t="s">
        <v>53</v>
      </c>
      <c r="AL485" t="s">
        <v>2211</v>
      </c>
      <c r="AM485" s="27" t="str">
        <f t="shared" si="175"/>
        <v>Atrasado</v>
      </c>
      <c r="AN485" s="27" t="str">
        <f t="shared" ca="1" si="174"/>
        <v>Estoque</v>
      </c>
      <c r="AO485" s="27" t="str">
        <f t="shared" ca="1" si="169"/>
        <v/>
      </c>
    </row>
    <row r="486" spans="4:41" ht="15" hidden="1" customHeight="1">
      <c r="D486" t="s">
        <v>1532</v>
      </c>
      <c r="E486" s="23" t="s">
        <v>1533</v>
      </c>
      <c r="F486" s="24"/>
      <c r="I486" s="26"/>
      <c r="L486" s="27" t="str">
        <f t="shared" si="172"/>
        <v xml:space="preserve"> </v>
      </c>
      <c r="N486" s="27" t="str">
        <f t="shared" si="171"/>
        <v xml:space="preserve"> </v>
      </c>
      <c r="O486" s="27">
        <f t="shared" si="166"/>
        <v>0</v>
      </c>
      <c r="P486" s="28" t="str">
        <f t="shared" si="170"/>
        <v>On time</v>
      </c>
      <c r="Q486" s="27">
        <f t="shared" si="167"/>
        <v>0</v>
      </c>
      <c r="R486" s="29" t="s">
        <v>984</v>
      </c>
      <c r="S486" s="12" t="s">
        <v>524</v>
      </c>
      <c r="T486" s="35">
        <v>4</v>
      </c>
      <c r="U486" t="s">
        <v>988</v>
      </c>
      <c r="V486" s="27">
        <v>10</v>
      </c>
      <c r="W486" s="9">
        <v>4.5599999999999996</v>
      </c>
      <c r="X486" s="9">
        <f t="shared" si="173"/>
        <v>45.599999999999994</v>
      </c>
      <c r="Z486" s="10">
        <v>46106</v>
      </c>
      <c r="AA486" s="10">
        <v>46126</v>
      </c>
      <c r="AB486" s="10">
        <v>46167</v>
      </c>
      <c r="AC486" s="10">
        <v>46232</v>
      </c>
      <c r="AD486" s="31">
        <f t="shared" ca="1" si="176"/>
        <v>9</v>
      </c>
      <c r="AE486" s="36">
        <v>1</v>
      </c>
      <c r="AF486" t="s">
        <v>62</v>
      </c>
      <c r="AG486" s="10" t="s">
        <v>78</v>
      </c>
      <c r="AI486" s="9" t="s">
        <v>53</v>
      </c>
      <c r="AL486" t="s">
        <v>2211</v>
      </c>
      <c r="AM486" s="27" t="str">
        <f t="shared" si="175"/>
        <v>Atrasado</v>
      </c>
      <c r="AN486" s="27" t="str">
        <f t="shared" ca="1" si="174"/>
        <v>Estoque</v>
      </c>
      <c r="AO486" s="27" t="str">
        <f t="shared" ca="1" si="169"/>
        <v/>
      </c>
    </row>
    <row r="487" spans="4:41" ht="15" hidden="1" customHeight="1">
      <c r="D487" t="s">
        <v>1534</v>
      </c>
      <c r="E487" s="23" t="s">
        <v>1535</v>
      </c>
      <c r="F487" s="24"/>
      <c r="I487" s="26"/>
      <c r="L487" s="27" t="str">
        <f t="shared" si="172"/>
        <v xml:space="preserve"> </v>
      </c>
      <c r="N487" s="27" t="str">
        <f t="shared" si="171"/>
        <v xml:space="preserve"> </v>
      </c>
      <c r="O487" s="27">
        <f t="shared" si="166"/>
        <v>0</v>
      </c>
      <c r="P487" s="28" t="str">
        <f t="shared" si="170"/>
        <v>On time</v>
      </c>
      <c r="Q487" s="27">
        <f t="shared" si="167"/>
        <v>0</v>
      </c>
      <c r="R487" s="29" t="s">
        <v>984</v>
      </c>
      <c r="S487" s="12" t="s">
        <v>524</v>
      </c>
      <c r="T487" s="35">
        <v>5</v>
      </c>
      <c r="U487" t="s">
        <v>989</v>
      </c>
      <c r="V487" s="27">
        <v>20</v>
      </c>
      <c r="W487" s="9">
        <v>4.93</v>
      </c>
      <c r="X487" s="9">
        <f t="shared" si="173"/>
        <v>98.6</v>
      </c>
      <c r="Z487" s="10">
        <v>46106</v>
      </c>
      <c r="AA487" s="10">
        <v>46126</v>
      </c>
      <c r="AB487" s="10">
        <v>46167</v>
      </c>
      <c r="AC487" s="10">
        <v>46232</v>
      </c>
      <c r="AD487" s="31">
        <f t="shared" ca="1" si="176"/>
        <v>9</v>
      </c>
      <c r="AE487" s="36">
        <v>1</v>
      </c>
      <c r="AF487" t="s">
        <v>62</v>
      </c>
      <c r="AG487" s="10" t="s">
        <v>78</v>
      </c>
      <c r="AI487" s="9" t="s">
        <v>53</v>
      </c>
      <c r="AL487" t="s">
        <v>2211</v>
      </c>
      <c r="AM487" s="27" t="str">
        <f t="shared" si="175"/>
        <v>Atrasado</v>
      </c>
      <c r="AN487" s="27" t="str">
        <f t="shared" ca="1" si="174"/>
        <v>Estoque</v>
      </c>
      <c r="AO487" s="27" t="str">
        <f t="shared" ca="1" si="169"/>
        <v/>
      </c>
    </row>
    <row r="488" spans="4:41" ht="15" hidden="1" customHeight="1">
      <c r="D488" t="s">
        <v>1536</v>
      </c>
      <c r="E488" s="23" t="s">
        <v>1537</v>
      </c>
      <c r="F488" s="24"/>
      <c r="I488" s="26"/>
      <c r="L488" s="27" t="str">
        <f t="shared" si="172"/>
        <v xml:space="preserve"> </v>
      </c>
      <c r="N488" s="27" t="str">
        <f t="shared" si="171"/>
        <v xml:space="preserve"> </v>
      </c>
      <c r="O488" s="27">
        <f t="shared" si="166"/>
        <v>0</v>
      </c>
      <c r="P488" s="28" t="str">
        <f t="shared" si="170"/>
        <v>On time</v>
      </c>
      <c r="Q488" s="27">
        <f t="shared" si="167"/>
        <v>0</v>
      </c>
      <c r="R488" s="29" t="s">
        <v>984</v>
      </c>
      <c r="S488" s="12" t="s">
        <v>524</v>
      </c>
      <c r="T488" s="35">
        <v>6</v>
      </c>
      <c r="U488" t="s">
        <v>990</v>
      </c>
      <c r="V488" s="27">
        <v>10</v>
      </c>
      <c r="W488" s="9">
        <v>6.84</v>
      </c>
      <c r="X488" s="9">
        <f t="shared" si="173"/>
        <v>68.400000000000006</v>
      </c>
      <c r="Z488" s="10">
        <v>46106</v>
      </c>
      <c r="AA488" s="10">
        <v>46126</v>
      </c>
      <c r="AB488" s="10">
        <v>46167</v>
      </c>
      <c r="AC488" s="10">
        <v>46232</v>
      </c>
      <c r="AD488" s="31">
        <f t="shared" ca="1" si="176"/>
        <v>9</v>
      </c>
      <c r="AE488" s="36">
        <v>1</v>
      </c>
      <c r="AF488" t="s">
        <v>62</v>
      </c>
      <c r="AG488" s="10" t="s">
        <v>78</v>
      </c>
      <c r="AI488" s="9" t="s">
        <v>53</v>
      </c>
      <c r="AL488" t="s">
        <v>2211</v>
      </c>
      <c r="AM488" s="27" t="str">
        <f t="shared" si="175"/>
        <v>Atrasado</v>
      </c>
      <c r="AN488" s="27" t="str">
        <f t="shared" ca="1" si="174"/>
        <v>Estoque</v>
      </c>
      <c r="AO488" s="27" t="str">
        <f t="shared" ca="1" si="169"/>
        <v/>
      </c>
    </row>
    <row r="489" spans="4:41" ht="15" hidden="1" customHeight="1">
      <c r="D489" t="s">
        <v>1538</v>
      </c>
      <c r="E489" s="23" t="s">
        <v>1539</v>
      </c>
      <c r="F489" s="24"/>
      <c r="I489" s="26"/>
      <c r="L489" s="27" t="str">
        <f t="shared" si="172"/>
        <v xml:space="preserve"> </v>
      </c>
      <c r="N489" s="27" t="str">
        <f t="shared" si="171"/>
        <v xml:space="preserve"> </v>
      </c>
      <c r="O489" s="27">
        <f t="shared" si="166"/>
        <v>0</v>
      </c>
      <c r="P489" s="28" t="str">
        <f t="shared" si="170"/>
        <v>On time</v>
      </c>
      <c r="Q489" s="27">
        <f t="shared" si="167"/>
        <v>0</v>
      </c>
      <c r="R489" s="29" t="s">
        <v>984</v>
      </c>
      <c r="S489" s="12" t="s">
        <v>524</v>
      </c>
      <c r="T489" s="35">
        <v>7</v>
      </c>
      <c r="U489" t="s">
        <v>991</v>
      </c>
      <c r="V489" s="27">
        <v>50</v>
      </c>
      <c r="W489" s="9">
        <v>10.4</v>
      </c>
      <c r="X489" s="9">
        <f t="shared" si="173"/>
        <v>520</v>
      </c>
      <c r="Z489" s="10">
        <v>46106</v>
      </c>
      <c r="AA489" s="10">
        <v>46126</v>
      </c>
      <c r="AB489" s="10">
        <v>46167</v>
      </c>
      <c r="AC489" s="10">
        <v>46232</v>
      </c>
      <c r="AD489" s="31">
        <f t="shared" ca="1" si="176"/>
        <v>9</v>
      </c>
      <c r="AE489" s="36">
        <v>1</v>
      </c>
      <c r="AF489" t="s">
        <v>62</v>
      </c>
      <c r="AG489" s="10" t="s">
        <v>78</v>
      </c>
      <c r="AI489" s="9" t="s">
        <v>53</v>
      </c>
      <c r="AL489" t="s">
        <v>2211</v>
      </c>
      <c r="AM489" s="27" t="str">
        <f t="shared" si="175"/>
        <v>Atrasado</v>
      </c>
      <c r="AN489" s="27" t="str">
        <f t="shared" ca="1" si="174"/>
        <v>Estoque</v>
      </c>
      <c r="AO489" s="27" t="str">
        <f t="shared" ca="1" si="169"/>
        <v/>
      </c>
    </row>
    <row r="490" spans="4:41" ht="15" hidden="1" customHeight="1">
      <c r="D490" t="s">
        <v>1540</v>
      </c>
      <c r="E490" s="23" t="s">
        <v>1541</v>
      </c>
      <c r="F490" s="24"/>
      <c r="I490" s="26"/>
      <c r="L490" s="27" t="str">
        <f t="shared" si="172"/>
        <v xml:space="preserve"> </v>
      </c>
      <c r="N490" s="27" t="str">
        <f t="shared" si="171"/>
        <v xml:space="preserve"> </v>
      </c>
      <c r="O490" s="27">
        <f t="shared" si="166"/>
        <v>0</v>
      </c>
      <c r="P490" s="28" t="str">
        <f t="shared" si="170"/>
        <v>On time</v>
      </c>
      <c r="Q490" s="27">
        <f t="shared" si="167"/>
        <v>0</v>
      </c>
      <c r="R490" s="29" t="s">
        <v>984</v>
      </c>
      <c r="S490" s="12" t="s">
        <v>524</v>
      </c>
      <c r="T490" s="35">
        <v>8</v>
      </c>
      <c r="U490" t="s">
        <v>992</v>
      </c>
      <c r="V490" s="27">
        <v>150</v>
      </c>
      <c r="W490" s="9">
        <v>10.6</v>
      </c>
      <c r="X490" s="9">
        <f t="shared" si="173"/>
        <v>1590</v>
      </c>
      <c r="Z490" s="10">
        <v>46106</v>
      </c>
      <c r="AA490" s="10">
        <v>46126</v>
      </c>
      <c r="AB490" s="10">
        <v>46167</v>
      </c>
      <c r="AC490" s="10">
        <v>46232</v>
      </c>
      <c r="AD490" s="31">
        <f t="shared" ca="1" si="176"/>
        <v>9</v>
      </c>
      <c r="AE490" s="36">
        <v>1</v>
      </c>
      <c r="AF490" t="s">
        <v>62</v>
      </c>
      <c r="AG490" s="10" t="s">
        <v>78</v>
      </c>
      <c r="AI490" s="9" t="s">
        <v>53</v>
      </c>
      <c r="AL490" t="s">
        <v>2211</v>
      </c>
      <c r="AM490" s="27" t="str">
        <f t="shared" si="175"/>
        <v>Atrasado</v>
      </c>
      <c r="AN490" s="27" t="str">
        <f t="shared" ca="1" si="174"/>
        <v>Estoque</v>
      </c>
      <c r="AO490" s="27" t="str">
        <f t="shared" ca="1" si="169"/>
        <v/>
      </c>
    </row>
    <row r="491" spans="4:41" ht="15" hidden="1" customHeight="1">
      <c r="D491" t="s">
        <v>1542</v>
      </c>
      <c r="E491" s="23" t="s">
        <v>1543</v>
      </c>
      <c r="F491" s="24"/>
      <c r="I491" s="26"/>
      <c r="L491" s="27" t="str">
        <f t="shared" si="172"/>
        <v xml:space="preserve"> </v>
      </c>
      <c r="N491" s="27" t="str">
        <f t="shared" si="171"/>
        <v xml:space="preserve"> </v>
      </c>
      <c r="O491" s="27">
        <f t="shared" si="166"/>
        <v>0</v>
      </c>
      <c r="P491" s="28" t="str">
        <f t="shared" si="170"/>
        <v>On time</v>
      </c>
      <c r="Q491" s="27">
        <f t="shared" si="167"/>
        <v>0</v>
      </c>
      <c r="R491" s="29" t="s">
        <v>984</v>
      </c>
      <c r="S491" s="12" t="s">
        <v>524</v>
      </c>
      <c r="T491" s="35">
        <v>9</v>
      </c>
      <c r="U491" t="s">
        <v>993</v>
      </c>
      <c r="V491" s="27">
        <v>30</v>
      </c>
      <c r="W491" s="9">
        <v>17.61</v>
      </c>
      <c r="X491" s="9">
        <f t="shared" si="173"/>
        <v>528.29999999999995</v>
      </c>
      <c r="Z491" s="10">
        <v>46106</v>
      </c>
      <c r="AA491" s="10">
        <v>46126</v>
      </c>
      <c r="AB491" s="10">
        <v>46167</v>
      </c>
      <c r="AC491" s="10">
        <v>46232</v>
      </c>
      <c r="AD491" s="31">
        <f t="shared" ca="1" si="176"/>
        <v>9</v>
      </c>
      <c r="AE491" s="36">
        <v>1</v>
      </c>
      <c r="AF491" t="s">
        <v>62</v>
      </c>
      <c r="AG491" s="10" t="s">
        <v>78</v>
      </c>
      <c r="AI491" s="9" t="s">
        <v>53</v>
      </c>
      <c r="AL491" t="s">
        <v>2211</v>
      </c>
      <c r="AM491" s="27" t="str">
        <f t="shared" si="175"/>
        <v>Atrasado</v>
      </c>
      <c r="AN491" s="27" t="str">
        <f t="shared" ca="1" si="174"/>
        <v>Estoque</v>
      </c>
      <c r="AO491" s="27" t="str">
        <f t="shared" ca="1" si="169"/>
        <v/>
      </c>
    </row>
    <row r="492" spans="4:41" ht="15" hidden="1" customHeight="1">
      <c r="D492" t="s">
        <v>1544</v>
      </c>
      <c r="E492" s="23" t="s">
        <v>1545</v>
      </c>
      <c r="F492" s="24"/>
      <c r="I492" s="26"/>
      <c r="L492" s="27" t="str">
        <f t="shared" si="172"/>
        <v xml:space="preserve"> </v>
      </c>
      <c r="N492" s="27" t="str">
        <f t="shared" si="171"/>
        <v xml:space="preserve"> </v>
      </c>
      <c r="O492" s="27">
        <f t="shared" si="166"/>
        <v>0</v>
      </c>
      <c r="P492" s="28" t="str">
        <f t="shared" si="170"/>
        <v>On time</v>
      </c>
      <c r="Q492" s="27">
        <f t="shared" si="167"/>
        <v>0</v>
      </c>
      <c r="R492" s="29" t="s">
        <v>984</v>
      </c>
      <c r="S492" s="12" t="s">
        <v>524</v>
      </c>
      <c r="T492" s="35">
        <v>10</v>
      </c>
      <c r="U492" t="s">
        <v>994</v>
      </c>
      <c r="V492" s="27">
        <v>50</v>
      </c>
      <c r="W492" s="9">
        <v>19.8</v>
      </c>
      <c r="X492" s="9">
        <f t="shared" si="173"/>
        <v>990</v>
      </c>
      <c r="Z492" s="10">
        <v>46106</v>
      </c>
      <c r="AA492" s="10">
        <v>46126</v>
      </c>
      <c r="AB492" s="10">
        <v>46167</v>
      </c>
      <c r="AC492" s="10">
        <v>46232</v>
      </c>
      <c r="AD492" s="31">
        <f t="shared" ca="1" si="176"/>
        <v>9</v>
      </c>
      <c r="AE492" s="36">
        <v>1</v>
      </c>
      <c r="AF492" t="s">
        <v>62</v>
      </c>
      <c r="AG492" s="10" t="s">
        <v>78</v>
      </c>
      <c r="AI492" s="9" t="s">
        <v>53</v>
      </c>
      <c r="AL492" t="s">
        <v>2211</v>
      </c>
      <c r="AM492" s="27" t="str">
        <f t="shared" si="175"/>
        <v>Atrasado</v>
      </c>
      <c r="AN492" s="27" t="str">
        <f t="shared" ca="1" si="174"/>
        <v>Estoque</v>
      </c>
      <c r="AO492" s="27" t="str">
        <f t="shared" ca="1" si="169"/>
        <v/>
      </c>
    </row>
    <row r="493" spans="4:41" ht="15" hidden="1" customHeight="1">
      <c r="D493" t="s">
        <v>1546</v>
      </c>
      <c r="E493" s="23" t="s">
        <v>1547</v>
      </c>
      <c r="F493" s="24"/>
      <c r="I493" s="26"/>
      <c r="L493" s="27" t="str">
        <f t="shared" si="172"/>
        <v xml:space="preserve"> </v>
      </c>
      <c r="N493" s="27" t="str">
        <f t="shared" si="171"/>
        <v xml:space="preserve"> </v>
      </c>
      <c r="O493" s="27">
        <f t="shared" si="166"/>
        <v>0</v>
      </c>
      <c r="P493" s="28" t="str">
        <f t="shared" si="170"/>
        <v>On time</v>
      </c>
      <c r="Q493" s="27">
        <f t="shared" si="167"/>
        <v>0</v>
      </c>
      <c r="R493" s="29" t="s">
        <v>984</v>
      </c>
      <c r="S493" s="12" t="s">
        <v>524</v>
      </c>
      <c r="T493" s="35">
        <v>11</v>
      </c>
      <c r="U493" t="s">
        <v>995</v>
      </c>
      <c r="V493" s="27">
        <v>10</v>
      </c>
      <c r="W493" s="9">
        <v>28.3</v>
      </c>
      <c r="X493" s="9">
        <f t="shared" si="173"/>
        <v>283</v>
      </c>
      <c r="Z493" s="10">
        <v>46106</v>
      </c>
      <c r="AA493" s="10">
        <v>46126</v>
      </c>
      <c r="AB493" s="10">
        <v>46167</v>
      </c>
      <c r="AC493" s="10">
        <v>46232</v>
      </c>
      <c r="AD493" s="31">
        <f t="shared" ca="1" si="176"/>
        <v>9</v>
      </c>
      <c r="AE493" s="36">
        <v>1</v>
      </c>
      <c r="AF493" t="s">
        <v>62</v>
      </c>
      <c r="AG493" s="10" t="s">
        <v>78</v>
      </c>
      <c r="AI493" s="9" t="s">
        <v>53</v>
      </c>
      <c r="AL493" t="s">
        <v>2211</v>
      </c>
      <c r="AM493" s="27" t="str">
        <f t="shared" si="175"/>
        <v>Atrasado</v>
      </c>
      <c r="AN493" s="27" t="str">
        <f t="shared" ca="1" si="174"/>
        <v>Estoque</v>
      </c>
      <c r="AO493" s="27" t="str">
        <f t="shared" ca="1" si="169"/>
        <v/>
      </c>
    </row>
    <row r="494" spans="4:41" ht="15" hidden="1" customHeight="1">
      <c r="D494" t="s">
        <v>1548</v>
      </c>
      <c r="E494" s="23" t="s">
        <v>1549</v>
      </c>
      <c r="F494" s="24"/>
      <c r="I494" s="26"/>
      <c r="L494" s="27" t="str">
        <f t="shared" si="172"/>
        <v xml:space="preserve"> </v>
      </c>
      <c r="N494" s="27" t="str">
        <f t="shared" si="171"/>
        <v xml:space="preserve"> </v>
      </c>
      <c r="O494" s="27">
        <f t="shared" si="166"/>
        <v>0</v>
      </c>
      <c r="P494" s="28" t="str">
        <f t="shared" si="170"/>
        <v>On time</v>
      </c>
      <c r="Q494" s="27">
        <f t="shared" si="167"/>
        <v>0</v>
      </c>
      <c r="R494" s="29" t="s">
        <v>984</v>
      </c>
      <c r="S494" s="12" t="s">
        <v>524</v>
      </c>
      <c r="T494" s="35">
        <v>12</v>
      </c>
      <c r="U494" t="s">
        <v>996</v>
      </c>
      <c r="V494" s="27">
        <v>10</v>
      </c>
      <c r="W494" s="9">
        <v>45.2</v>
      </c>
      <c r="X494" s="9">
        <f t="shared" si="173"/>
        <v>452</v>
      </c>
      <c r="Z494" s="10">
        <v>46106</v>
      </c>
      <c r="AA494" s="10">
        <v>46126</v>
      </c>
      <c r="AB494" s="10">
        <v>46167</v>
      </c>
      <c r="AC494" s="10">
        <v>46232</v>
      </c>
      <c r="AD494" s="31">
        <f t="shared" ca="1" si="176"/>
        <v>9</v>
      </c>
      <c r="AE494" s="36">
        <v>1</v>
      </c>
      <c r="AF494" t="s">
        <v>62</v>
      </c>
      <c r="AG494" s="10" t="s">
        <v>78</v>
      </c>
      <c r="AI494" s="9" t="s">
        <v>53</v>
      </c>
      <c r="AL494" t="s">
        <v>2211</v>
      </c>
      <c r="AM494" s="27" t="str">
        <f t="shared" si="175"/>
        <v>Atrasado</v>
      </c>
      <c r="AN494" s="27" t="str">
        <f t="shared" ca="1" si="174"/>
        <v>Estoque</v>
      </c>
      <c r="AO494" s="27" t="str">
        <f t="shared" ca="1" si="169"/>
        <v/>
      </c>
    </row>
    <row r="495" spans="4:41" ht="15" hidden="1" customHeight="1">
      <c r="D495" t="s">
        <v>1550</v>
      </c>
      <c r="E495" s="23" t="s">
        <v>1551</v>
      </c>
      <c r="F495" s="24"/>
      <c r="I495" s="26"/>
      <c r="L495" s="27" t="str">
        <f t="shared" si="172"/>
        <v xml:space="preserve"> </v>
      </c>
      <c r="N495" s="27" t="str">
        <f t="shared" si="171"/>
        <v xml:space="preserve"> </v>
      </c>
      <c r="O495" s="27">
        <f t="shared" si="166"/>
        <v>0</v>
      </c>
      <c r="P495" s="28" t="str">
        <f t="shared" si="170"/>
        <v>On time</v>
      </c>
      <c r="Q495" s="27">
        <f t="shared" si="167"/>
        <v>0</v>
      </c>
      <c r="R495" s="29" t="s">
        <v>984</v>
      </c>
      <c r="S495" s="12" t="s">
        <v>524</v>
      </c>
      <c r="T495" s="35">
        <v>13</v>
      </c>
      <c r="U495" t="s">
        <v>997</v>
      </c>
      <c r="V495" s="27">
        <v>10</v>
      </c>
      <c r="W495" s="9">
        <v>48</v>
      </c>
      <c r="X495" s="9">
        <f t="shared" si="173"/>
        <v>480</v>
      </c>
      <c r="Z495" s="10">
        <v>46106</v>
      </c>
      <c r="AA495" s="10">
        <v>46126</v>
      </c>
      <c r="AB495" s="10">
        <v>46167</v>
      </c>
      <c r="AC495" s="10">
        <v>46232</v>
      </c>
      <c r="AD495" s="31">
        <f t="shared" ca="1" si="176"/>
        <v>9</v>
      </c>
      <c r="AE495" s="36">
        <v>1</v>
      </c>
      <c r="AF495" t="s">
        <v>62</v>
      </c>
      <c r="AG495" s="10" t="s">
        <v>78</v>
      </c>
      <c r="AI495" s="9" t="s">
        <v>53</v>
      </c>
      <c r="AL495" t="s">
        <v>2211</v>
      </c>
      <c r="AM495" s="27" t="str">
        <f t="shared" si="175"/>
        <v>Atrasado</v>
      </c>
      <c r="AN495" s="27" t="str">
        <f t="shared" ca="1" si="174"/>
        <v>Estoque</v>
      </c>
      <c r="AO495" s="27" t="str">
        <f t="shared" ca="1" si="169"/>
        <v/>
      </c>
    </row>
    <row r="496" spans="4:41" ht="15" hidden="1" customHeight="1">
      <c r="D496" t="s">
        <v>1552</v>
      </c>
      <c r="E496" s="23" t="s">
        <v>1553</v>
      </c>
      <c r="F496" s="24"/>
      <c r="I496" s="26"/>
      <c r="L496" s="27" t="str">
        <f t="shared" si="172"/>
        <v xml:space="preserve"> </v>
      </c>
      <c r="N496" s="27" t="str">
        <f t="shared" si="171"/>
        <v xml:space="preserve"> </v>
      </c>
      <c r="O496" s="27">
        <f t="shared" si="166"/>
        <v>0</v>
      </c>
      <c r="P496" s="28" t="str">
        <f t="shared" si="170"/>
        <v>On time</v>
      </c>
      <c r="Q496" s="27">
        <f t="shared" si="167"/>
        <v>0</v>
      </c>
      <c r="R496" s="29" t="s">
        <v>984</v>
      </c>
      <c r="S496" s="12" t="s">
        <v>524</v>
      </c>
      <c r="T496" s="35">
        <v>14</v>
      </c>
      <c r="U496" t="s">
        <v>998</v>
      </c>
      <c r="V496" s="27">
        <v>10</v>
      </c>
      <c r="W496" s="9">
        <v>50.9</v>
      </c>
      <c r="X496" s="9">
        <f t="shared" si="173"/>
        <v>509</v>
      </c>
      <c r="Z496" s="10">
        <v>46106</v>
      </c>
      <c r="AA496" s="10">
        <v>46126</v>
      </c>
      <c r="AB496" s="10">
        <v>46167</v>
      </c>
      <c r="AC496" s="10">
        <v>46232</v>
      </c>
      <c r="AD496" s="31">
        <f t="shared" ca="1" si="176"/>
        <v>9</v>
      </c>
      <c r="AE496" s="36">
        <v>1</v>
      </c>
      <c r="AF496" t="s">
        <v>62</v>
      </c>
      <c r="AG496" s="10" t="s">
        <v>78</v>
      </c>
      <c r="AI496" s="9" t="s">
        <v>53</v>
      </c>
      <c r="AL496" t="s">
        <v>2211</v>
      </c>
      <c r="AM496" s="27" t="str">
        <f t="shared" si="175"/>
        <v>Atrasado</v>
      </c>
      <c r="AN496" s="27" t="str">
        <f t="shared" ca="1" si="174"/>
        <v>Estoque</v>
      </c>
      <c r="AO496" s="27" t="str">
        <f t="shared" ca="1" si="169"/>
        <v/>
      </c>
    </row>
    <row r="497" spans="1:41" ht="15" hidden="1" customHeight="1">
      <c r="D497" t="s">
        <v>1554</v>
      </c>
      <c r="E497" s="23" t="s">
        <v>1555</v>
      </c>
      <c r="F497" s="24"/>
      <c r="I497" s="26"/>
      <c r="L497" s="27" t="str">
        <f t="shared" si="172"/>
        <v xml:space="preserve"> </v>
      </c>
      <c r="N497" s="27" t="str">
        <f t="shared" si="171"/>
        <v xml:space="preserve"> </v>
      </c>
      <c r="O497" s="27">
        <f t="shared" si="166"/>
        <v>0</v>
      </c>
      <c r="P497" s="28" t="str">
        <f t="shared" si="170"/>
        <v>On time</v>
      </c>
      <c r="Q497" s="27">
        <f t="shared" si="167"/>
        <v>0</v>
      </c>
      <c r="R497" s="29" t="s">
        <v>984</v>
      </c>
      <c r="S497" s="12" t="s">
        <v>524</v>
      </c>
      <c r="T497" s="35">
        <v>15</v>
      </c>
      <c r="U497" t="s">
        <v>999</v>
      </c>
      <c r="V497" s="27">
        <v>5</v>
      </c>
      <c r="W497" s="9">
        <v>58.4</v>
      </c>
      <c r="X497" s="9">
        <f t="shared" si="173"/>
        <v>292</v>
      </c>
      <c r="Z497" s="10">
        <v>46106</v>
      </c>
      <c r="AA497" s="10">
        <v>46126</v>
      </c>
      <c r="AB497" s="10">
        <v>46167</v>
      </c>
      <c r="AC497" s="10">
        <v>46232</v>
      </c>
      <c r="AD497" s="31">
        <f t="shared" ca="1" si="176"/>
        <v>9</v>
      </c>
      <c r="AE497" s="36">
        <v>1</v>
      </c>
      <c r="AF497" t="s">
        <v>62</v>
      </c>
      <c r="AG497" s="10" t="s">
        <v>78</v>
      </c>
      <c r="AI497" s="9" t="s">
        <v>53</v>
      </c>
      <c r="AL497" t="s">
        <v>2211</v>
      </c>
      <c r="AM497" s="27" t="str">
        <f t="shared" si="175"/>
        <v>Atrasado</v>
      </c>
      <c r="AN497" s="27" t="str">
        <f t="shared" ca="1" si="174"/>
        <v>Estoque</v>
      </c>
      <c r="AO497" s="27" t="str">
        <f t="shared" ca="1" si="169"/>
        <v/>
      </c>
    </row>
    <row r="498" spans="1:41" ht="15" hidden="1" customHeight="1">
      <c r="D498" t="s">
        <v>1556</v>
      </c>
      <c r="E498" s="23" t="s">
        <v>1557</v>
      </c>
      <c r="F498" s="24"/>
      <c r="I498" s="26"/>
      <c r="L498" s="27" t="str">
        <f t="shared" si="172"/>
        <v xml:space="preserve"> </v>
      </c>
      <c r="N498" s="27" t="str">
        <f t="shared" si="171"/>
        <v xml:space="preserve"> </v>
      </c>
      <c r="O498" s="27">
        <f t="shared" si="166"/>
        <v>0</v>
      </c>
      <c r="P498" s="28" t="str">
        <f t="shared" si="170"/>
        <v>On time</v>
      </c>
      <c r="Q498" s="27">
        <f t="shared" si="167"/>
        <v>0</v>
      </c>
      <c r="R498" s="29" t="s">
        <v>984</v>
      </c>
      <c r="S498" s="12" t="s">
        <v>524</v>
      </c>
      <c r="T498" s="35">
        <v>16</v>
      </c>
      <c r="U498" t="s">
        <v>1000</v>
      </c>
      <c r="V498" s="27">
        <v>100</v>
      </c>
      <c r="W498" s="9">
        <v>2.4</v>
      </c>
      <c r="X498" s="9">
        <f t="shared" si="173"/>
        <v>240</v>
      </c>
      <c r="Z498" s="10">
        <v>46106</v>
      </c>
      <c r="AA498" s="10">
        <v>46126</v>
      </c>
      <c r="AB498" s="10">
        <v>46167</v>
      </c>
      <c r="AC498" s="10">
        <v>46232</v>
      </c>
      <c r="AD498" s="31">
        <f t="shared" ca="1" si="176"/>
        <v>9</v>
      </c>
      <c r="AE498" s="36">
        <v>1</v>
      </c>
      <c r="AF498" t="s">
        <v>62</v>
      </c>
      <c r="AG498" s="10" t="s">
        <v>78</v>
      </c>
      <c r="AI498" s="9" t="s">
        <v>53</v>
      </c>
      <c r="AL498" t="s">
        <v>2211</v>
      </c>
      <c r="AM498" s="27" t="str">
        <f t="shared" si="175"/>
        <v>Atrasado</v>
      </c>
      <c r="AN498" s="27" t="str">
        <f t="shared" ca="1" si="174"/>
        <v>Estoque</v>
      </c>
      <c r="AO498" s="27" t="str">
        <f t="shared" ca="1" si="169"/>
        <v/>
      </c>
    </row>
    <row r="499" spans="1:41" ht="15" hidden="1" customHeight="1">
      <c r="D499" t="s">
        <v>1558</v>
      </c>
      <c r="E499" s="23" t="s">
        <v>1559</v>
      </c>
      <c r="F499" s="24"/>
      <c r="I499" s="26"/>
      <c r="L499" s="27" t="str">
        <f t="shared" si="172"/>
        <v xml:space="preserve"> </v>
      </c>
      <c r="N499" s="27" t="str">
        <f t="shared" si="171"/>
        <v xml:space="preserve"> </v>
      </c>
      <c r="O499" s="27">
        <f t="shared" ref="O499:O566" si="177">M499-J499</f>
        <v>0</v>
      </c>
      <c r="P499" s="28" t="str">
        <f t="shared" si="170"/>
        <v>On time</v>
      </c>
      <c r="Q499" s="27">
        <f t="shared" ref="Q499:Q566" si="178">I499-J499</f>
        <v>0</v>
      </c>
      <c r="R499" s="29" t="s">
        <v>984</v>
      </c>
      <c r="S499" s="12" t="s">
        <v>524</v>
      </c>
      <c r="T499" s="35">
        <v>17</v>
      </c>
      <c r="U499" t="s">
        <v>1001</v>
      </c>
      <c r="V499" s="27">
        <v>30</v>
      </c>
      <c r="W499" s="9">
        <v>9.4</v>
      </c>
      <c r="X499" s="9">
        <f t="shared" si="173"/>
        <v>282</v>
      </c>
      <c r="Z499" s="10">
        <v>46106</v>
      </c>
      <c r="AA499" s="10">
        <v>46126</v>
      </c>
      <c r="AB499" s="10">
        <v>46167</v>
      </c>
      <c r="AC499" s="10">
        <v>46232</v>
      </c>
      <c r="AD499" s="31">
        <f t="shared" ca="1" si="176"/>
        <v>9</v>
      </c>
      <c r="AE499" s="36">
        <v>1</v>
      </c>
      <c r="AF499" t="s">
        <v>62</v>
      </c>
      <c r="AG499" s="10" t="s">
        <v>78</v>
      </c>
      <c r="AI499" s="9" t="s">
        <v>53</v>
      </c>
      <c r="AL499" t="s">
        <v>2211</v>
      </c>
      <c r="AM499" s="27" t="str">
        <f t="shared" si="175"/>
        <v>Atrasado</v>
      </c>
      <c r="AN499" s="27" t="str">
        <f t="shared" ca="1" si="174"/>
        <v>Estoque</v>
      </c>
      <c r="AO499" s="27" t="str">
        <f t="shared" ca="1" si="169"/>
        <v/>
      </c>
    </row>
    <row r="500" spans="1:41" ht="15" hidden="1" customHeight="1">
      <c r="D500" t="s">
        <v>1560</v>
      </c>
      <c r="E500" s="23" t="s">
        <v>1561</v>
      </c>
      <c r="F500" s="24"/>
      <c r="I500" s="26"/>
      <c r="L500" s="27" t="str">
        <f t="shared" si="172"/>
        <v xml:space="preserve"> </v>
      </c>
      <c r="N500" s="27" t="str">
        <f t="shared" si="171"/>
        <v xml:space="preserve"> </v>
      </c>
      <c r="O500" s="27">
        <f t="shared" si="177"/>
        <v>0</v>
      </c>
      <c r="P500" s="28" t="str">
        <f t="shared" si="170"/>
        <v>On time</v>
      </c>
      <c r="Q500" s="27">
        <f t="shared" si="178"/>
        <v>0</v>
      </c>
      <c r="R500" s="29" t="s">
        <v>984</v>
      </c>
      <c r="S500" s="12" t="s">
        <v>524</v>
      </c>
      <c r="T500" s="35">
        <v>18</v>
      </c>
      <c r="U500" t="s">
        <v>1002</v>
      </c>
      <c r="V500" s="27">
        <v>20</v>
      </c>
      <c r="W500" s="9">
        <v>17.61</v>
      </c>
      <c r="X500" s="9">
        <f t="shared" si="173"/>
        <v>352.2</v>
      </c>
      <c r="Z500" s="10">
        <v>46106</v>
      </c>
      <c r="AA500" s="10">
        <v>46126</v>
      </c>
      <c r="AB500" s="10">
        <v>46167</v>
      </c>
      <c r="AC500" s="10">
        <v>46232</v>
      </c>
      <c r="AD500" s="31">
        <f t="shared" ca="1" si="176"/>
        <v>9</v>
      </c>
      <c r="AE500" s="36">
        <v>1</v>
      </c>
      <c r="AF500" t="s">
        <v>62</v>
      </c>
      <c r="AG500" s="10" t="s">
        <v>78</v>
      </c>
      <c r="AI500" s="9" t="s">
        <v>53</v>
      </c>
      <c r="AL500" t="s">
        <v>2211</v>
      </c>
      <c r="AM500" s="27" t="str">
        <f t="shared" si="175"/>
        <v>Atrasado</v>
      </c>
      <c r="AN500" s="27" t="str">
        <f t="shared" ca="1" si="174"/>
        <v>Estoque</v>
      </c>
      <c r="AO500" s="27" t="str">
        <f t="shared" ca="1" si="169"/>
        <v/>
      </c>
    </row>
    <row r="501" spans="1:41" ht="15" hidden="1" customHeight="1">
      <c r="D501" t="s">
        <v>1562</v>
      </c>
      <c r="E501" s="23" t="s">
        <v>1563</v>
      </c>
      <c r="F501" s="24"/>
      <c r="I501" s="26"/>
      <c r="L501" s="27" t="str">
        <f t="shared" si="172"/>
        <v xml:space="preserve"> </v>
      </c>
      <c r="N501" s="27" t="str">
        <f t="shared" si="171"/>
        <v xml:space="preserve"> </v>
      </c>
      <c r="O501" s="27">
        <f t="shared" si="177"/>
        <v>0</v>
      </c>
      <c r="P501" s="28" t="str">
        <f t="shared" si="170"/>
        <v>On time</v>
      </c>
      <c r="Q501" s="27">
        <f t="shared" si="178"/>
        <v>0</v>
      </c>
      <c r="R501" s="29" t="s">
        <v>984</v>
      </c>
      <c r="S501" s="12" t="s">
        <v>524</v>
      </c>
      <c r="T501" s="35">
        <v>19</v>
      </c>
      <c r="U501" t="s">
        <v>1003</v>
      </c>
      <c r="V501" s="27">
        <v>10</v>
      </c>
      <c r="W501" s="9">
        <v>17.61</v>
      </c>
      <c r="X501" s="9">
        <f t="shared" si="173"/>
        <v>176.1</v>
      </c>
      <c r="Z501" s="10">
        <v>46106</v>
      </c>
      <c r="AA501" s="10">
        <v>46126</v>
      </c>
      <c r="AB501" s="10">
        <v>46167</v>
      </c>
      <c r="AC501" s="10">
        <v>46232</v>
      </c>
      <c r="AD501" s="31">
        <f t="shared" ca="1" si="176"/>
        <v>9</v>
      </c>
      <c r="AE501" s="36">
        <v>1</v>
      </c>
      <c r="AF501" t="s">
        <v>62</v>
      </c>
      <c r="AG501" s="10" t="s">
        <v>78</v>
      </c>
      <c r="AI501" s="9" t="s">
        <v>53</v>
      </c>
      <c r="AL501" t="s">
        <v>2211</v>
      </c>
      <c r="AM501" s="27" t="str">
        <f t="shared" si="175"/>
        <v>Atrasado</v>
      </c>
      <c r="AN501" s="27" t="str">
        <f t="shared" ca="1" si="174"/>
        <v>Estoque</v>
      </c>
      <c r="AO501" s="27" t="str">
        <f t="shared" ca="1" si="169"/>
        <v/>
      </c>
    </row>
    <row r="502" spans="1:41" ht="15" hidden="1" customHeight="1">
      <c r="A502">
        <v>513821</v>
      </c>
      <c r="B502">
        <v>1</v>
      </c>
      <c r="C502" t="s">
        <v>25</v>
      </c>
      <c r="D502" t="s">
        <v>1031</v>
      </c>
      <c r="E502" s="23" t="s">
        <v>1385</v>
      </c>
      <c r="F502" s="24">
        <v>24</v>
      </c>
      <c r="G502" s="25">
        <v>11.72</v>
      </c>
      <c r="H502" s="25">
        <f>G502*F502</f>
        <v>281.28000000000003</v>
      </c>
      <c r="I502" s="26">
        <v>46237</v>
      </c>
      <c r="J502" s="10">
        <v>46106</v>
      </c>
      <c r="K502" s="10">
        <v>46107</v>
      </c>
      <c r="L502" s="27" t="str">
        <f t="shared" si="172"/>
        <v>On time</v>
      </c>
      <c r="M502" s="58">
        <v>46104</v>
      </c>
      <c r="N502" s="27" t="str">
        <f t="shared" si="171"/>
        <v>On time</v>
      </c>
      <c r="O502" s="27">
        <f t="shared" si="177"/>
        <v>-2</v>
      </c>
      <c r="P502" s="28" t="str">
        <f t="shared" si="170"/>
        <v>On time</v>
      </c>
      <c r="Q502" s="27">
        <f t="shared" si="178"/>
        <v>131</v>
      </c>
      <c r="R502" s="29" t="s">
        <v>1029</v>
      </c>
      <c r="S502" s="12" t="s">
        <v>1030</v>
      </c>
      <c r="T502" s="35">
        <v>1</v>
      </c>
      <c r="U502" t="s">
        <v>1031</v>
      </c>
      <c r="V502" s="79">
        <v>1000</v>
      </c>
      <c r="W502" s="70">
        <v>0.44</v>
      </c>
      <c r="X502" s="80">
        <f t="shared" si="173"/>
        <v>440</v>
      </c>
      <c r="Y502">
        <v>0.06</v>
      </c>
      <c r="Z502" s="10">
        <v>46106</v>
      </c>
      <c r="AA502" s="10">
        <v>46126</v>
      </c>
      <c r="AB502" s="10">
        <v>46141</v>
      </c>
      <c r="AC502" s="10">
        <v>46206</v>
      </c>
      <c r="AD502" s="31">
        <f t="shared" ref="AD502:AD557" ca="1" si="179">TODAY()-AA502</f>
        <v>9</v>
      </c>
      <c r="AE502" s="36" t="s">
        <v>247</v>
      </c>
      <c r="AF502" t="s">
        <v>62</v>
      </c>
      <c r="AG502" s="10" t="s">
        <v>79</v>
      </c>
      <c r="AH502" s="10">
        <v>46141</v>
      </c>
      <c r="AI502" s="9" t="s">
        <v>53</v>
      </c>
      <c r="AL502" s="9" t="s">
        <v>2039</v>
      </c>
      <c r="AM502" s="27" t="str">
        <f t="shared" si="175"/>
        <v>Atrasado</v>
      </c>
      <c r="AN502" s="27" t="str">
        <f t="shared" ca="1" si="174"/>
        <v>No prazo</v>
      </c>
      <c r="AO502" s="27" t="str">
        <f t="shared" ca="1" si="169"/>
        <v/>
      </c>
    </row>
    <row r="503" spans="1:41" ht="15" hidden="1" customHeight="1">
      <c r="A503">
        <v>514491</v>
      </c>
      <c r="B503">
        <v>1</v>
      </c>
      <c r="C503" t="s">
        <v>25</v>
      </c>
      <c r="D503" t="s">
        <v>1031</v>
      </c>
      <c r="E503" s="23" t="s">
        <v>1385</v>
      </c>
      <c r="F503" s="24">
        <v>4</v>
      </c>
      <c r="G503" s="25">
        <v>11.73</v>
      </c>
      <c r="H503" s="25">
        <f>G503*F503</f>
        <v>46.92</v>
      </c>
      <c r="I503" s="26">
        <v>46248</v>
      </c>
      <c r="J503" s="10">
        <v>46114</v>
      </c>
      <c r="K503" s="10">
        <v>46118</v>
      </c>
      <c r="L503" s="27" t="str">
        <f t="shared" si="172"/>
        <v>On time</v>
      </c>
      <c r="M503" s="58">
        <v>46104</v>
      </c>
      <c r="N503" s="27" t="str">
        <f t="shared" si="171"/>
        <v>On time</v>
      </c>
      <c r="O503" s="27">
        <f t="shared" si="177"/>
        <v>-10</v>
      </c>
      <c r="P503" s="28" t="str">
        <f t="shared" si="170"/>
        <v>On time</v>
      </c>
      <c r="Q503" s="27">
        <f t="shared" si="178"/>
        <v>134</v>
      </c>
      <c r="R503" s="29" t="s">
        <v>1029</v>
      </c>
      <c r="S503" s="12" t="s">
        <v>1030</v>
      </c>
      <c r="T503" s="35">
        <v>1</v>
      </c>
      <c r="U503" t="s">
        <v>1031</v>
      </c>
      <c r="V503" s="79"/>
      <c r="W503" s="70">
        <v>0.44</v>
      </c>
      <c r="X503" s="80"/>
      <c r="Y503">
        <v>0.06</v>
      </c>
      <c r="Z503" s="10">
        <v>46106</v>
      </c>
      <c r="AA503" s="10">
        <v>46126</v>
      </c>
      <c r="AB503" s="10">
        <v>46141</v>
      </c>
      <c r="AC503" s="10">
        <v>46206</v>
      </c>
      <c r="AD503" s="31">
        <f t="shared" ref="AD503:AD541" ca="1" si="180">TODAY()-AA503</f>
        <v>9</v>
      </c>
      <c r="AE503" s="36" t="s">
        <v>247</v>
      </c>
      <c r="AF503" t="s">
        <v>62</v>
      </c>
      <c r="AG503" s="10" t="s">
        <v>79</v>
      </c>
      <c r="AH503" s="10">
        <v>46141</v>
      </c>
      <c r="AI503" s="9" t="s">
        <v>53</v>
      </c>
      <c r="AL503" s="9" t="s">
        <v>2039</v>
      </c>
      <c r="AM503" s="27" t="str">
        <f t="shared" ref="AM503" si="181">IF(AB503=0," ",IF(AB503&lt;=AA503+10,"On time","Atrasado"))</f>
        <v>Atrasado</v>
      </c>
      <c r="AN503" s="27" t="str">
        <f t="shared" ref="AN503" ca="1" si="182">IF(AND(AC503&lt;&gt;"",AC503&lt;=TODAY()),"Chegou",IF(A503="","Estoque",IF(OR(AC503="",I503=""),"",IF(I503-AC503&lt;=0,"Atrasado",IF(I503-AC503&lt;=9,"Crítico",IF(I503-AC503&lt;=20,"Verificar aéreo",IF(I503-AC503&lt;=25,"Alerta","No prazo")        ))))))</f>
        <v>No prazo</v>
      </c>
      <c r="AO503" s="27" t="str">
        <f t="shared" ca="1" si="169"/>
        <v/>
      </c>
    </row>
    <row r="504" spans="1:41" ht="15" hidden="1" customHeight="1">
      <c r="D504" t="s">
        <v>1032</v>
      </c>
      <c r="E504" s="23" t="s">
        <v>1386</v>
      </c>
      <c r="F504" s="24"/>
      <c r="I504" s="26"/>
      <c r="L504" s="27" t="str">
        <f t="shared" si="172"/>
        <v xml:space="preserve"> </v>
      </c>
      <c r="N504" s="27" t="str">
        <f t="shared" si="171"/>
        <v xml:space="preserve"> </v>
      </c>
      <c r="O504" s="27">
        <f t="shared" si="177"/>
        <v>0</v>
      </c>
      <c r="P504" s="28" t="str">
        <f t="shared" si="170"/>
        <v>On time</v>
      </c>
      <c r="Q504" s="27">
        <f t="shared" si="178"/>
        <v>0</v>
      </c>
      <c r="R504" s="29" t="s">
        <v>1029</v>
      </c>
      <c r="S504" s="12" t="s">
        <v>1030</v>
      </c>
      <c r="T504" s="35">
        <v>2</v>
      </c>
      <c r="U504" t="s">
        <v>1032</v>
      </c>
      <c r="V504" s="27">
        <v>1000</v>
      </c>
      <c r="W504" s="9">
        <v>0.38999999999999996</v>
      </c>
      <c r="X504" s="9">
        <f t="shared" si="173"/>
        <v>389.99999999999994</v>
      </c>
      <c r="Y504" s="111">
        <v>4.8000000000000001E-2</v>
      </c>
      <c r="Z504" s="10">
        <v>46106</v>
      </c>
      <c r="AA504" s="10">
        <v>46126</v>
      </c>
      <c r="AB504" s="10">
        <v>46141</v>
      </c>
      <c r="AC504" s="10">
        <v>46206</v>
      </c>
      <c r="AD504" s="31">
        <f t="shared" ca="1" si="180"/>
        <v>9</v>
      </c>
      <c r="AE504" s="36" t="s">
        <v>247</v>
      </c>
      <c r="AF504" t="s">
        <v>62</v>
      </c>
      <c r="AG504" s="10" t="s">
        <v>79</v>
      </c>
      <c r="AH504" s="10">
        <v>46141</v>
      </c>
      <c r="AI504" s="9" t="s">
        <v>53</v>
      </c>
      <c r="AL504" s="9" t="s">
        <v>2039</v>
      </c>
      <c r="AM504" s="27" t="str">
        <f t="shared" si="175"/>
        <v>Atrasado</v>
      </c>
      <c r="AN504" s="27" t="str">
        <f t="shared" ca="1" si="174"/>
        <v>Estoque</v>
      </c>
      <c r="AO504" s="27" t="str">
        <f t="shared" ca="1" si="169"/>
        <v/>
      </c>
    </row>
    <row r="505" spans="1:41" ht="15" hidden="1" customHeight="1">
      <c r="A505">
        <v>514577</v>
      </c>
      <c r="B505">
        <v>1</v>
      </c>
      <c r="C505" t="s">
        <v>25</v>
      </c>
      <c r="D505" t="s">
        <v>1033</v>
      </c>
      <c r="E505" s="23" t="s">
        <v>1387</v>
      </c>
      <c r="F505" s="24">
        <v>176</v>
      </c>
      <c r="G505" s="25">
        <v>9.0500000000000007</v>
      </c>
      <c r="H505" s="25">
        <f>G505*F505</f>
        <v>1592.8000000000002</v>
      </c>
      <c r="I505" s="26">
        <v>46248</v>
      </c>
      <c r="J505" s="10">
        <v>46118</v>
      </c>
      <c r="K505" s="10">
        <v>46118</v>
      </c>
      <c r="L505" s="27" t="str">
        <f t="shared" si="172"/>
        <v>On time</v>
      </c>
      <c r="M505" s="58">
        <v>46104</v>
      </c>
      <c r="N505" s="27" t="str">
        <f t="shared" si="171"/>
        <v>On time</v>
      </c>
      <c r="O505" s="27">
        <f t="shared" si="177"/>
        <v>-14</v>
      </c>
      <c r="P505" s="28" t="str">
        <f t="shared" si="170"/>
        <v>On time</v>
      </c>
      <c r="Q505" s="27">
        <f t="shared" si="178"/>
        <v>130</v>
      </c>
      <c r="R505" s="29" t="s">
        <v>1029</v>
      </c>
      <c r="S505" s="12" t="s">
        <v>1030</v>
      </c>
      <c r="T505" s="35">
        <v>3</v>
      </c>
      <c r="U505" t="s">
        <v>1033</v>
      </c>
      <c r="V505" s="27">
        <v>300</v>
      </c>
      <c r="W505" s="9">
        <v>0.26999999999999996</v>
      </c>
      <c r="X505" s="9">
        <f t="shared" si="173"/>
        <v>80.999999999999986</v>
      </c>
      <c r="Y505" s="111">
        <v>4.8000000000000001E-2</v>
      </c>
      <c r="Z505" s="10">
        <v>46106</v>
      </c>
      <c r="AA505" s="10">
        <v>46126</v>
      </c>
      <c r="AB505" s="10">
        <v>46141</v>
      </c>
      <c r="AC505" s="10">
        <v>46206</v>
      </c>
      <c r="AD505" s="31">
        <f t="shared" ca="1" si="180"/>
        <v>9</v>
      </c>
      <c r="AE505" s="36" t="s">
        <v>247</v>
      </c>
      <c r="AF505" t="s">
        <v>62</v>
      </c>
      <c r="AG505" s="10" t="s">
        <v>79</v>
      </c>
      <c r="AH505" s="10">
        <v>46141</v>
      </c>
      <c r="AI505" s="9" t="s">
        <v>53</v>
      </c>
      <c r="AL505" s="9" t="s">
        <v>2039</v>
      </c>
      <c r="AM505" s="27" t="str">
        <f t="shared" si="175"/>
        <v>Atrasado</v>
      </c>
      <c r="AN505" s="27" t="str">
        <f ca="1">IF(AND(AC505&lt;&gt;"",AC505&lt;=TODAY()),"Chegou",IF(A505="","Estoque",IF(OR(AC505="",I505=""),"",IF(I505-AC505&lt;=0,"Atrasado",IF(I505-AC505&lt;=9,"Crítico",IF(I505-AC505&lt;=20,"Verificar aéreo",IF(I505-AC505&lt;=25,"Alerta","No prazo")        ))))))</f>
        <v>No prazo</v>
      </c>
      <c r="AO505" s="27" t="str">
        <f t="shared" ca="1" si="169"/>
        <v/>
      </c>
    </row>
    <row r="506" spans="1:41" ht="15" hidden="1" customHeight="1">
      <c r="D506" t="s">
        <v>1034</v>
      </c>
      <c r="E506" s="23" t="s">
        <v>1388</v>
      </c>
      <c r="F506" s="24"/>
      <c r="I506" s="26"/>
      <c r="L506" s="27" t="str">
        <f t="shared" si="172"/>
        <v xml:space="preserve"> </v>
      </c>
      <c r="N506" s="27" t="str">
        <f t="shared" si="171"/>
        <v xml:space="preserve"> </v>
      </c>
      <c r="O506" s="27">
        <f t="shared" si="177"/>
        <v>0</v>
      </c>
      <c r="P506" s="28" t="str">
        <f t="shared" si="170"/>
        <v>On time</v>
      </c>
      <c r="Q506" s="27">
        <f t="shared" si="178"/>
        <v>0</v>
      </c>
      <c r="R506" s="29" t="s">
        <v>1029</v>
      </c>
      <c r="S506" s="12" t="s">
        <v>1030</v>
      </c>
      <c r="T506" s="35">
        <v>4</v>
      </c>
      <c r="U506" t="s">
        <v>1034</v>
      </c>
      <c r="V506" s="27">
        <v>500</v>
      </c>
      <c r="W506" s="9">
        <v>3.9999999999999996</v>
      </c>
      <c r="X506" s="9">
        <f t="shared" si="173"/>
        <v>1999.9999999999998</v>
      </c>
      <c r="Y506" s="111">
        <v>0.6</v>
      </c>
      <c r="Z506" s="10">
        <v>46106</v>
      </c>
      <c r="AA506" s="10">
        <v>46126</v>
      </c>
      <c r="AB506" s="10">
        <v>46141</v>
      </c>
      <c r="AC506" s="10">
        <v>46206</v>
      </c>
      <c r="AD506" s="31">
        <f t="shared" ca="1" si="180"/>
        <v>9</v>
      </c>
      <c r="AE506" s="36" t="s">
        <v>247</v>
      </c>
      <c r="AF506" t="s">
        <v>62</v>
      </c>
      <c r="AG506" s="10" t="s">
        <v>79</v>
      </c>
      <c r="AH506" s="10">
        <v>46141</v>
      </c>
      <c r="AI506" s="9" t="s">
        <v>53</v>
      </c>
      <c r="AL506" s="9" t="s">
        <v>2039</v>
      </c>
      <c r="AM506" s="27" t="str">
        <f t="shared" si="175"/>
        <v>Atrasado</v>
      </c>
      <c r="AN506" s="27" t="str">
        <f t="shared" ca="1" si="174"/>
        <v>Estoque</v>
      </c>
      <c r="AO506" s="27" t="str">
        <f t="shared" ca="1" si="169"/>
        <v/>
      </c>
    </row>
    <row r="507" spans="1:41" ht="15" hidden="1" customHeight="1">
      <c r="D507" t="s">
        <v>1035</v>
      </c>
      <c r="E507" s="23" t="s">
        <v>1389</v>
      </c>
      <c r="F507" s="24"/>
      <c r="I507" s="26"/>
      <c r="L507" s="27" t="str">
        <f t="shared" si="172"/>
        <v xml:space="preserve"> </v>
      </c>
      <c r="N507" s="27" t="str">
        <f t="shared" si="171"/>
        <v xml:space="preserve"> </v>
      </c>
      <c r="O507" s="27">
        <f t="shared" si="177"/>
        <v>0</v>
      </c>
      <c r="P507" s="28" t="str">
        <f t="shared" si="170"/>
        <v>On time</v>
      </c>
      <c r="Q507" s="27">
        <f t="shared" si="178"/>
        <v>0</v>
      </c>
      <c r="R507" s="29" t="s">
        <v>1029</v>
      </c>
      <c r="S507" s="12" t="s">
        <v>1030</v>
      </c>
      <c r="T507" s="35">
        <v>5</v>
      </c>
      <c r="U507" t="s">
        <v>1035</v>
      </c>
      <c r="V507" s="27">
        <v>200</v>
      </c>
      <c r="W507" s="9">
        <v>4.03</v>
      </c>
      <c r="X507" s="9">
        <f t="shared" si="173"/>
        <v>806</v>
      </c>
      <c r="Y507" s="111">
        <v>0.6</v>
      </c>
      <c r="Z507" s="10">
        <v>46106</v>
      </c>
      <c r="AA507" s="10">
        <v>46126</v>
      </c>
      <c r="AB507" s="10">
        <v>46141</v>
      </c>
      <c r="AC507" s="10">
        <v>46206</v>
      </c>
      <c r="AD507" s="31">
        <f t="shared" ca="1" si="180"/>
        <v>9</v>
      </c>
      <c r="AE507" s="36" t="s">
        <v>247</v>
      </c>
      <c r="AF507" t="s">
        <v>62</v>
      </c>
      <c r="AG507" s="10" t="s">
        <v>79</v>
      </c>
      <c r="AH507" s="10">
        <v>46141</v>
      </c>
      <c r="AI507" s="9" t="s">
        <v>53</v>
      </c>
      <c r="AL507" s="9" t="s">
        <v>2039</v>
      </c>
      <c r="AM507" s="27" t="str">
        <f t="shared" si="175"/>
        <v>Atrasado</v>
      </c>
      <c r="AN507" s="27" t="str">
        <f t="shared" ca="1" si="174"/>
        <v>Estoque</v>
      </c>
      <c r="AO507" s="27" t="str">
        <f t="shared" ca="1" si="169"/>
        <v/>
      </c>
    </row>
    <row r="508" spans="1:41" ht="15" hidden="1" customHeight="1">
      <c r="D508" t="s">
        <v>1036</v>
      </c>
      <c r="E508" s="23" t="s">
        <v>1390</v>
      </c>
      <c r="F508" s="24"/>
      <c r="I508" s="26"/>
      <c r="L508" s="27" t="str">
        <f t="shared" si="172"/>
        <v xml:space="preserve"> </v>
      </c>
      <c r="N508" s="27" t="str">
        <f t="shared" si="171"/>
        <v xml:space="preserve"> </v>
      </c>
      <c r="O508" s="27">
        <f t="shared" si="177"/>
        <v>0</v>
      </c>
      <c r="P508" s="28" t="str">
        <f t="shared" si="170"/>
        <v>On time</v>
      </c>
      <c r="Q508" s="27">
        <f t="shared" si="178"/>
        <v>0</v>
      </c>
      <c r="R508" s="29" t="s">
        <v>1029</v>
      </c>
      <c r="S508" s="12" t="s">
        <v>1030</v>
      </c>
      <c r="T508" s="35">
        <v>6</v>
      </c>
      <c r="U508" t="s">
        <v>1036</v>
      </c>
      <c r="V508" s="27">
        <v>500</v>
      </c>
      <c r="W508" s="9">
        <v>4.6500000000000004</v>
      </c>
      <c r="X508" s="9">
        <f t="shared" si="173"/>
        <v>2325</v>
      </c>
      <c r="Y508" s="111">
        <v>0.96499999999999997</v>
      </c>
      <c r="Z508" s="10">
        <v>46106</v>
      </c>
      <c r="AA508" s="10">
        <v>46126</v>
      </c>
      <c r="AB508" s="10">
        <v>46141</v>
      </c>
      <c r="AC508" s="10">
        <v>46206</v>
      </c>
      <c r="AD508" s="31">
        <f t="shared" ca="1" si="180"/>
        <v>9</v>
      </c>
      <c r="AE508" s="36" t="s">
        <v>247</v>
      </c>
      <c r="AF508" t="s">
        <v>62</v>
      </c>
      <c r="AG508" s="10" t="s">
        <v>79</v>
      </c>
      <c r="AH508" s="10">
        <v>46141</v>
      </c>
      <c r="AI508" s="9" t="s">
        <v>53</v>
      </c>
      <c r="AL508" s="9" t="s">
        <v>2039</v>
      </c>
      <c r="AM508" s="27" t="str">
        <f t="shared" si="175"/>
        <v>Atrasado</v>
      </c>
      <c r="AN508" s="27" t="str">
        <f t="shared" ca="1" si="174"/>
        <v>Estoque</v>
      </c>
      <c r="AO508" s="27" t="str">
        <f t="shared" ca="1" si="169"/>
        <v/>
      </c>
    </row>
    <row r="509" spans="1:41" ht="15" hidden="1" customHeight="1">
      <c r="D509" t="s">
        <v>1037</v>
      </c>
      <c r="E509" s="23" t="s">
        <v>1391</v>
      </c>
      <c r="F509" s="24"/>
      <c r="I509" s="26"/>
      <c r="L509" s="27" t="str">
        <f t="shared" si="172"/>
        <v xml:space="preserve"> </v>
      </c>
      <c r="N509" s="27" t="str">
        <f t="shared" si="171"/>
        <v xml:space="preserve"> </v>
      </c>
      <c r="O509" s="27">
        <f t="shared" si="177"/>
        <v>0</v>
      </c>
      <c r="P509" s="28" t="str">
        <f t="shared" si="170"/>
        <v>On time</v>
      </c>
      <c r="Q509" s="27">
        <f t="shared" si="178"/>
        <v>0</v>
      </c>
      <c r="R509" s="29" t="s">
        <v>1029</v>
      </c>
      <c r="S509" s="12" t="s">
        <v>1030</v>
      </c>
      <c r="T509" s="35">
        <v>7</v>
      </c>
      <c r="U509" t="s">
        <v>1037</v>
      </c>
      <c r="V509" s="27">
        <v>500</v>
      </c>
      <c r="W509" s="9">
        <v>6.1000000000000005</v>
      </c>
      <c r="X509" s="9">
        <f t="shared" si="173"/>
        <v>3050.0000000000005</v>
      </c>
      <c r="Y509" s="111">
        <v>1.264</v>
      </c>
      <c r="Z509" s="10">
        <v>46106</v>
      </c>
      <c r="AA509" s="10">
        <v>46126</v>
      </c>
      <c r="AB509" s="10">
        <v>46141</v>
      </c>
      <c r="AC509" s="10">
        <v>46206</v>
      </c>
      <c r="AD509" s="31">
        <f t="shared" ca="1" si="180"/>
        <v>9</v>
      </c>
      <c r="AE509" s="36" t="s">
        <v>247</v>
      </c>
      <c r="AF509" t="s">
        <v>62</v>
      </c>
      <c r="AG509" s="10" t="s">
        <v>79</v>
      </c>
      <c r="AH509" s="10">
        <v>46141</v>
      </c>
      <c r="AI509" s="9" t="s">
        <v>53</v>
      </c>
      <c r="AL509" s="9" t="s">
        <v>2039</v>
      </c>
      <c r="AM509" s="27" t="str">
        <f t="shared" si="175"/>
        <v>Atrasado</v>
      </c>
      <c r="AN509" s="27" t="str">
        <f t="shared" ca="1" si="174"/>
        <v>Estoque</v>
      </c>
      <c r="AO509" s="27" t="str">
        <f t="shared" ca="1" si="169"/>
        <v/>
      </c>
    </row>
    <row r="510" spans="1:41" ht="15" hidden="1" customHeight="1">
      <c r="D510" t="s">
        <v>1038</v>
      </c>
      <c r="E510" s="23" t="s">
        <v>1397</v>
      </c>
      <c r="F510" s="24"/>
      <c r="I510" s="26"/>
      <c r="L510" s="27" t="str">
        <f t="shared" si="172"/>
        <v xml:space="preserve"> </v>
      </c>
      <c r="N510" s="27" t="str">
        <f t="shared" si="171"/>
        <v xml:space="preserve"> </v>
      </c>
      <c r="O510" s="27">
        <f t="shared" si="177"/>
        <v>0</v>
      </c>
      <c r="P510" s="28" t="str">
        <f t="shared" si="170"/>
        <v>On time</v>
      </c>
      <c r="Q510" s="27">
        <f t="shared" si="178"/>
        <v>0</v>
      </c>
      <c r="R510" s="29" t="s">
        <v>1029</v>
      </c>
      <c r="S510" s="12" t="s">
        <v>1030</v>
      </c>
      <c r="T510" s="35">
        <v>8</v>
      </c>
      <c r="U510" t="s">
        <v>1038</v>
      </c>
      <c r="V510" s="27">
        <v>300</v>
      </c>
      <c r="W510" s="9">
        <v>6.87</v>
      </c>
      <c r="X510" s="9">
        <f t="shared" si="173"/>
        <v>2061</v>
      </c>
      <c r="Y510" s="111">
        <v>1.32</v>
      </c>
      <c r="Z510" s="10">
        <v>46106</v>
      </c>
      <c r="AA510" s="10">
        <v>46126</v>
      </c>
      <c r="AB510" s="10">
        <v>46141</v>
      </c>
      <c r="AC510" s="10">
        <v>46206</v>
      </c>
      <c r="AD510" s="31">
        <f t="shared" ca="1" si="180"/>
        <v>9</v>
      </c>
      <c r="AE510" s="36" t="s">
        <v>247</v>
      </c>
      <c r="AF510" t="s">
        <v>62</v>
      </c>
      <c r="AG510" s="10" t="s">
        <v>79</v>
      </c>
      <c r="AH510" s="10">
        <v>46141</v>
      </c>
      <c r="AI510" s="9" t="s">
        <v>53</v>
      </c>
      <c r="AL510" s="9" t="s">
        <v>2039</v>
      </c>
      <c r="AM510" s="27" t="str">
        <f t="shared" si="175"/>
        <v>Atrasado</v>
      </c>
      <c r="AN510" s="27" t="str">
        <f t="shared" ca="1" si="174"/>
        <v>Estoque</v>
      </c>
      <c r="AO510" s="27" t="str">
        <f t="shared" ca="1" si="169"/>
        <v/>
      </c>
    </row>
    <row r="511" spans="1:41" ht="15" hidden="1" customHeight="1">
      <c r="D511" t="s">
        <v>1039</v>
      </c>
      <c r="E511" s="23" t="s">
        <v>1392</v>
      </c>
      <c r="F511" s="24"/>
      <c r="I511" s="26"/>
      <c r="L511" s="27" t="str">
        <f t="shared" si="172"/>
        <v xml:space="preserve"> </v>
      </c>
      <c r="N511" s="27" t="str">
        <f t="shared" si="171"/>
        <v xml:space="preserve"> </v>
      </c>
      <c r="O511" s="27">
        <f t="shared" si="177"/>
        <v>0</v>
      </c>
      <c r="P511" s="28" t="str">
        <f t="shared" si="170"/>
        <v>On time</v>
      </c>
      <c r="Q511" s="27">
        <f t="shared" si="178"/>
        <v>0</v>
      </c>
      <c r="R511" s="29" t="s">
        <v>1029</v>
      </c>
      <c r="S511" s="12" t="s">
        <v>1030</v>
      </c>
      <c r="T511" s="35">
        <v>9</v>
      </c>
      <c r="U511" t="s">
        <v>1039</v>
      </c>
      <c r="V511" s="27">
        <v>100</v>
      </c>
      <c r="W511" s="9">
        <v>8.23</v>
      </c>
      <c r="X511" s="9">
        <f t="shared" si="173"/>
        <v>823</v>
      </c>
      <c r="Y511" s="111">
        <v>1.92</v>
      </c>
      <c r="Z511" s="10">
        <v>46106</v>
      </c>
      <c r="AA511" s="10">
        <v>46126</v>
      </c>
      <c r="AB511" s="10">
        <v>46141</v>
      </c>
      <c r="AC511" s="10">
        <v>46206</v>
      </c>
      <c r="AD511" s="31">
        <f t="shared" ca="1" si="180"/>
        <v>9</v>
      </c>
      <c r="AE511" s="36" t="s">
        <v>247</v>
      </c>
      <c r="AF511" t="s">
        <v>62</v>
      </c>
      <c r="AG511" s="10" t="s">
        <v>79</v>
      </c>
      <c r="AH511" s="10">
        <v>46141</v>
      </c>
      <c r="AI511" s="9" t="s">
        <v>53</v>
      </c>
      <c r="AL511" s="9" t="s">
        <v>2039</v>
      </c>
      <c r="AM511" s="27" t="str">
        <f t="shared" si="175"/>
        <v>Atrasado</v>
      </c>
      <c r="AN511" s="27" t="str">
        <f t="shared" ca="1" si="174"/>
        <v>Estoque</v>
      </c>
      <c r="AO511" s="27" t="str">
        <f t="shared" ca="1" si="169"/>
        <v/>
      </c>
    </row>
    <row r="512" spans="1:41" ht="15" hidden="1" customHeight="1">
      <c r="D512" t="s">
        <v>1040</v>
      </c>
      <c r="E512" s="23" t="s">
        <v>1393</v>
      </c>
      <c r="F512" s="24"/>
      <c r="I512" s="26"/>
      <c r="L512" s="27" t="str">
        <f t="shared" si="172"/>
        <v xml:space="preserve"> </v>
      </c>
      <c r="N512" s="27" t="str">
        <f t="shared" si="171"/>
        <v xml:space="preserve"> </v>
      </c>
      <c r="O512" s="27">
        <f t="shared" si="177"/>
        <v>0</v>
      </c>
      <c r="P512" s="28" t="str">
        <f t="shared" si="170"/>
        <v>On time</v>
      </c>
      <c r="Q512" s="27">
        <f t="shared" si="178"/>
        <v>0</v>
      </c>
      <c r="R512" s="29" t="s">
        <v>1029</v>
      </c>
      <c r="S512" s="12" t="s">
        <v>1030</v>
      </c>
      <c r="T512" s="35">
        <v>10</v>
      </c>
      <c r="U512" t="s">
        <v>1040</v>
      </c>
      <c r="V512" s="27">
        <v>150</v>
      </c>
      <c r="W512" s="9">
        <v>11.46</v>
      </c>
      <c r="X512" s="9">
        <f t="shared" si="173"/>
        <v>1719.0000000000002</v>
      </c>
      <c r="Y512" s="111">
        <v>1.64</v>
      </c>
      <c r="Z512" s="10">
        <v>46106</v>
      </c>
      <c r="AA512" s="10">
        <v>46126</v>
      </c>
      <c r="AB512" s="10">
        <v>46141</v>
      </c>
      <c r="AC512" s="10">
        <v>46206</v>
      </c>
      <c r="AD512" s="31">
        <f t="shared" ca="1" si="180"/>
        <v>9</v>
      </c>
      <c r="AE512" s="36" t="s">
        <v>247</v>
      </c>
      <c r="AF512" t="s">
        <v>62</v>
      </c>
      <c r="AG512" s="10" t="s">
        <v>79</v>
      </c>
      <c r="AH512" s="10">
        <v>46141</v>
      </c>
      <c r="AI512" s="9" t="s">
        <v>53</v>
      </c>
      <c r="AL512" s="9" t="s">
        <v>2039</v>
      </c>
      <c r="AM512" s="27" t="str">
        <f t="shared" si="175"/>
        <v>Atrasado</v>
      </c>
      <c r="AN512" s="27" t="str">
        <f t="shared" ca="1" si="174"/>
        <v>Estoque</v>
      </c>
      <c r="AO512" s="27" t="str">
        <f t="shared" ca="1" si="169"/>
        <v/>
      </c>
    </row>
    <row r="513" spans="1:41" ht="15" hidden="1" customHeight="1">
      <c r="D513" t="s">
        <v>1041</v>
      </c>
      <c r="E513" s="23" t="s">
        <v>1394</v>
      </c>
      <c r="F513" s="24"/>
      <c r="I513" s="26"/>
      <c r="L513" s="27" t="str">
        <f t="shared" si="172"/>
        <v xml:space="preserve"> </v>
      </c>
      <c r="N513" s="27" t="str">
        <f t="shared" si="171"/>
        <v xml:space="preserve"> </v>
      </c>
      <c r="O513" s="27">
        <f t="shared" si="177"/>
        <v>0</v>
      </c>
      <c r="P513" s="28" t="str">
        <f t="shared" si="170"/>
        <v>On time</v>
      </c>
      <c r="Q513" s="27">
        <f t="shared" si="178"/>
        <v>0</v>
      </c>
      <c r="R513" s="29" t="s">
        <v>1029</v>
      </c>
      <c r="S513" s="12" t="s">
        <v>1030</v>
      </c>
      <c r="T513" s="35">
        <v>11</v>
      </c>
      <c r="U513" t="s">
        <v>1041</v>
      </c>
      <c r="V513" s="27">
        <v>250</v>
      </c>
      <c r="W513" s="9">
        <v>9.89</v>
      </c>
      <c r="X513" s="9">
        <f t="shared" si="173"/>
        <v>2472.5</v>
      </c>
      <c r="Y513" s="111">
        <v>2.2000000000000002</v>
      </c>
      <c r="Z513" s="10">
        <v>46106</v>
      </c>
      <c r="AA513" s="10">
        <v>46126</v>
      </c>
      <c r="AB513" s="10">
        <v>46141</v>
      </c>
      <c r="AC513" s="10">
        <v>46206</v>
      </c>
      <c r="AD513" s="31">
        <f t="shared" ca="1" si="180"/>
        <v>9</v>
      </c>
      <c r="AE513" s="36" t="s">
        <v>247</v>
      </c>
      <c r="AF513" t="s">
        <v>62</v>
      </c>
      <c r="AG513" s="10" t="s">
        <v>79</v>
      </c>
      <c r="AH513" s="10">
        <v>46141</v>
      </c>
      <c r="AI513" s="9" t="s">
        <v>53</v>
      </c>
      <c r="AL513" s="9" t="s">
        <v>2039</v>
      </c>
      <c r="AM513" s="27" t="str">
        <f t="shared" si="175"/>
        <v>Atrasado</v>
      </c>
      <c r="AN513" s="27" t="str">
        <f t="shared" ca="1" si="174"/>
        <v>Estoque</v>
      </c>
      <c r="AO513" s="27" t="str">
        <f t="shared" ca="1" si="169"/>
        <v/>
      </c>
    </row>
    <row r="514" spans="1:41" ht="15" hidden="1" customHeight="1">
      <c r="D514" t="s">
        <v>1042</v>
      </c>
      <c r="E514" s="23" t="s">
        <v>1395</v>
      </c>
      <c r="F514" s="24"/>
      <c r="I514" s="26"/>
      <c r="L514" s="27" t="str">
        <f t="shared" si="172"/>
        <v xml:space="preserve"> </v>
      </c>
      <c r="N514" s="27" t="str">
        <f t="shared" si="171"/>
        <v xml:space="preserve"> </v>
      </c>
      <c r="O514" s="27">
        <f t="shared" si="177"/>
        <v>0</v>
      </c>
      <c r="P514" s="28" t="str">
        <f t="shared" si="170"/>
        <v>On time</v>
      </c>
      <c r="Q514" s="27">
        <f t="shared" si="178"/>
        <v>0</v>
      </c>
      <c r="R514" s="29" t="s">
        <v>1029</v>
      </c>
      <c r="S514" s="12" t="s">
        <v>1030</v>
      </c>
      <c r="T514" s="35">
        <v>12</v>
      </c>
      <c r="U514" t="s">
        <v>1042</v>
      </c>
      <c r="V514" s="27">
        <v>200</v>
      </c>
      <c r="W514" s="9">
        <v>10.63</v>
      </c>
      <c r="X514" s="9">
        <f t="shared" si="173"/>
        <v>2126</v>
      </c>
      <c r="Y514" s="111">
        <v>1.44</v>
      </c>
      <c r="Z514" s="10">
        <v>46106</v>
      </c>
      <c r="AA514" s="10">
        <v>46126</v>
      </c>
      <c r="AB514" s="10">
        <v>46141</v>
      </c>
      <c r="AC514" s="10">
        <v>46206</v>
      </c>
      <c r="AD514" s="31">
        <f t="shared" ca="1" si="180"/>
        <v>9</v>
      </c>
      <c r="AE514" s="36" t="s">
        <v>247</v>
      </c>
      <c r="AF514" t="s">
        <v>62</v>
      </c>
      <c r="AG514" s="10" t="s">
        <v>79</v>
      </c>
      <c r="AH514" s="10">
        <v>46141</v>
      </c>
      <c r="AI514" s="9" t="s">
        <v>53</v>
      </c>
      <c r="AL514" s="9" t="s">
        <v>2039</v>
      </c>
      <c r="AM514" s="27" t="str">
        <f t="shared" si="175"/>
        <v>Atrasado</v>
      </c>
      <c r="AN514" s="27" t="str">
        <f t="shared" ca="1" si="174"/>
        <v>Estoque</v>
      </c>
      <c r="AO514" s="27" t="str">
        <f t="shared" ca="1" si="169"/>
        <v/>
      </c>
    </row>
    <row r="515" spans="1:41" ht="15" hidden="1" customHeight="1">
      <c r="D515" t="s">
        <v>1043</v>
      </c>
      <c r="E515" s="23" t="s">
        <v>1396</v>
      </c>
      <c r="F515" s="24"/>
      <c r="I515" s="26"/>
      <c r="L515" s="27" t="str">
        <f t="shared" si="172"/>
        <v xml:space="preserve"> </v>
      </c>
      <c r="N515" s="27" t="str">
        <f t="shared" si="171"/>
        <v xml:space="preserve"> </v>
      </c>
      <c r="O515" s="27">
        <f t="shared" si="177"/>
        <v>0</v>
      </c>
      <c r="P515" s="28" t="str">
        <f t="shared" si="170"/>
        <v>On time</v>
      </c>
      <c r="Q515" s="27">
        <f t="shared" si="178"/>
        <v>0</v>
      </c>
      <c r="R515" s="29" t="s">
        <v>1029</v>
      </c>
      <c r="S515" s="12" t="s">
        <v>1030</v>
      </c>
      <c r="T515" s="35">
        <v>13</v>
      </c>
      <c r="U515" t="s">
        <v>1043</v>
      </c>
      <c r="V515" s="27">
        <v>300</v>
      </c>
      <c r="W515" s="9">
        <v>1.17</v>
      </c>
      <c r="X515" s="9">
        <f t="shared" si="173"/>
        <v>351</v>
      </c>
      <c r="Y515" s="111">
        <v>0.17899999999999999</v>
      </c>
      <c r="Z515" s="10">
        <v>46106</v>
      </c>
      <c r="AA515" s="10">
        <v>46126</v>
      </c>
      <c r="AB515" s="10">
        <v>46141</v>
      </c>
      <c r="AC515" s="10">
        <v>46206</v>
      </c>
      <c r="AD515" s="31">
        <f t="shared" ca="1" si="180"/>
        <v>9</v>
      </c>
      <c r="AE515" s="36" t="s">
        <v>247</v>
      </c>
      <c r="AF515" t="s">
        <v>62</v>
      </c>
      <c r="AG515" s="10" t="s">
        <v>79</v>
      </c>
      <c r="AH515" s="10">
        <v>46141</v>
      </c>
      <c r="AI515" s="9" t="s">
        <v>53</v>
      </c>
      <c r="AL515" s="9" t="s">
        <v>2039</v>
      </c>
      <c r="AM515" s="27" t="str">
        <f t="shared" si="175"/>
        <v>Atrasado</v>
      </c>
      <c r="AN515" s="27" t="str">
        <f t="shared" ca="1" si="174"/>
        <v>Estoque</v>
      </c>
      <c r="AO515" s="27" t="str">
        <f t="shared" ca="1" si="169"/>
        <v/>
      </c>
    </row>
    <row r="516" spans="1:41" ht="15" hidden="1" customHeight="1">
      <c r="A516">
        <v>513464</v>
      </c>
      <c r="B516">
        <v>5</v>
      </c>
      <c r="C516" t="s">
        <v>25</v>
      </c>
      <c r="D516" t="s">
        <v>1095</v>
      </c>
      <c r="E516" s="23" t="s">
        <v>1096</v>
      </c>
      <c r="F516" s="24">
        <v>40</v>
      </c>
      <c r="G516" s="25">
        <v>25.57</v>
      </c>
      <c r="H516" s="25">
        <f>G516*F516</f>
        <v>1022.8</v>
      </c>
      <c r="I516" s="26">
        <v>46230</v>
      </c>
      <c r="J516" s="10">
        <v>46101</v>
      </c>
      <c r="K516" s="10">
        <v>46101</v>
      </c>
      <c r="L516" s="27" t="str">
        <f t="shared" si="172"/>
        <v>On time</v>
      </c>
      <c r="M516" s="58">
        <v>46106</v>
      </c>
      <c r="N516" s="27" t="str">
        <f t="shared" si="171"/>
        <v>On time</v>
      </c>
      <c r="O516" s="27">
        <f t="shared" si="177"/>
        <v>5</v>
      </c>
      <c r="P516" s="28" t="str">
        <f t="shared" si="170"/>
        <v>On time</v>
      </c>
      <c r="Q516" s="27">
        <f t="shared" si="178"/>
        <v>129</v>
      </c>
      <c r="R516" s="29" t="s">
        <v>1029</v>
      </c>
      <c r="S516" s="12" t="s">
        <v>1030</v>
      </c>
      <c r="T516" s="71">
        <v>14</v>
      </c>
      <c r="U516" t="s">
        <v>1044</v>
      </c>
      <c r="V516" s="79">
        <v>3000</v>
      </c>
      <c r="W516" s="70">
        <v>1</v>
      </c>
      <c r="X516" s="80">
        <f t="shared" ref="X516" si="183">W516*V516</f>
        <v>3000</v>
      </c>
      <c r="Y516">
        <v>0.16</v>
      </c>
      <c r="Z516" s="10">
        <v>46106</v>
      </c>
      <c r="AA516" s="10">
        <v>46126</v>
      </c>
      <c r="AB516" s="10">
        <v>46141</v>
      </c>
      <c r="AC516" s="10">
        <v>46206</v>
      </c>
      <c r="AD516" s="31">
        <f t="shared" ca="1" si="180"/>
        <v>9</v>
      </c>
      <c r="AE516" s="36" t="s">
        <v>247</v>
      </c>
      <c r="AF516" t="s">
        <v>62</v>
      </c>
      <c r="AG516" s="10" t="s">
        <v>79</v>
      </c>
      <c r="AH516" s="10">
        <v>46141</v>
      </c>
      <c r="AI516" s="9" t="s">
        <v>53</v>
      </c>
      <c r="AL516" s="9" t="s">
        <v>2039</v>
      </c>
      <c r="AM516" s="27" t="str">
        <f t="shared" ref="AM516:AM520" si="184">IF(AB516=0," ",IF(AB516&lt;=AA516+10,"On time","Atrasado"))</f>
        <v>Atrasado</v>
      </c>
      <c r="AN516" s="27" t="str">
        <f t="shared" ca="1" si="174"/>
        <v>Alerta</v>
      </c>
      <c r="AO516" s="27" t="str">
        <f t="shared" ref="AO516:AO583" ca="1" si="185">IF(AN516="Chegou","Chegou HCI",IF(AND(AJ516&lt;&gt;"",AK516&lt;&gt;""),IF(TODAY()&gt;=AJ516,"Embarcado","Ag. embarque"),IF(AND(AJ516&lt;&gt;"",AK516=""),"Ag. booking","")))</f>
        <v/>
      </c>
    </row>
    <row r="517" spans="1:41" ht="15" hidden="1" customHeight="1">
      <c r="A517">
        <v>513464</v>
      </c>
      <c r="B517">
        <v>6</v>
      </c>
      <c r="C517" t="s">
        <v>25</v>
      </c>
      <c r="D517" t="s">
        <v>1095</v>
      </c>
      <c r="E517" s="23" t="s">
        <v>1096</v>
      </c>
      <c r="F517" s="24">
        <v>2</v>
      </c>
      <c r="G517" s="25">
        <v>25.57</v>
      </c>
      <c r="H517" s="25">
        <f t="shared" ref="H517:H524" si="186">G517*F517</f>
        <v>51.14</v>
      </c>
      <c r="I517" s="26">
        <v>46230</v>
      </c>
      <c r="J517" s="10">
        <v>46101</v>
      </c>
      <c r="K517" s="10">
        <v>46101</v>
      </c>
      <c r="L517" s="27" t="str">
        <f t="shared" si="172"/>
        <v>On time</v>
      </c>
      <c r="M517" s="58">
        <v>46106</v>
      </c>
      <c r="N517" s="27" t="str">
        <f t="shared" si="171"/>
        <v>On time</v>
      </c>
      <c r="O517" s="27">
        <f t="shared" si="177"/>
        <v>5</v>
      </c>
      <c r="P517" s="28" t="str">
        <f t="shared" ref="P517:P584" si="187">IF(Z517=0," ",IF(M517&gt;=Z517+6,"Atrasado","On time"))</f>
        <v>On time</v>
      </c>
      <c r="Q517" s="27">
        <f t="shared" si="178"/>
        <v>129</v>
      </c>
      <c r="R517" s="29" t="s">
        <v>1029</v>
      </c>
      <c r="S517" s="12" t="s">
        <v>1030</v>
      </c>
      <c r="T517" s="71">
        <v>14</v>
      </c>
      <c r="U517" t="s">
        <v>1044</v>
      </c>
      <c r="V517" s="79"/>
      <c r="W517" s="70">
        <v>1</v>
      </c>
      <c r="X517" s="80"/>
      <c r="Y517">
        <v>0.16</v>
      </c>
      <c r="Z517" s="10">
        <v>46106</v>
      </c>
      <c r="AA517" s="10">
        <v>46126</v>
      </c>
      <c r="AB517" s="10">
        <v>46141</v>
      </c>
      <c r="AC517" s="10">
        <v>46206</v>
      </c>
      <c r="AD517" s="31">
        <f t="shared" ca="1" si="180"/>
        <v>9</v>
      </c>
      <c r="AE517" s="36" t="s">
        <v>247</v>
      </c>
      <c r="AF517" t="s">
        <v>62</v>
      </c>
      <c r="AG517" s="10" t="s">
        <v>79</v>
      </c>
      <c r="AH517" s="10">
        <v>46141</v>
      </c>
      <c r="AI517" s="9" t="s">
        <v>53</v>
      </c>
      <c r="AL517" s="9" t="s">
        <v>2039</v>
      </c>
      <c r="AM517" s="27" t="str">
        <f t="shared" si="184"/>
        <v>Atrasado</v>
      </c>
      <c r="AN517" s="27" t="str">
        <f t="shared" ca="1" si="174"/>
        <v>Alerta</v>
      </c>
      <c r="AO517" s="27" t="str">
        <f t="shared" ca="1" si="185"/>
        <v/>
      </c>
    </row>
    <row r="518" spans="1:41" ht="15" hidden="1" customHeight="1">
      <c r="A518">
        <v>513464</v>
      </c>
      <c r="B518">
        <v>7</v>
      </c>
      <c r="C518" t="s">
        <v>25</v>
      </c>
      <c r="D518" t="s">
        <v>1095</v>
      </c>
      <c r="E518" s="23" t="s">
        <v>1096</v>
      </c>
      <c r="F518" s="24">
        <v>4</v>
      </c>
      <c r="G518" s="25">
        <v>25.57</v>
      </c>
      <c r="H518" s="25">
        <f t="shared" si="186"/>
        <v>102.28</v>
      </c>
      <c r="I518" s="26">
        <v>46230</v>
      </c>
      <c r="J518" s="10">
        <v>46101</v>
      </c>
      <c r="K518" s="10">
        <v>46101</v>
      </c>
      <c r="L518" s="27" t="str">
        <f t="shared" si="172"/>
        <v>On time</v>
      </c>
      <c r="M518" s="58">
        <v>46106</v>
      </c>
      <c r="N518" s="27" t="str">
        <f t="shared" si="171"/>
        <v>On time</v>
      </c>
      <c r="O518" s="27">
        <f t="shared" si="177"/>
        <v>5</v>
      </c>
      <c r="P518" s="28" t="str">
        <f t="shared" si="187"/>
        <v>On time</v>
      </c>
      <c r="Q518" s="27">
        <f t="shared" si="178"/>
        <v>129</v>
      </c>
      <c r="R518" s="29" t="s">
        <v>1029</v>
      </c>
      <c r="S518" s="12" t="s">
        <v>1030</v>
      </c>
      <c r="T518" s="71">
        <v>14</v>
      </c>
      <c r="U518" t="s">
        <v>1044</v>
      </c>
      <c r="V518" s="79"/>
      <c r="W518" s="70">
        <v>1</v>
      </c>
      <c r="X518" s="80"/>
      <c r="Y518">
        <v>0.16</v>
      </c>
      <c r="Z518" s="10">
        <v>46106</v>
      </c>
      <c r="AA518" s="10">
        <v>46126</v>
      </c>
      <c r="AB518" s="10">
        <v>46141</v>
      </c>
      <c r="AC518" s="10">
        <v>46206</v>
      </c>
      <c r="AD518" s="31">
        <f t="shared" ca="1" si="180"/>
        <v>9</v>
      </c>
      <c r="AE518" s="36" t="s">
        <v>247</v>
      </c>
      <c r="AF518" t="s">
        <v>62</v>
      </c>
      <c r="AG518" s="10" t="s">
        <v>79</v>
      </c>
      <c r="AH518" s="10">
        <v>46141</v>
      </c>
      <c r="AI518" s="9" t="s">
        <v>53</v>
      </c>
      <c r="AL518" s="9" t="s">
        <v>2039</v>
      </c>
      <c r="AM518" s="27" t="str">
        <f t="shared" si="184"/>
        <v>Atrasado</v>
      </c>
      <c r="AN518" s="27" t="str">
        <f t="shared" ca="1" si="174"/>
        <v>Alerta</v>
      </c>
      <c r="AO518" s="27" t="str">
        <f t="shared" ca="1" si="185"/>
        <v/>
      </c>
    </row>
    <row r="519" spans="1:41" ht="15" hidden="1" customHeight="1">
      <c r="A519">
        <v>513464</v>
      </c>
      <c r="B519">
        <v>14</v>
      </c>
      <c r="C519" t="s">
        <v>25</v>
      </c>
      <c r="D519" t="s">
        <v>1095</v>
      </c>
      <c r="E519" s="23" t="s">
        <v>1096</v>
      </c>
      <c r="F519" s="24">
        <v>172</v>
      </c>
      <c r="G519" s="25">
        <v>25.57</v>
      </c>
      <c r="H519" s="25">
        <f t="shared" si="186"/>
        <v>4398.04</v>
      </c>
      <c r="I519" s="26">
        <v>46230</v>
      </c>
      <c r="J519" s="10">
        <v>46101</v>
      </c>
      <c r="K519" s="10">
        <v>46101</v>
      </c>
      <c r="L519" s="27" t="str">
        <f t="shared" si="172"/>
        <v>On time</v>
      </c>
      <c r="M519" s="58">
        <v>46106</v>
      </c>
      <c r="N519" s="27" t="str">
        <f t="shared" si="171"/>
        <v>On time</v>
      </c>
      <c r="O519" s="27">
        <f t="shared" si="177"/>
        <v>5</v>
      </c>
      <c r="P519" s="28" t="str">
        <f t="shared" si="187"/>
        <v>On time</v>
      </c>
      <c r="Q519" s="27">
        <f t="shared" si="178"/>
        <v>129</v>
      </c>
      <c r="R519" s="29" t="s">
        <v>1029</v>
      </c>
      <c r="S519" s="12" t="s">
        <v>1030</v>
      </c>
      <c r="T519" s="71">
        <v>14</v>
      </c>
      <c r="U519" t="s">
        <v>1044</v>
      </c>
      <c r="V519" s="79"/>
      <c r="W519" s="70">
        <v>1</v>
      </c>
      <c r="X519" s="80"/>
      <c r="Y519">
        <v>0.16</v>
      </c>
      <c r="Z519" s="10">
        <v>46106</v>
      </c>
      <c r="AA519" s="10">
        <v>46126</v>
      </c>
      <c r="AB519" s="10">
        <v>46141</v>
      </c>
      <c r="AC519" s="10">
        <v>46206</v>
      </c>
      <c r="AD519" s="31">
        <f t="shared" ca="1" si="180"/>
        <v>9</v>
      </c>
      <c r="AE519" s="36" t="s">
        <v>247</v>
      </c>
      <c r="AF519" t="s">
        <v>62</v>
      </c>
      <c r="AG519" s="10" t="s">
        <v>79</v>
      </c>
      <c r="AH519" s="10">
        <v>46141</v>
      </c>
      <c r="AI519" s="9" t="s">
        <v>53</v>
      </c>
      <c r="AL519" s="9" t="s">
        <v>2039</v>
      </c>
      <c r="AM519" s="27" t="str">
        <f t="shared" si="184"/>
        <v>Atrasado</v>
      </c>
      <c r="AN519" s="27" t="str">
        <f t="shared" ca="1" si="174"/>
        <v>Alerta</v>
      </c>
      <c r="AO519" s="27" t="str">
        <f t="shared" ca="1" si="185"/>
        <v/>
      </c>
    </row>
    <row r="520" spans="1:41" ht="15" hidden="1" customHeight="1">
      <c r="A520">
        <v>513485</v>
      </c>
      <c r="B520">
        <v>2</v>
      </c>
      <c r="C520" t="s">
        <v>25</v>
      </c>
      <c r="D520" t="s">
        <v>1095</v>
      </c>
      <c r="E520" s="23" t="s">
        <v>1096</v>
      </c>
      <c r="F520" s="24">
        <v>7</v>
      </c>
      <c r="G520" s="25">
        <v>21.59</v>
      </c>
      <c r="H520" s="25">
        <f t="shared" si="186"/>
        <v>151.13</v>
      </c>
      <c r="I520" s="26">
        <v>46234</v>
      </c>
      <c r="J520" s="10">
        <v>46101</v>
      </c>
      <c r="K520" s="10">
        <v>46101</v>
      </c>
      <c r="L520" s="27" t="str">
        <f t="shared" si="172"/>
        <v>On time</v>
      </c>
      <c r="M520" s="58">
        <v>46106</v>
      </c>
      <c r="N520" s="27" t="str">
        <f t="shared" si="171"/>
        <v>On time</v>
      </c>
      <c r="O520" s="27">
        <f t="shared" si="177"/>
        <v>5</v>
      </c>
      <c r="P520" s="28" t="str">
        <f t="shared" si="187"/>
        <v>On time</v>
      </c>
      <c r="Q520" s="27">
        <f t="shared" si="178"/>
        <v>133</v>
      </c>
      <c r="R520" s="29" t="s">
        <v>1029</v>
      </c>
      <c r="S520" s="12" t="s">
        <v>1030</v>
      </c>
      <c r="T520" s="71">
        <v>14</v>
      </c>
      <c r="U520" t="s">
        <v>1044</v>
      </c>
      <c r="V520" s="79"/>
      <c r="W520" s="70">
        <v>1</v>
      </c>
      <c r="X520" s="80"/>
      <c r="Y520">
        <v>0.16</v>
      </c>
      <c r="Z520" s="10">
        <v>46106</v>
      </c>
      <c r="AA520" s="10">
        <v>46126</v>
      </c>
      <c r="AB520" s="10">
        <v>46141</v>
      </c>
      <c r="AC520" s="10">
        <v>46206</v>
      </c>
      <c r="AD520" s="31">
        <f t="shared" ca="1" si="180"/>
        <v>9</v>
      </c>
      <c r="AE520" s="36" t="s">
        <v>247</v>
      </c>
      <c r="AF520" t="s">
        <v>62</v>
      </c>
      <c r="AG520" s="10" t="s">
        <v>79</v>
      </c>
      <c r="AH520" s="10">
        <v>46141</v>
      </c>
      <c r="AI520" s="9" t="s">
        <v>53</v>
      </c>
      <c r="AL520" s="9" t="s">
        <v>2039</v>
      </c>
      <c r="AM520" s="27" t="str">
        <f t="shared" si="184"/>
        <v>Atrasado</v>
      </c>
      <c r="AN520" s="27" t="str">
        <f t="shared" ca="1" si="174"/>
        <v>No prazo</v>
      </c>
      <c r="AO520" s="27" t="str">
        <f t="shared" ca="1" si="185"/>
        <v/>
      </c>
    </row>
    <row r="521" spans="1:41" ht="15" hidden="1" customHeight="1">
      <c r="A521">
        <v>513435</v>
      </c>
      <c r="B521">
        <v>16</v>
      </c>
      <c r="C521" t="s">
        <v>25</v>
      </c>
      <c r="D521" t="s">
        <v>1095</v>
      </c>
      <c r="E521" s="23" t="s">
        <v>1096</v>
      </c>
      <c r="F521" s="24">
        <v>158</v>
      </c>
      <c r="G521" s="25">
        <v>25.57</v>
      </c>
      <c r="H521" s="25">
        <f t="shared" si="186"/>
        <v>4040.06</v>
      </c>
      <c r="I521" s="26">
        <v>46230</v>
      </c>
      <c r="J521" s="10">
        <v>46101</v>
      </c>
      <c r="K521" s="10">
        <v>46101</v>
      </c>
      <c r="L521" s="27" t="str">
        <f t="shared" si="172"/>
        <v>On time</v>
      </c>
      <c r="M521" s="58">
        <v>46106</v>
      </c>
      <c r="N521" s="27" t="str">
        <f t="shared" si="171"/>
        <v>On time</v>
      </c>
      <c r="O521" s="27">
        <f t="shared" si="177"/>
        <v>5</v>
      </c>
      <c r="P521" s="28" t="str">
        <f t="shared" si="187"/>
        <v>On time</v>
      </c>
      <c r="Q521" s="27">
        <f t="shared" si="178"/>
        <v>129</v>
      </c>
      <c r="R521" s="29" t="s">
        <v>1029</v>
      </c>
      <c r="S521" s="12" t="s">
        <v>1030</v>
      </c>
      <c r="T521" s="71">
        <v>14</v>
      </c>
      <c r="U521" t="s">
        <v>1044</v>
      </c>
      <c r="V521" s="79"/>
      <c r="W521" s="70">
        <v>1</v>
      </c>
      <c r="X521" s="80"/>
      <c r="Y521">
        <v>0.16</v>
      </c>
      <c r="Z521" s="10">
        <v>46106</v>
      </c>
      <c r="AA521" s="10">
        <v>46126</v>
      </c>
      <c r="AB521" s="10">
        <v>46141</v>
      </c>
      <c r="AC521" s="10">
        <v>46206</v>
      </c>
      <c r="AD521" s="31">
        <f t="shared" ca="1" si="180"/>
        <v>9</v>
      </c>
      <c r="AE521" s="36" t="s">
        <v>247</v>
      </c>
      <c r="AF521" t="s">
        <v>62</v>
      </c>
      <c r="AG521" s="10" t="s">
        <v>79</v>
      </c>
      <c r="AH521" s="10">
        <v>46141</v>
      </c>
      <c r="AI521" s="9" t="s">
        <v>53</v>
      </c>
      <c r="AL521" s="9" t="s">
        <v>2039</v>
      </c>
      <c r="AM521" s="27" t="str">
        <f t="shared" si="175"/>
        <v>Atrasado</v>
      </c>
      <c r="AN521" s="27" t="str">
        <f t="shared" ca="1" si="174"/>
        <v>Alerta</v>
      </c>
      <c r="AO521" s="27" t="str">
        <f t="shared" ca="1" si="185"/>
        <v/>
      </c>
    </row>
    <row r="522" spans="1:41" ht="15" hidden="1" customHeight="1">
      <c r="A522">
        <v>514157</v>
      </c>
      <c r="B522">
        <v>1</v>
      </c>
      <c r="C522" t="s">
        <v>25</v>
      </c>
      <c r="D522" t="s">
        <v>1095</v>
      </c>
      <c r="E522" s="23" t="s">
        <v>1096</v>
      </c>
      <c r="F522" s="24">
        <v>12</v>
      </c>
      <c r="G522" s="25">
        <v>25.57</v>
      </c>
      <c r="H522" s="25">
        <f t="shared" si="186"/>
        <v>306.84000000000003</v>
      </c>
      <c r="I522" s="26">
        <v>46244</v>
      </c>
      <c r="J522" s="10">
        <v>46111</v>
      </c>
      <c r="K522" s="10">
        <v>46112</v>
      </c>
      <c r="L522" s="27" t="str">
        <f t="shared" si="172"/>
        <v>On time</v>
      </c>
      <c r="M522" s="58">
        <v>46106</v>
      </c>
      <c r="N522" s="27" t="str">
        <f t="shared" ref="N522:N524" si="188">IF(J522=0," ",IF(M522&lt;=J522+6,"On time","Atrasado"))</f>
        <v>On time</v>
      </c>
      <c r="O522" s="27">
        <f t="shared" ref="O522:O524" si="189">M522-J522</f>
        <v>-5</v>
      </c>
      <c r="P522" s="28" t="str">
        <f t="shared" ref="P522:P524" si="190">IF(Z522=0," ",IF(M522&gt;=Z522+6,"Atrasado","On time"))</f>
        <v>On time</v>
      </c>
      <c r="Q522" s="27">
        <f t="shared" ref="Q522:Q524" si="191">I522-J522</f>
        <v>133</v>
      </c>
      <c r="R522" s="29" t="s">
        <v>1029</v>
      </c>
      <c r="S522" s="12" t="s">
        <v>1030</v>
      </c>
      <c r="T522" s="71">
        <v>14</v>
      </c>
      <c r="U522" t="s">
        <v>1044</v>
      </c>
      <c r="V522" s="79"/>
      <c r="W522" s="70">
        <v>1</v>
      </c>
      <c r="X522" s="80"/>
      <c r="Y522">
        <v>0.16</v>
      </c>
      <c r="Z522" s="10">
        <v>46106</v>
      </c>
      <c r="AA522" s="10">
        <v>46126</v>
      </c>
      <c r="AB522" s="10">
        <v>46141</v>
      </c>
      <c r="AC522" s="10">
        <v>46206</v>
      </c>
      <c r="AD522" s="31">
        <f t="shared" ref="AD522:AD524" ca="1" si="192">TODAY()-AA522</f>
        <v>9</v>
      </c>
      <c r="AE522" s="36" t="s">
        <v>247</v>
      </c>
      <c r="AF522" t="s">
        <v>62</v>
      </c>
      <c r="AG522" s="10" t="s">
        <v>79</v>
      </c>
      <c r="AH522" s="10">
        <v>46141</v>
      </c>
      <c r="AI522" s="9" t="s">
        <v>53</v>
      </c>
      <c r="AL522" s="9" t="s">
        <v>2039</v>
      </c>
      <c r="AM522" s="27" t="str">
        <f t="shared" ref="AM522:AM524" si="193">IF(AB522=0," ",IF(AB522&lt;=AA522+10,"On time","Atrasado"))</f>
        <v>Atrasado</v>
      </c>
      <c r="AN522" s="27" t="str">
        <f t="shared" ref="AN522:AN524" ca="1" si="194">IF(AND(AC522&lt;&gt;"",AC522&lt;=TODAY()),"Chegou",IF(A522="","Estoque",IF(OR(AC522="",I522=""),"",IF(I522-AC522&lt;=0,"Atrasado",IF(I522-AC522&lt;=9,"Crítico",IF(I522-AC522&lt;=20,"Verificar aéreo",IF(I522-AC522&lt;=25,"Alerta","No prazo")        ))))))</f>
        <v>No prazo</v>
      </c>
      <c r="AO522" s="27" t="str">
        <f t="shared" ref="AO522:AO524" ca="1" si="195">IF(AN522="Chegou","Chegou HCI",IF(AND(AJ522&lt;&gt;"",AK522&lt;&gt;""),IF(TODAY()&gt;=AJ522,"Embarcado","Ag. embarque"),IF(AND(AJ522&lt;&gt;"",AK522=""),"Ag. booking","")))</f>
        <v/>
      </c>
    </row>
    <row r="523" spans="1:41" ht="15" hidden="1" customHeight="1">
      <c r="A523">
        <v>514509</v>
      </c>
      <c r="B523">
        <v>2</v>
      </c>
      <c r="C523" t="s">
        <v>25</v>
      </c>
      <c r="D523" t="s">
        <v>1095</v>
      </c>
      <c r="E523" s="23" t="s">
        <v>1096</v>
      </c>
      <c r="F523" s="24">
        <v>34</v>
      </c>
      <c r="G523" s="25">
        <v>21.59</v>
      </c>
      <c r="H523" s="25">
        <f t="shared" si="186"/>
        <v>734.06</v>
      </c>
      <c r="I523" s="26">
        <v>46248</v>
      </c>
      <c r="J523" s="10">
        <v>46114</v>
      </c>
      <c r="K523" s="10">
        <v>46118</v>
      </c>
      <c r="L523" s="27" t="str">
        <f t="shared" si="172"/>
        <v>On time</v>
      </c>
      <c r="M523" s="58">
        <v>46106</v>
      </c>
      <c r="N523" s="27" t="str">
        <f t="shared" si="188"/>
        <v>On time</v>
      </c>
      <c r="O523" s="27">
        <f t="shared" si="189"/>
        <v>-8</v>
      </c>
      <c r="P523" s="28" t="str">
        <f t="shared" si="190"/>
        <v>On time</v>
      </c>
      <c r="Q523" s="27">
        <f t="shared" si="191"/>
        <v>134</v>
      </c>
      <c r="R523" s="29" t="s">
        <v>1029</v>
      </c>
      <c r="S523" s="12" t="s">
        <v>1030</v>
      </c>
      <c r="T523" s="71">
        <v>14</v>
      </c>
      <c r="U523" t="s">
        <v>1044</v>
      </c>
      <c r="V523" s="79"/>
      <c r="W523" s="70">
        <v>1</v>
      </c>
      <c r="X523" s="80"/>
      <c r="Y523">
        <v>0.16</v>
      </c>
      <c r="Z523" s="10">
        <v>46106</v>
      </c>
      <c r="AA523" s="10">
        <v>46126</v>
      </c>
      <c r="AB523" s="10">
        <v>46141</v>
      </c>
      <c r="AC523" s="10">
        <v>46206</v>
      </c>
      <c r="AD523" s="31">
        <f t="shared" ca="1" si="192"/>
        <v>9</v>
      </c>
      <c r="AE523" s="36" t="s">
        <v>247</v>
      </c>
      <c r="AF523" t="s">
        <v>62</v>
      </c>
      <c r="AG523" s="10" t="s">
        <v>79</v>
      </c>
      <c r="AH523" s="10">
        <v>46141</v>
      </c>
      <c r="AI523" s="9" t="s">
        <v>53</v>
      </c>
      <c r="AL523" s="9" t="s">
        <v>2039</v>
      </c>
      <c r="AM523" s="27" t="str">
        <f t="shared" si="193"/>
        <v>Atrasado</v>
      </c>
      <c r="AN523" s="27" t="str">
        <f t="shared" ca="1" si="194"/>
        <v>No prazo</v>
      </c>
      <c r="AO523" s="27" t="str">
        <f t="shared" ca="1" si="195"/>
        <v/>
      </c>
    </row>
    <row r="524" spans="1:41" ht="15" hidden="1" customHeight="1">
      <c r="A524">
        <v>514583</v>
      </c>
      <c r="B524">
        <v>1</v>
      </c>
      <c r="C524" t="s">
        <v>25</v>
      </c>
      <c r="D524" t="s">
        <v>1095</v>
      </c>
      <c r="E524" s="23" t="s">
        <v>1096</v>
      </c>
      <c r="F524" s="24">
        <v>2</v>
      </c>
      <c r="G524" s="25">
        <v>25.57</v>
      </c>
      <c r="H524" s="25">
        <f t="shared" si="186"/>
        <v>51.14</v>
      </c>
      <c r="I524" s="26">
        <v>46248</v>
      </c>
      <c r="J524" s="10">
        <v>46118</v>
      </c>
      <c r="K524" s="10">
        <v>46118</v>
      </c>
      <c r="L524" s="27" t="str">
        <f t="shared" si="172"/>
        <v>On time</v>
      </c>
      <c r="M524" s="58">
        <v>46106</v>
      </c>
      <c r="N524" s="27" t="str">
        <f t="shared" si="188"/>
        <v>On time</v>
      </c>
      <c r="O524" s="27">
        <f t="shared" si="189"/>
        <v>-12</v>
      </c>
      <c r="P524" s="28" t="str">
        <f t="shared" si="190"/>
        <v>On time</v>
      </c>
      <c r="Q524" s="27">
        <f t="shared" si="191"/>
        <v>130</v>
      </c>
      <c r="R524" s="29" t="s">
        <v>1029</v>
      </c>
      <c r="S524" s="12" t="s">
        <v>1030</v>
      </c>
      <c r="T524" s="71">
        <v>14</v>
      </c>
      <c r="U524" t="s">
        <v>1044</v>
      </c>
      <c r="V524" s="79"/>
      <c r="W524" s="70">
        <v>1</v>
      </c>
      <c r="X524" s="80"/>
      <c r="Y524">
        <v>0.16</v>
      </c>
      <c r="Z524" s="10">
        <v>46106</v>
      </c>
      <c r="AA524" s="10">
        <v>46126</v>
      </c>
      <c r="AB524" s="10">
        <v>46141</v>
      </c>
      <c r="AC524" s="10">
        <v>46206</v>
      </c>
      <c r="AD524" s="31">
        <f t="shared" ca="1" si="192"/>
        <v>9</v>
      </c>
      <c r="AE524" s="36" t="s">
        <v>247</v>
      </c>
      <c r="AF524" t="s">
        <v>62</v>
      </c>
      <c r="AG524" s="10" t="s">
        <v>79</v>
      </c>
      <c r="AH524" s="10">
        <v>46141</v>
      </c>
      <c r="AI524" s="9" t="s">
        <v>53</v>
      </c>
      <c r="AL524" s="9" t="s">
        <v>2039</v>
      </c>
      <c r="AM524" s="27" t="str">
        <f t="shared" si="193"/>
        <v>Atrasado</v>
      </c>
      <c r="AN524" s="27" t="str">
        <f t="shared" ca="1" si="194"/>
        <v>No prazo</v>
      </c>
      <c r="AO524" s="27" t="str">
        <f t="shared" ca="1" si="195"/>
        <v/>
      </c>
    </row>
    <row r="525" spans="1:41" ht="15" hidden="1" customHeight="1">
      <c r="D525" t="s">
        <v>1045</v>
      </c>
      <c r="E525" s="23" t="s">
        <v>1398</v>
      </c>
      <c r="F525" s="24"/>
      <c r="I525" s="26"/>
      <c r="L525" s="27" t="str">
        <f t="shared" si="172"/>
        <v xml:space="preserve"> </v>
      </c>
      <c r="N525" s="27" t="str">
        <f t="shared" si="171"/>
        <v xml:space="preserve"> </v>
      </c>
      <c r="O525" s="27">
        <f t="shared" si="177"/>
        <v>0</v>
      </c>
      <c r="P525" s="28" t="str">
        <f t="shared" si="187"/>
        <v>On time</v>
      </c>
      <c r="Q525" s="27">
        <f t="shared" si="178"/>
        <v>0</v>
      </c>
      <c r="R525" s="29" t="s">
        <v>1029</v>
      </c>
      <c r="S525" s="12" t="s">
        <v>1030</v>
      </c>
      <c r="T525" s="35">
        <v>15</v>
      </c>
      <c r="U525" t="s">
        <v>1045</v>
      </c>
      <c r="V525" s="27">
        <v>1000</v>
      </c>
      <c r="W525" s="9">
        <v>1.44</v>
      </c>
      <c r="X525" s="9">
        <f t="shared" si="173"/>
        <v>1440</v>
      </c>
      <c r="Y525">
        <v>0.19500000000000001</v>
      </c>
      <c r="Z525" s="10">
        <v>46106</v>
      </c>
      <c r="AA525" s="10">
        <v>46126</v>
      </c>
      <c r="AB525" s="10">
        <v>46141</v>
      </c>
      <c r="AC525" s="10">
        <v>46206</v>
      </c>
      <c r="AD525" s="31">
        <f t="shared" ca="1" si="180"/>
        <v>9</v>
      </c>
      <c r="AE525" s="36" t="s">
        <v>247</v>
      </c>
      <c r="AF525" t="s">
        <v>62</v>
      </c>
      <c r="AG525" s="10" t="s">
        <v>79</v>
      </c>
      <c r="AH525" s="10">
        <v>46141</v>
      </c>
      <c r="AI525" s="9" t="s">
        <v>53</v>
      </c>
      <c r="AL525" s="9" t="s">
        <v>2039</v>
      </c>
      <c r="AM525" s="27" t="str">
        <f t="shared" si="175"/>
        <v>Atrasado</v>
      </c>
      <c r="AN525" s="27" t="str">
        <f t="shared" ca="1" si="174"/>
        <v>Estoque</v>
      </c>
      <c r="AO525" s="27" t="str">
        <f t="shared" ca="1" si="185"/>
        <v/>
      </c>
    </row>
    <row r="526" spans="1:41" ht="15" hidden="1" customHeight="1">
      <c r="D526" t="s">
        <v>1046</v>
      </c>
      <c r="E526" s="23" t="s">
        <v>1399</v>
      </c>
      <c r="F526" s="24"/>
      <c r="I526" s="26"/>
      <c r="L526" s="27" t="str">
        <f t="shared" si="172"/>
        <v xml:space="preserve"> </v>
      </c>
      <c r="N526" s="27" t="str">
        <f t="shared" ref="N526:N590" si="196">IF(J526=0," ",IF(M526&lt;=J526+6,"On time","Atrasado"))</f>
        <v xml:space="preserve"> </v>
      </c>
      <c r="O526" s="27">
        <f t="shared" si="177"/>
        <v>0</v>
      </c>
      <c r="P526" s="28" t="str">
        <f t="shared" si="187"/>
        <v>On time</v>
      </c>
      <c r="Q526" s="27">
        <f t="shared" si="178"/>
        <v>0</v>
      </c>
      <c r="R526" s="29" t="s">
        <v>1029</v>
      </c>
      <c r="S526" s="12" t="s">
        <v>1030</v>
      </c>
      <c r="T526" s="35">
        <v>16</v>
      </c>
      <c r="U526" t="s">
        <v>1046</v>
      </c>
      <c r="V526" s="27">
        <v>200</v>
      </c>
      <c r="W526" s="9">
        <v>1.76</v>
      </c>
      <c r="X526" s="9">
        <f t="shared" si="173"/>
        <v>352</v>
      </c>
      <c r="Y526">
        <v>0.19500000000000001</v>
      </c>
      <c r="Z526" s="10">
        <v>46106</v>
      </c>
      <c r="AA526" s="10">
        <v>46126</v>
      </c>
      <c r="AB526" s="10">
        <v>46141</v>
      </c>
      <c r="AC526" s="10">
        <v>46206</v>
      </c>
      <c r="AD526" s="31">
        <f t="shared" ca="1" si="180"/>
        <v>9</v>
      </c>
      <c r="AE526" s="36" t="s">
        <v>247</v>
      </c>
      <c r="AF526" t="s">
        <v>62</v>
      </c>
      <c r="AG526" s="10" t="s">
        <v>79</v>
      </c>
      <c r="AH526" s="10">
        <v>46141</v>
      </c>
      <c r="AI526" s="9" t="s">
        <v>53</v>
      </c>
      <c r="AL526" s="9" t="s">
        <v>2039</v>
      </c>
      <c r="AM526" s="27" t="str">
        <f t="shared" si="175"/>
        <v>Atrasado</v>
      </c>
      <c r="AN526" s="27" t="str">
        <f t="shared" ca="1" si="174"/>
        <v>Estoque</v>
      </c>
      <c r="AO526" s="27" t="str">
        <f t="shared" ca="1" si="185"/>
        <v/>
      </c>
    </row>
    <row r="527" spans="1:41" ht="15" hidden="1" customHeight="1">
      <c r="D527" t="s">
        <v>1047</v>
      </c>
      <c r="E527" s="23" t="s">
        <v>1400</v>
      </c>
      <c r="F527" s="24"/>
      <c r="I527" s="26"/>
      <c r="L527" s="27" t="str">
        <f t="shared" ref="L527:L591" si="197">IF(J527=0," ",IF(K527&lt;=J527+6,"On time","Atrasado"))</f>
        <v xml:space="preserve"> </v>
      </c>
      <c r="N527" s="27" t="str">
        <f t="shared" si="196"/>
        <v xml:space="preserve"> </v>
      </c>
      <c r="O527" s="27">
        <f t="shared" si="177"/>
        <v>0</v>
      </c>
      <c r="P527" s="28" t="str">
        <f t="shared" si="187"/>
        <v>On time</v>
      </c>
      <c r="Q527" s="27">
        <f t="shared" si="178"/>
        <v>0</v>
      </c>
      <c r="R527" s="29" t="s">
        <v>1029</v>
      </c>
      <c r="S527" s="12" t="s">
        <v>1030</v>
      </c>
      <c r="T527" s="35">
        <v>17</v>
      </c>
      <c r="U527" t="s">
        <v>1047</v>
      </c>
      <c r="V527" s="27">
        <v>1000</v>
      </c>
      <c r="W527" s="9">
        <v>1.59</v>
      </c>
      <c r="X527" s="9">
        <f t="shared" si="173"/>
        <v>1590</v>
      </c>
      <c r="Y527">
        <v>0.28000000000000003</v>
      </c>
      <c r="Z527" s="10">
        <v>46106</v>
      </c>
      <c r="AA527" s="10">
        <v>46126</v>
      </c>
      <c r="AB527" s="10">
        <v>46141</v>
      </c>
      <c r="AC527" s="10">
        <v>46206</v>
      </c>
      <c r="AD527" s="31">
        <f t="shared" ca="1" si="180"/>
        <v>9</v>
      </c>
      <c r="AE527" s="36" t="s">
        <v>247</v>
      </c>
      <c r="AF527" t="s">
        <v>62</v>
      </c>
      <c r="AG527" s="10" t="s">
        <v>79</v>
      </c>
      <c r="AH527" s="10">
        <v>46141</v>
      </c>
      <c r="AI527" s="9" t="s">
        <v>53</v>
      </c>
      <c r="AL527" s="9" t="s">
        <v>2039</v>
      </c>
      <c r="AM527" s="27" t="str">
        <f t="shared" si="175"/>
        <v>Atrasado</v>
      </c>
      <c r="AN527" s="27" t="str">
        <f t="shared" ca="1" si="174"/>
        <v>Estoque</v>
      </c>
      <c r="AO527" s="27" t="str">
        <f t="shared" ca="1" si="185"/>
        <v/>
      </c>
    </row>
    <row r="528" spans="1:41" ht="15" hidden="1" customHeight="1">
      <c r="A528">
        <v>515476</v>
      </c>
      <c r="B528">
        <v>1</v>
      </c>
      <c r="C528" t="s">
        <v>25</v>
      </c>
      <c r="D528" t="s">
        <v>1048</v>
      </c>
      <c r="E528" s="23" t="s">
        <v>1401</v>
      </c>
      <c r="F528" s="24">
        <v>147</v>
      </c>
      <c r="G528" s="25">
        <v>9.26</v>
      </c>
      <c r="H528" s="25">
        <f>G528*F528</f>
        <v>1361.22</v>
      </c>
      <c r="I528" s="26">
        <v>46259</v>
      </c>
      <c r="J528" s="10">
        <v>46129</v>
      </c>
      <c r="K528" s="10">
        <v>46129</v>
      </c>
      <c r="L528" s="27" t="str">
        <f t="shared" si="197"/>
        <v>On time</v>
      </c>
      <c r="M528" s="58">
        <v>46106</v>
      </c>
      <c r="N528" s="27" t="str">
        <f t="shared" si="196"/>
        <v>On time</v>
      </c>
      <c r="O528" s="27">
        <f t="shared" si="177"/>
        <v>-23</v>
      </c>
      <c r="P528" s="28" t="str">
        <f t="shared" si="187"/>
        <v>On time</v>
      </c>
      <c r="Q528" s="27">
        <f t="shared" si="178"/>
        <v>130</v>
      </c>
      <c r="R528" s="29" t="s">
        <v>1029</v>
      </c>
      <c r="S528" s="12" t="s">
        <v>1030</v>
      </c>
      <c r="T528" s="35">
        <v>18</v>
      </c>
      <c r="U528" t="s">
        <v>1048</v>
      </c>
      <c r="V528" s="27">
        <v>5000</v>
      </c>
      <c r="W528" s="9">
        <v>0.42</v>
      </c>
      <c r="X528" s="9">
        <f t="shared" si="173"/>
        <v>2100</v>
      </c>
      <c r="Y528">
        <v>4.8000000000000001E-2</v>
      </c>
      <c r="Z528" s="10">
        <v>46106</v>
      </c>
      <c r="AA528" s="10">
        <v>46126</v>
      </c>
      <c r="AB528" s="10">
        <v>46141</v>
      </c>
      <c r="AC528" s="10">
        <v>46206</v>
      </c>
      <c r="AD528" s="31">
        <f t="shared" ca="1" si="180"/>
        <v>9</v>
      </c>
      <c r="AE528" s="36" t="s">
        <v>247</v>
      </c>
      <c r="AF528" t="s">
        <v>62</v>
      </c>
      <c r="AG528" s="10" t="s">
        <v>79</v>
      </c>
      <c r="AH528" s="10">
        <v>46141</v>
      </c>
      <c r="AI528" s="9" t="s">
        <v>53</v>
      </c>
      <c r="AL528" s="9" t="s">
        <v>2039</v>
      </c>
      <c r="AM528" s="27" t="str">
        <f t="shared" si="175"/>
        <v>Atrasado</v>
      </c>
      <c r="AN528" s="27" t="str">
        <f t="shared" ca="1" si="174"/>
        <v>No prazo</v>
      </c>
      <c r="AO528" s="27" t="str">
        <f t="shared" ca="1" si="185"/>
        <v/>
      </c>
    </row>
    <row r="529" spans="2:42" ht="15" hidden="1" customHeight="1">
      <c r="D529" t="s">
        <v>1049</v>
      </c>
      <c r="E529" s="23" t="s">
        <v>1402</v>
      </c>
      <c r="F529" s="24"/>
      <c r="I529" s="26"/>
      <c r="L529" s="27" t="str">
        <f t="shared" si="197"/>
        <v xml:space="preserve"> </v>
      </c>
      <c r="N529" s="27" t="str">
        <f t="shared" si="196"/>
        <v xml:space="preserve"> </v>
      </c>
      <c r="O529" s="27">
        <f t="shared" si="177"/>
        <v>0</v>
      </c>
      <c r="P529" s="28" t="str">
        <f t="shared" si="187"/>
        <v>On time</v>
      </c>
      <c r="Q529" s="27">
        <f t="shared" si="178"/>
        <v>0</v>
      </c>
      <c r="R529" s="29" t="s">
        <v>1029</v>
      </c>
      <c r="S529" s="12" t="s">
        <v>1030</v>
      </c>
      <c r="T529" s="35">
        <v>19</v>
      </c>
      <c r="U529" t="s">
        <v>1049</v>
      </c>
      <c r="V529" s="27">
        <v>300</v>
      </c>
      <c r="W529" s="9">
        <v>0.36</v>
      </c>
      <c r="X529" s="9">
        <f t="shared" si="173"/>
        <v>108</v>
      </c>
      <c r="Y529">
        <v>4.8000000000000001E-2</v>
      </c>
      <c r="Z529" s="10">
        <v>46106</v>
      </c>
      <c r="AA529" s="10">
        <v>46126</v>
      </c>
      <c r="AB529" s="10">
        <v>46141</v>
      </c>
      <c r="AC529" s="10">
        <v>46206</v>
      </c>
      <c r="AD529" s="31">
        <f t="shared" ca="1" si="180"/>
        <v>9</v>
      </c>
      <c r="AE529" s="36" t="s">
        <v>247</v>
      </c>
      <c r="AF529" t="s">
        <v>62</v>
      </c>
      <c r="AG529" s="10" t="s">
        <v>79</v>
      </c>
      <c r="AH529" s="10">
        <v>46141</v>
      </c>
      <c r="AI529" s="9" t="s">
        <v>53</v>
      </c>
      <c r="AL529" s="9" t="s">
        <v>2039</v>
      </c>
      <c r="AM529" s="27" t="str">
        <f t="shared" si="175"/>
        <v>Atrasado</v>
      </c>
      <c r="AN529" s="27" t="str">
        <f t="shared" ca="1" si="174"/>
        <v>Estoque</v>
      </c>
      <c r="AO529" s="27" t="str">
        <f t="shared" ca="1" si="185"/>
        <v/>
      </c>
    </row>
    <row r="530" spans="2:42" ht="15" hidden="1" customHeight="1">
      <c r="D530" t="s">
        <v>1050</v>
      </c>
      <c r="E530" s="23" t="s">
        <v>1403</v>
      </c>
      <c r="F530" s="24"/>
      <c r="I530" s="26"/>
      <c r="L530" s="27" t="str">
        <f t="shared" si="197"/>
        <v xml:space="preserve"> </v>
      </c>
      <c r="N530" s="27" t="str">
        <f t="shared" si="196"/>
        <v xml:space="preserve"> </v>
      </c>
      <c r="O530" s="27">
        <f t="shared" si="177"/>
        <v>0</v>
      </c>
      <c r="P530" s="28" t="str">
        <f t="shared" si="187"/>
        <v>On time</v>
      </c>
      <c r="Q530" s="27">
        <f t="shared" si="178"/>
        <v>0</v>
      </c>
      <c r="R530" s="29" t="s">
        <v>1029</v>
      </c>
      <c r="S530" s="12" t="s">
        <v>1030</v>
      </c>
      <c r="T530" s="35">
        <v>20</v>
      </c>
      <c r="U530" t="s">
        <v>1050</v>
      </c>
      <c r="V530" s="27">
        <v>3000</v>
      </c>
      <c r="W530" s="9">
        <v>0.47</v>
      </c>
      <c r="X530" s="9">
        <f t="shared" si="173"/>
        <v>1410</v>
      </c>
      <c r="Y530">
        <v>7.1999999999999995E-2</v>
      </c>
      <c r="Z530" s="10">
        <v>46106</v>
      </c>
      <c r="AA530" s="10">
        <v>46126</v>
      </c>
      <c r="AB530" s="10">
        <v>46141</v>
      </c>
      <c r="AC530" s="10">
        <v>46206</v>
      </c>
      <c r="AD530" s="31">
        <f t="shared" ca="1" si="180"/>
        <v>9</v>
      </c>
      <c r="AE530" s="36" t="s">
        <v>247</v>
      </c>
      <c r="AF530" t="s">
        <v>62</v>
      </c>
      <c r="AG530" s="10" t="s">
        <v>79</v>
      </c>
      <c r="AH530" s="10">
        <v>46141</v>
      </c>
      <c r="AI530" s="9" t="s">
        <v>53</v>
      </c>
      <c r="AL530" s="9" t="s">
        <v>2039</v>
      </c>
      <c r="AM530" s="27" t="str">
        <f t="shared" si="175"/>
        <v>Atrasado</v>
      </c>
      <c r="AN530" s="27" t="str">
        <f t="shared" ca="1" si="174"/>
        <v>Estoque</v>
      </c>
      <c r="AO530" s="27" t="str">
        <f t="shared" ca="1" si="185"/>
        <v/>
      </c>
    </row>
    <row r="531" spans="2:42" ht="15" hidden="1" customHeight="1">
      <c r="D531" t="s">
        <v>1051</v>
      </c>
      <c r="E531" s="23" t="s">
        <v>1404</v>
      </c>
      <c r="F531" s="24"/>
      <c r="I531" s="26"/>
      <c r="L531" s="27" t="str">
        <f t="shared" si="197"/>
        <v xml:space="preserve"> </v>
      </c>
      <c r="N531" s="27" t="str">
        <f t="shared" si="196"/>
        <v xml:space="preserve"> </v>
      </c>
      <c r="O531" s="27">
        <f t="shared" si="177"/>
        <v>0</v>
      </c>
      <c r="P531" s="28" t="str">
        <f t="shared" si="187"/>
        <v>On time</v>
      </c>
      <c r="Q531" s="27">
        <f t="shared" si="178"/>
        <v>0</v>
      </c>
      <c r="R531" s="29" t="s">
        <v>1029</v>
      </c>
      <c r="S531" s="12" t="s">
        <v>1030</v>
      </c>
      <c r="T531" s="35">
        <v>21</v>
      </c>
      <c r="U531" t="s">
        <v>1051</v>
      </c>
      <c r="V531" s="27">
        <v>200</v>
      </c>
      <c r="W531" s="9">
        <v>0.38999999999999996</v>
      </c>
      <c r="X531" s="9">
        <f t="shared" si="173"/>
        <v>77.999999999999986</v>
      </c>
      <c r="Y531">
        <v>7.1999999999999995E-2</v>
      </c>
      <c r="Z531" s="10">
        <v>46106</v>
      </c>
      <c r="AA531" s="10">
        <v>46126</v>
      </c>
      <c r="AB531" s="10">
        <v>46141</v>
      </c>
      <c r="AC531" s="10">
        <v>46206</v>
      </c>
      <c r="AD531" s="31">
        <f t="shared" ca="1" si="180"/>
        <v>9</v>
      </c>
      <c r="AE531" s="36" t="s">
        <v>247</v>
      </c>
      <c r="AF531" t="s">
        <v>62</v>
      </c>
      <c r="AG531" s="10" t="s">
        <v>79</v>
      </c>
      <c r="AH531" s="10">
        <v>46141</v>
      </c>
      <c r="AI531" s="9" t="s">
        <v>53</v>
      </c>
      <c r="AL531" s="9" t="s">
        <v>2039</v>
      </c>
      <c r="AM531" s="27" t="str">
        <f t="shared" si="175"/>
        <v>Atrasado</v>
      </c>
      <c r="AN531" s="27" t="str">
        <f t="shared" ca="1" si="174"/>
        <v>Estoque</v>
      </c>
      <c r="AO531" s="27" t="str">
        <f t="shared" ca="1" si="185"/>
        <v/>
      </c>
    </row>
    <row r="532" spans="2:42" ht="15" hidden="1" customHeight="1">
      <c r="D532" t="s">
        <v>1052</v>
      </c>
      <c r="E532" s="23" t="s">
        <v>1405</v>
      </c>
      <c r="F532" s="24"/>
      <c r="I532" s="26"/>
      <c r="L532" s="27" t="str">
        <f t="shared" si="197"/>
        <v xml:space="preserve"> </v>
      </c>
      <c r="N532" s="27" t="str">
        <f t="shared" si="196"/>
        <v xml:space="preserve"> </v>
      </c>
      <c r="O532" s="27">
        <f t="shared" si="177"/>
        <v>0</v>
      </c>
      <c r="P532" s="28" t="str">
        <f t="shared" si="187"/>
        <v>On time</v>
      </c>
      <c r="Q532" s="27">
        <f t="shared" si="178"/>
        <v>0</v>
      </c>
      <c r="R532" s="29" t="s">
        <v>1029</v>
      </c>
      <c r="S532" s="12" t="s">
        <v>1030</v>
      </c>
      <c r="T532" s="35">
        <v>22</v>
      </c>
      <c r="U532" t="s">
        <v>1052</v>
      </c>
      <c r="V532" s="27">
        <v>1000</v>
      </c>
      <c r="W532" s="9">
        <v>1.95</v>
      </c>
      <c r="X532" s="9">
        <f t="shared" ref="X532:X571" si="198">W532*V532</f>
        <v>1950</v>
      </c>
      <c r="Y532">
        <v>0.315</v>
      </c>
      <c r="Z532" s="10">
        <v>46106</v>
      </c>
      <c r="AA532" s="10">
        <v>46126</v>
      </c>
      <c r="AB532" s="10">
        <v>46141</v>
      </c>
      <c r="AC532" s="10">
        <v>46206</v>
      </c>
      <c r="AD532" s="31">
        <f t="shared" ca="1" si="180"/>
        <v>9</v>
      </c>
      <c r="AE532" s="36" t="s">
        <v>247</v>
      </c>
      <c r="AF532" t="s">
        <v>62</v>
      </c>
      <c r="AG532" s="10" t="s">
        <v>79</v>
      </c>
      <c r="AH532" s="10">
        <v>46141</v>
      </c>
      <c r="AI532" s="9" t="s">
        <v>53</v>
      </c>
      <c r="AL532" s="9" t="s">
        <v>2039</v>
      </c>
      <c r="AM532" s="27" t="str">
        <f t="shared" si="175"/>
        <v>Atrasado</v>
      </c>
      <c r="AN532" s="27" t="str">
        <f t="shared" ref="AN532:AN597" ca="1" si="199">IF(AND(AC532&lt;&gt;"",AC532&lt;=TODAY()),"Chegou",IF(A532="","Estoque",IF(OR(AC532="",I532=""),"",IF(I532-AC532&lt;=0,"Atrasado",IF(I532-AC532&lt;=9,"Crítico",IF(I532-AC532&lt;=20,"Verificar aéreo",IF(I532-AC532&lt;=25,"Alerta","No prazo")        ))))))</f>
        <v>Estoque</v>
      </c>
      <c r="AO532" s="27" t="str">
        <f t="shared" ca="1" si="185"/>
        <v/>
      </c>
    </row>
    <row r="533" spans="2:42" ht="15" hidden="1" customHeight="1">
      <c r="D533" t="s">
        <v>1053</v>
      </c>
      <c r="E533" s="23" t="s">
        <v>1406</v>
      </c>
      <c r="F533" s="24"/>
      <c r="I533" s="26"/>
      <c r="L533" s="27" t="str">
        <f t="shared" si="197"/>
        <v xml:space="preserve"> </v>
      </c>
      <c r="N533" s="27" t="str">
        <f t="shared" si="196"/>
        <v xml:space="preserve"> </v>
      </c>
      <c r="O533" s="27">
        <f t="shared" si="177"/>
        <v>0</v>
      </c>
      <c r="P533" s="28" t="str">
        <f t="shared" si="187"/>
        <v>On time</v>
      </c>
      <c r="Q533" s="27">
        <f t="shared" si="178"/>
        <v>0</v>
      </c>
      <c r="R533" s="29" t="s">
        <v>1029</v>
      </c>
      <c r="S533" s="12" t="s">
        <v>1030</v>
      </c>
      <c r="T533" s="35">
        <v>23</v>
      </c>
      <c r="U533" t="s">
        <v>1053</v>
      </c>
      <c r="V533" s="27">
        <v>1000</v>
      </c>
      <c r="W533" s="9">
        <v>3.23</v>
      </c>
      <c r="X533" s="9">
        <f t="shared" si="198"/>
        <v>3230</v>
      </c>
      <c r="Y533">
        <v>0.65900000000000003</v>
      </c>
      <c r="Z533" s="10">
        <v>46106</v>
      </c>
      <c r="AA533" s="10">
        <v>46126</v>
      </c>
      <c r="AB533" s="10">
        <v>46141</v>
      </c>
      <c r="AC533" s="10">
        <v>46206</v>
      </c>
      <c r="AD533" s="31">
        <f t="shared" ca="1" si="180"/>
        <v>9</v>
      </c>
      <c r="AE533" s="36" t="s">
        <v>247</v>
      </c>
      <c r="AF533" t="s">
        <v>62</v>
      </c>
      <c r="AG533" s="10" t="s">
        <v>79</v>
      </c>
      <c r="AH533" s="10">
        <v>46141</v>
      </c>
      <c r="AI533" s="9" t="s">
        <v>53</v>
      </c>
      <c r="AL533" s="9" t="s">
        <v>2039</v>
      </c>
      <c r="AM533" s="27" t="str">
        <f t="shared" si="175"/>
        <v>Atrasado</v>
      </c>
      <c r="AN533" s="27" t="str">
        <f t="shared" ca="1" si="199"/>
        <v>Estoque</v>
      </c>
      <c r="AO533" s="27" t="str">
        <f t="shared" ca="1" si="185"/>
        <v/>
      </c>
    </row>
    <row r="534" spans="2:42" ht="15" hidden="1" customHeight="1">
      <c r="D534" t="s">
        <v>1054</v>
      </c>
      <c r="E534" s="23" t="s">
        <v>1407</v>
      </c>
      <c r="F534" s="24"/>
      <c r="I534" s="26"/>
      <c r="L534" s="27" t="str">
        <f t="shared" si="197"/>
        <v xml:space="preserve"> </v>
      </c>
      <c r="N534" s="27" t="str">
        <f t="shared" si="196"/>
        <v xml:space="preserve"> </v>
      </c>
      <c r="O534" s="27">
        <f t="shared" si="177"/>
        <v>0</v>
      </c>
      <c r="P534" s="28" t="str">
        <f t="shared" si="187"/>
        <v>On time</v>
      </c>
      <c r="Q534" s="27">
        <f t="shared" si="178"/>
        <v>0</v>
      </c>
      <c r="R534" s="29" t="s">
        <v>1029</v>
      </c>
      <c r="S534" s="12" t="s">
        <v>1030</v>
      </c>
      <c r="T534" s="35">
        <v>24</v>
      </c>
      <c r="U534" t="s">
        <v>1054</v>
      </c>
      <c r="V534" s="27">
        <v>300</v>
      </c>
      <c r="W534" s="9">
        <v>3.2</v>
      </c>
      <c r="X534" s="9">
        <f t="shared" si="198"/>
        <v>960</v>
      </c>
      <c r="Y534">
        <v>0.65900000000000003</v>
      </c>
      <c r="Z534" s="10">
        <v>46106</v>
      </c>
      <c r="AA534" s="10">
        <v>46126</v>
      </c>
      <c r="AB534" s="10">
        <v>46141</v>
      </c>
      <c r="AC534" s="10">
        <v>46206</v>
      </c>
      <c r="AD534" s="31">
        <f t="shared" ca="1" si="180"/>
        <v>9</v>
      </c>
      <c r="AE534" s="36" t="s">
        <v>247</v>
      </c>
      <c r="AF534" t="s">
        <v>62</v>
      </c>
      <c r="AG534" s="10" t="s">
        <v>79</v>
      </c>
      <c r="AH534" s="10">
        <v>46141</v>
      </c>
      <c r="AI534" s="9" t="s">
        <v>53</v>
      </c>
      <c r="AL534" s="9" t="s">
        <v>2039</v>
      </c>
      <c r="AM534" s="27" t="str">
        <f t="shared" si="175"/>
        <v>Atrasado</v>
      </c>
      <c r="AN534" s="27" t="str">
        <f t="shared" ca="1" si="199"/>
        <v>Estoque</v>
      </c>
      <c r="AO534" s="27" t="str">
        <f t="shared" ca="1" si="185"/>
        <v/>
      </c>
    </row>
    <row r="535" spans="2:42" ht="15" hidden="1" customHeight="1">
      <c r="D535" t="s">
        <v>1055</v>
      </c>
      <c r="E535" s="23" t="s">
        <v>1414</v>
      </c>
      <c r="F535" s="24"/>
      <c r="I535" s="26"/>
      <c r="L535" s="27" t="str">
        <f t="shared" si="197"/>
        <v xml:space="preserve"> </v>
      </c>
      <c r="N535" s="27" t="str">
        <f t="shared" si="196"/>
        <v xml:space="preserve"> </v>
      </c>
      <c r="O535" s="27">
        <f t="shared" si="177"/>
        <v>0</v>
      </c>
      <c r="P535" s="28" t="str">
        <f t="shared" si="187"/>
        <v>On time</v>
      </c>
      <c r="Q535" s="27">
        <f t="shared" si="178"/>
        <v>0</v>
      </c>
      <c r="R535" s="29" t="s">
        <v>1029</v>
      </c>
      <c r="S535" s="12" t="s">
        <v>1030</v>
      </c>
      <c r="T535" s="35">
        <v>25</v>
      </c>
      <c r="U535" t="s">
        <v>1055</v>
      </c>
      <c r="V535" s="27">
        <v>500</v>
      </c>
      <c r="W535" s="9">
        <v>3.04</v>
      </c>
      <c r="X535" s="9">
        <f t="shared" si="198"/>
        <v>1520</v>
      </c>
      <c r="Y535">
        <v>0.46</v>
      </c>
      <c r="Z535" s="10">
        <v>46106</v>
      </c>
      <c r="AA535" s="10">
        <v>46126</v>
      </c>
      <c r="AB535" s="10">
        <v>46141</v>
      </c>
      <c r="AC535" s="10">
        <v>46206</v>
      </c>
      <c r="AD535" s="31">
        <f t="shared" ca="1" si="180"/>
        <v>9</v>
      </c>
      <c r="AE535" s="36" t="s">
        <v>247</v>
      </c>
      <c r="AF535" t="s">
        <v>62</v>
      </c>
      <c r="AG535" s="10" t="s">
        <v>79</v>
      </c>
      <c r="AH535" s="10">
        <v>46141</v>
      </c>
      <c r="AI535" s="9" t="s">
        <v>53</v>
      </c>
      <c r="AL535" s="9" t="s">
        <v>2039</v>
      </c>
      <c r="AM535" s="27" t="str">
        <f t="shared" si="175"/>
        <v>Atrasado</v>
      </c>
      <c r="AN535" s="27" t="str">
        <f t="shared" ca="1" si="199"/>
        <v>Estoque</v>
      </c>
      <c r="AO535" s="27" t="str">
        <f t="shared" ca="1" si="185"/>
        <v/>
      </c>
    </row>
    <row r="536" spans="2:42" ht="15" hidden="1" customHeight="1">
      <c r="D536" t="s">
        <v>1056</v>
      </c>
      <c r="E536" s="23" t="s">
        <v>1415</v>
      </c>
      <c r="F536" s="24"/>
      <c r="I536" s="26"/>
      <c r="L536" s="27" t="str">
        <f t="shared" si="197"/>
        <v xml:space="preserve"> </v>
      </c>
      <c r="N536" s="27" t="str">
        <f t="shared" si="196"/>
        <v xml:space="preserve"> </v>
      </c>
      <c r="O536" s="27">
        <f t="shared" si="177"/>
        <v>0</v>
      </c>
      <c r="P536" s="28" t="str">
        <f t="shared" si="187"/>
        <v>On time</v>
      </c>
      <c r="Q536" s="27">
        <f t="shared" si="178"/>
        <v>0</v>
      </c>
      <c r="R536" s="29" t="s">
        <v>1029</v>
      </c>
      <c r="S536" s="12" t="s">
        <v>1030</v>
      </c>
      <c r="T536" s="35">
        <v>26</v>
      </c>
      <c r="U536" t="s">
        <v>1056</v>
      </c>
      <c r="V536" s="27">
        <v>500</v>
      </c>
      <c r="W536" s="9">
        <v>3.7399999999999998</v>
      </c>
      <c r="X536" s="9">
        <f t="shared" si="198"/>
        <v>1869.9999999999998</v>
      </c>
      <c r="Y536">
        <v>0.8</v>
      </c>
      <c r="Z536" s="10">
        <v>46106</v>
      </c>
      <c r="AA536" s="10">
        <v>46126</v>
      </c>
      <c r="AB536" s="10">
        <v>46141</v>
      </c>
      <c r="AC536" s="10">
        <v>46206</v>
      </c>
      <c r="AD536" s="31">
        <f t="shared" ca="1" si="180"/>
        <v>9</v>
      </c>
      <c r="AE536" s="36" t="s">
        <v>247</v>
      </c>
      <c r="AF536" t="s">
        <v>62</v>
      </c>
      <c r="AG536" s="10" t="s">
        <v>79</v>
      </c>
      <c r="AH536" s="10">
        <v>46141</v>
      </c>
      <c r="AI536" s="9" t="s">
        <v>53</v>
      </c>
      <c r="AL536" s="9" t="s">
        <v>2039</v>
      </c>
      <c r="AM536" s="27" t="str">
        <f t="shared" si="175"/>
        <v>Atrasado</v>
      </c>
      <c r="AN536" s="27" t="str">
        <f t="shared" ca="1" si="199"/>
        <v>Estoque</v>
      </c>
      <c r="AO536" s="27" t="str">
        <f t="shared" ca="1" si="185"/>
        <v/>
      </c>
    </row>
    <row r="537" spans="2:42" ht="15" hidden="1" customHeight="1">
      <c r="D537" t="s">
        <v>1057</v>
      </c>
      <c r="E537" s="23" t="s">
        <v>1408</v>
      </c>
      <c r="F537" s="24"/>
      <c r="I537" s="26"/>
      <c r="L537" s="27" t="str">
        <f t="shared" si="197"/>
        <v xml:space="preserve"> </v>
      </c>
      <c r="N537" s="27" t="str">
        <f t="shared" si="196"/>
        <v xml:space="preserve"> </v>
      </c>
      <c r="O537" s="27">
        <f t="shared" si="177"/>
        <v>0</v>
      </c>
      <c r="P537" s="28" t="str">
        <f t="shared" si="187"/>
        <v>On time</v>
      </c>
      <c r="Q537" s="27">
        <f t="shared" si="178"/>
        <v>0</v>
      </c>
      <c r="R537" s="29" t="s">
        <v>1029</v>
      </c>
      <c r="S537" s="12" t="s">
        <v>1030</v>
      </c>
      <c r="T537" s="35">
        <v>27</v>
      </c>
      <c r="U537" t="s">
        <v>1057</v>
      </c>
      <c r="V537" s="27">
        <v>100</v>
      </c>
      <c r="W537" s="9">
        <v>3.9999999999999996</v>
      </c>
      <c r="X537" s="9">
        <f t="shared" si="198"/>
        <v>399.99999999999994</v>
      </c>
      <c r="Y537">
        <v>0.8</v>
      </c>
      <c r="Z537" s="10">
        <v>46106</v>
      </c>
      <c r="AA537" s="10">
        <v>46126</v>
      </c>
      <c r="AB537" s="10">
        <v>46141</v>
      </c>
      <c r="AC537" s="10">
        <v>46206</v>
      </c>
      <c r="AD537" s="31">
        <f t="shared" ca="1" si="180"/>
        <v>9</v>
      </c>
      <c r="AE537" s="36" t="s">
        <v>247</v>
      </c>
      <c r="AF537" t="s">
        <v>62</v>
      </c>
      <c r="AG537" s="10" t="s">
        <v>79</v>
      </c>
      <c r="AH537" s="10">
        <v>46141</v>
      </c>
      <c r="AI537" s="9" t="s">
        <v>53</v>
      </c>
      <c r="AL537" s="9" t="s">
        <v>2039</v>
      </c>
      <c r="AM537" s="27" t="str">
        <f t="shared" si="175"/>
        <v>Atrasado</v>
      </c>
      <c r="AN537" s="27" t="str">
        <f t="shared" ca="1" si="199"/>
        <v>Estoque</v>
      </c>
      <c r="AO537" s="27" t="str">
        <f t="shared" ca="1" si="185"/>
        <v/>
      </c>
    </row>
    <row r="538" spans="2:42" ht="15" hidden="1" customHeight="1">
      <c r="D538" t="s">
        <v>1058</v>
      </c>
      <c r="E538" s="23" t="s">
        <v>1409</v>
      </c>
      <c r="F538" s="24"/>
      <c r="I538" s="26"/>
      <c r="L538" s="27" t="str">
        <f t="shared" si="197"/>
        <v xml:space="preserve"> </v>
      </c>
      <c r="N538" s="27" t="str">
        <f t="shared" si="196"/>
        <v xml:space="preserve"> </v>
      </c>
      <c r="O538" s="27">
        <f t="shared" si="177"/>
        <v>0</v>
      </c>
      <c r="P538" s="28" t="str">
        <f t="shared" si="187"/>
        <v>On time</v>
      </c>
      <c r="Q538" s="27">
        <f t="shared" si="178"/>
        <v>0</v>
      </c>
      <c r="R538" s="29" t="s">
        <v>1029</v>
      </c>
      <c r="S538" s="12" t="s">
        <v>1030</v>
      </c>
      <c r="T538" s="35">
        <v>28</v>
      </c>
      <c r="U538" t="s">
        <v>1058</v>
      </c>
      <c r="V538" s="27">
        <v>100</v>
      </c>
      <c r="W538" s="9">
        <v>2.62</v>
      </c>
      <c r="X538" s="9">
        <f t="shared" si="198"/>
        <v>262</v>
      </c>
      <c r="Y538">
        <v>0.3</v>
      </c>
      <c r="Z538" s="10">
        <v>46106</v>
      </c>
      <c r="AA538" s="10">
        <v>46126</v>
      </c>
      <c r="AB538" s="10">
        <v>46141</v>
      </c>
      <c r="AC538" s="10">
        <v>46206</v>
      </c>
      <c r="AD538" s="31">
        <f t="shared" ca="1" si="180"/>
        <v>9</v>
      </c>
      <c r="AE538" s="36" t="s">
        <v>247</v>
      </c>
      <c r="AF538" t="s">
        <v>62</v>
      </c>
      <c r="AG538" s="10" t="s">
        <v>79</v>
      </c>
      <c r="AH538" s="10">
        <v>46141</v>
      </c>
      <c r="AI538" s="9" t="s">
        <v>53</v>
      </c>
      <c r="AL538" s="9" t="s">
        <v>2039</v>
      </c>
      <c r="AM538" s="27" t="str">
        <f t="shared" si="175"/>
        <v>Atrasado</v>
      </c>
      <c r="AN538" s="27" t="str">
        <f t="shared" ca="1" si="199"/>
        <v>Estoque</v>
      </c>
      <c r="AO538" s="27" t="str">
        <f t="shared" ca="1" si="185"/>
        <v/>
      </c>
    </row>
    <row r="539" spans="2:42" ht="15" hidden="1" customHeight="1">
      <c r="D539" t="s">
        <v>1059</v>
      </c>
      <c r="E539" s="23" t="s">
        <v>1410</v>
      </c>
      <c r="F539" s="24"/>
      <c r="I539" s="26"/>
      <c r="L539" s="27" t="str">
        <f t="shared" si="197"/>
        <v xml:space="preserve"> </v>
      </c>
      <c r="N539" s="27" t="str">
        <f t="shared" si="196"/>
        <v xml:space="preserve"> </v>
      </c>
      <c r="O539" s="27">
        <f t="shared" si="177"/>
        <v>0</v>
      </c>
      <c r="P539" s="28" t="str">
        <f t="shared" si="187"/>
        <v>On time</v>
      </c>
      <c r="Q539" s="27">
        <f t="shared" si="178"/>
        <v>0</v>
      </c>
      <c r="R539" s="29" t="s">
        <v>1029</v>
      </c>
      <c r="S539" s="12" t="s">
        <v>1030</v>
      </c>
      <c r="T539" s="35">
        <v>29</v>
      </c>
      <c r="U539" t="s">
        <v>1059</v>
      </c>
      <c r="V539" s="27">
        <v>200</v>
      </c>
      <c r="W539" s="9">
        <v>0.80999999999999994</v>
      </c>
      <c r="X539" s="9">
        <f t="shared" si="198"/>
        <v>162</v>
      </c>
      <c r="Y539">
        <v>0.155</v>
      </c>
      <c r="Z539" s="10">
        <v>46106</v>
      </c>
      <c r="AA539" s="10">
        <v>46126</v>
      </c>
      <c r="AB539" s="10">
        <v>46141</v>
      </c>
      <c r="AC539" s="10">
        <v>46206</v>
      </c>
      <c r="AD539" s="31">
        <f t="shared" ca="1" si="180"/>
        <v>9</v>
      </c>
      <c r="AE539" s="36" t="s">
        <v>247</v>
      </c>
      <c r="AF539" t="s">
        <v>62</v>
      </c>
      <c r="AG539" s="10" t="s">
        <v>79</v>
      </c>
      <c r="AH539" s="10">
        <v>46141</v>
      </c>
      <c r="AI539" s="9" t="s">
        <v>53</v>
      </c>
      <c r="AL539" s="9" t="s">
        <v>2039</v>
      </c>
      <c r="AM539" s="27" t="str">
        <f t="shared" si="175"/>
        <v>Atrasado</v>
      </c>
      <c r="AN539" s="27" t="str">
        <f t="shared" ca="1" si="199"/>
        <v>Estoque</v>
      </c>
      <c r="AO539" s="27" t="str">
        <f t="shared" ca="1" si="185"/>
        <v/>
      </c>
    </row>
    <row r="540" spans="2:42" ht="15" hidden="1" customHeight="1">
      <c r="D540" t="s">
        <v>1060</v>
      </c>
      <c r="E540" s="23" t="s">
        <v>1411</v>
      </c>
      <c r="F540" s="24"/>
      <c r="I540" s="26"/>
      <c r="L540" s="27" t="str">
        <f t="shared" si="197"/>
        <v xml:space="preserve"> </v>
      </c>
      <c r="N540" s="27" t="str">
        <f t="shared" si="196"/>
        <v xml:space="preserve"> </v>
      </c>
      <c r="O540" s="27">
        <f t="shared" si="177"/>
        <v>0</v>
      </c>
      <c r="P540" s="28" t="str">
        <f t="shared" si="187"/>
        <v>On time</v>
      </c>
      <c r="Q540" s="27">
        <f t="shared" si="178"/>
        <v>0</v>
      </c>
      <c r="R540" s="29" t="s">
        <v>1029</v>
      </c>
      <c r="S540" s="12" t="s">
        <v>1030</v>
      </c>
      <c r="T540" s="35">
        <v>30</v>
      </c>
      <c r="U540" t="s">
        <v>1060</v>
      </c>
      <c r="V540" s="27">
        <v>100</v>
      </c>
      <c r="W540" s="9">
        <v>1.88</v>
      </c>
      <c r="X540" s="9">
        <f t="shared" si="198"/>
        <v>188</v>
      </c>
      <c r="Y540">
        <v>0.23</v>
      </c>
      <c r="Z540" s="10">
        <v>46106</v>
      </c>
      <c r="AA540" s="10">
        <v>46126</v>
      </c>
      <c r="AB540" s="10">
        <v>46141</v>
      </c>
      <c r="AC540" s="10">
        <v>46206</v>
      </c>
      <c r="AD540" s="31">
        <f t="shared" ca="1" si="180"/>
        <v>9</v>
      </c>
      <c r="AE540" s="36" t="s">
        <v>247</v>
      </c>
      <c r="AF540" t="s">
        <v>62</v>
      </c>
      <c r="AG540" s="10" t="s">
        <v>79</v>
      </c>
      <c r="AH540" s="10">
        <v>46141</v>
      </c>
      <c r="AI540" s="9" t="s">
        <v>53</v>
      </c>
      <c r="AL540" s="9" t="s">
        <v>2039</v>
      </c>
      <c r="AM540" s="27" t="str">
        <f t="shared" si="175"/>
        <v>Atrasado</v>
      </c>
      <c r="AN540" s="27" t="str">
        <f t="shared" ca="1" si="199"/>
        <v>Estoque</v>
      </c>
      <c r="AO540" s="27" t="str">
        <f t="shared" ca="1" si="185"/>
        <v/>
      </c>
    </row>
    <row r="541" spans="2:42" ht="15" hidden="1" customHeight="1">
      <c r="D541" t="s">
        <v>1413</v>
      </c>
      <c r="E541" s="23" t="s">
        <v>1412</v>
      </c>
      <c r="F541" s="24"/>
      <c r="I541" s="26"/>
      <c r="L541" s="27" t="str">
        <f t="shared" si="197"/>
        <v xml:space="preserve"> </v>
      </c>
      <c r="N541" s="27" t="str">
        <f t="shared" si="196"/>
        <v xml:space="preserve"> </v>
      </c>
      <c r="O541" s="27">
        <f t="shared" si="177"/>
        <v>0</v>
      </c>
      <c r="P541" s="28" t="str">
        <f t="shared" si="187"/>
        <v>On time</v>
      </c>
      <c r="Q541" s="27">
        <f t="shared" si="178"/>
        <v>0</v>
      </c>
      <c r="R541" s="29" t="s">
        <v>1029</v>
      </c>
      <c r="S541" s="12" t="s">
        <v>1030</v>
      </c>
      <c r="T541" s="35">
        <v>31</v>
      </c>
      <c r="U541" t="s">
        <v>1413</v>
      </c>
      <c r="V541" s="27">
        <v>10000</v>
      </c>
      <c r="W541" s="9">
        <v>0.96</v>
      </c>
      <c r="X541" s="9">
        <f t="shared" ref="X541" si="200">W541*V541</f>
        <v>9600</v>
      </c>
      <c r="Y541">
        <v>0.13</v>
      </c>
      <c r="Z541" s="10">
        <v>46106</v>
      </c>
      <c r="AA541" s="10">
        <v>46126</v>
      </c>
      <c r="AB541" s="10">
        <v>46141</v>
      </c>
      <c r="AC541" s="10">
        <v>46206</v>
      </c>
      <c r="AD541" s="31">
        <f t="shared" ca="1" si="180"/>
        <v>9</v>
      </c>
      <c r="AE541" s="36" t="s">
        <v>247</v>
      </c>
      <c r="AF541" t="s">
        <v>62</v>
      </c>
      <c r="AG541" s="10" t="s">
        <v>79</v>
      </c>
      <c r="AH541" s="10">
        <v>46141</v>
      </c>
      <c r="AI541" s="9" t="s">
        <v>53</v>
      </c>
      <c r="AL541" s="9" t="s">
        <v>2039</v>
      </c>
      <c r="AM541" s="27" t="str">
        <f t="shared" ref="AM541" si="201">IF(AB541=0," ",IF(AB541&lt;=AA541+10,"On time","Atrasado"))</f>
        <v>Atrasado</v>
      </c>
      <c r="AN541" s="27" t="str">
        <f t="shared" ref="AN541" ca="1" si="202">IF(AND(AC541&lt;&gt;"",AC541&lt;=TODAY()),"Chegou",IF(A541="","Estoque",IF(OR(AC541="",I541=""),"",IF(I541-AC541&lt;=0,"Atrasado",IF(I541-AC541&lt;=9,"Crítico",IF(I541-AC541&lt;=20,"Verificar aéreo",IF(I541-AC541&lt;=25,"Alerta","No prazo")        ))))))</f>
        <v>Estoque</v>
      </c>
      <c r="AO541" s="27" t="str">
        <f t="shared" ca="1" si="185"/>
        <v/>
      </c>
    </row>
    <row r="542" spans="2:42" ht="15" hidden="1" customHeight="1">
      <c r="B542" s="34"/>
      <c r="D542" t="s">
        <v>1062</v>
      </c>
      <c r="E542" s="23" t="s">
        <v>1350</v>
      </c>
      <c r="F542" s="24"/>
      <c r="I542" s="26"/>
      <c r="J542" s="10"/>
      <c r="K542" s="10"/>
      <c r="L542" s="27" t="str">
        <f t="shared" si="197"/>
        <v xml:space="preserve"> </v>
      </c>
      <c r="M542" s="58"/>
      <c r="N542" s="27" t="str">
        <f t="shared" si="196"/>
        <v xml:space="preserve"> </v>
      </c>
      <c r="O542" s="27">
        <f t="shared" si="177"/>
        <v>0</v>
      </c>
      <c r="P542" s="28" t="str">
        <f t="shared" si="187"/>
        <v>On time</v>
      </c>
      <c r="Q542" s="27">
        <f t="shared" si="178"/>
        <v>0</v>
      </c>
      <c r="R542" s="29" t="s">
        <v>1061</v>
      </c>
      <c r="S542" t="s">
        <v>100</v>
      </c>
      <c r="T542" s="34">
        <v>1</v>
      </c>
      <c r="U542" t="s">
        <v>1062</v>
      </c>
      <c r="V542" s="27">
        <v>500</v>
      </c>
      <c r="W542" s="9">
        <v>4.47</v>
      </c>
      <c r="X542" s="53">
        <f t="shared" si="198"/>
        <v>2235</v>
      </c>
      <c r="Z542" s="10">
        <v>46108</v>
      </c>
      <c r="AA542" s="10">
        <v>46128</v>
      </c>
      <c r="AB542" s="10">
        <v>46152</v>
      </c>
      <c r="AC542" s="10">
        <v>46217</v>
      </c>
      <c r="AD542" s="31">
        <f t="shared" ca="1" si="179"/>
        <v>7</v>
      </c>
      <c r="AE542" s="36" t="s">
        <v>247</v>
      </c>
      <c r="AF542" t="s">
        <v>62</v>
      </c>
      <c r="AG542" s="10" t="s">
        <v>78</v>
      </c>
      <c r="AI542" s="9" t="s">
        <v>53</v>
      </c>
      <c r="AL542" t="s">
        <v>2035</v>
      </c>
      <c r="AM542" s="27" t="str">
        <f t="shared" si="175"/>
        <v>Atrasado</v>
      </c>
      <c r="AN542" s="27" t="str">
        <f t="shared" ca="1" si="199"/>
        <v>Estoque</v>
      </c>
      <c r="AO542" s="27" t="str">
        <f t="shared" ca="1" si="185"/>
        <v/>
      </c>
      <c r="AP542" t="s">
        <v>1320</v>
      </c>
    </row>
    <row r="543" spans="2:42" ht="15" hidden="1" customHeight="1">
      <c r="B543" s="34"/>
      <c r="D543" t="s">
        <v>1063</v>
      </c>
      <c r="E543" s="23" t="s">
        <v>1351</v>
      </c>
      <c r="F543" s="24"/>
      <c r="I543" s="26"/>
      <c r="J543" s="10"/>
      <c r="K543" s="10"/>
      <c r="L543" s="27" t="str">
        <f t="shared" si="197"/>
        <v xml:space="preserve"> </v>
      </c>
      <c r="M543" s="58"/>
      <c r="N543" s="27" t="str">
        <f t="shared" si="196"/>
        <v xml:space="preserve"> </v>
      </c>
      <c r="O543" s="27">
        <f t="shared" si="177"/>
        <v>0</v>
      </c>
      <c r="P543" s="28" t="str">
        <f t="shared" si="187"/>
        <v>On time</v>
      </c>
      <c r="Q543" s="27">
        <f t="shared" si="178"/>
        <v>0</v>
      </c>
      <c r="R543" s="29" t="s">
        <v>1061</v>
      </c>
      <c r="S543" t="s">
        <v>100</v>
      </c>
      <c r="T543" s="34">
        <v>2</v>
      </c>
      <c r="U543" t="s">
        <v>1063</v>
      </c>
      <c r="V543" s="27">
        <v>500</v>
      </c>
      <c r="W543" s="9">
        <v>3.36</v>
      </c>
      <c r="X543" s="53">
        <f t="shared" si="198"/>
        <v>1680</v>
      </c>
      <c r="Z543" s="10">
        <v>46108</v>
      </c>
      <c r="AA543" s="10">
        <v>46128</v>
      </c>
      <c r="AB543" s="10">
        <v>46152</v>
      </c>
      <c r="AC543" s="10">
        <v>46217</v>
      </c>
      <c r="AD543" s="31">
        <f t="shared" ca="1" si="179"/>
        <v>7</v>
      </c>
      <c r="AE543" s="36" t="s">
        <v>247</v>
      </c>
      <c r="AF543" t="s">
        <v>62</v>
      </c>
      <c r="AG543" s="10" t="s">
        <v>78</v>
      </c>
      <c r="AI543" s="9" t="s">
        <v>53</v>
      </c>
      <c r="AL543" t="s">
        <v>2035</v>
      </c>
      <c r="AM543" s="27" t="str">
        <f t="shared" si="175"/>
        <v>Atrasado</v>
      </c>
      <c r="AN543" s="27" t="str">
        <f t="shared" ca="1" si="199"/>
        <v>Estoque</v>
      </c>
      <c r="AO543" s="27" t="str">
        <f t="shared" ca="1" si="185"/>
        <v/>
      </c>
      <c r="AP543" t="s">
        <v>1320</v>
      </c>
    </row>
    <row r="544" spans="2:42" ht="15" hidden="1" customHeight="1">
      <c r="B544" s="34"/>
      <c r="D544" t="s">
        <v>1064</v>
      </c>
      <c r="E544" s="23" t="s">
        <v>1352</v>
      </c>
      <c r="F544" s="24"/>
      <c r="I544" s="26"/>
      <c r="J544" s="10"/>
      <c r="K544" s="10"/>
      <c r="L544" s="27" t="str">
        <f t="shared" si="197"/>
        <v xml:space="preserve"> </v>
      </c>
      <c r="M544" s="58"/>
      <c r="N544" s="27" t="str">
        <f t="shared" si="196"/>
        <v xml:space="preserve"> </v>
      </c>
      <c r="O544" s="27">
        <f t="shared" si="177"/>
        <v>0</v>
      </c>
      <c r="P544" s="28" t="str">
        <f t="shared" si="187"/>
        <v>On time</v>
      </c>
      <c r="Q544" s="27">
        <f t="shared" si="178"/>
        <v>0</v>
      </c>
      <c r="R544" s="29" t="s">
        <v>1061</v>
      </c>
      <c r="S544" t="s">
        <v>100</v>
      </c>
      <c r="T544" s="34">
        <v>3</v>
      </c>
      <c r="U544" t="s">
        <v>1064</v>
      </c>
      <c r="V544" s="27">
        <v>300</v>
      </c>
      <c r="W544" s="9">
        <v>7.77</v>
      </c>
      <c r="X544" s="53">
        <f t="shared" si="198"/>
        <v>2331</v>
      </c>
      <c r="Z544" s="10">
        <v>46108</v>
      </c>
      <c r="AA544" s="10">
        <v>46128</v>
      </c>
      <c r="AB544" s="10">
        <v>46152</v>
      </c>
      <c r="AC544" s="10">
        <v>46217</v>
      </c>
      <c r="AD544" s="31">
        <f t="shared" ca="1" si="179"/>
        <v>7</v>
      </c>
      <c r="AE544" s="36" t="s">
        <v>247</v>
      </c>
      <c r="AF544" t="s">
        <v>62</v>
      </c>
      <c r="AG544" s="10" t="s">
        <v>78</v>
      </c>
      <c r="AI544" s="9" t="s">
        <v>53</v>
      </c>
      <c r="AL544" t="s">
        <v>2035</v>
      </c>
      <c r="AM544" s="27" t="str">
        <f t="shared" si="175"/>
        <v>Atrasado</v>
      </c>
      <c r="AN544" s="27" t="str">
        <f t="shared" ca="1" si="199"/>
        <v>Estoque</v>
      </c>
      <c r="AO544" s="27" t="str">
        <f t="shared" ca="1" si="185"/>
        <v/>
      </c>
      <c r="AP544" t="s">
        <v>1320</v>
      </c>
    </row>
    <row r="545" spans="2:42" ht="15" hidden="1" customHeight="1">
      <c r="B545" s="34"/>
      <c r="D545" t="s">
        <v>1065</v>
      </c>
      <c r="E545" s="23" t="s">
        <v>1353</v>
      </c>
      <c r="F545" s="24"/>
      <c r="I545" s="26"/>
      <c r="J545" s="10"/>
      <c r="K545" s="10"/>
      <c r="L545" s="27" t="str">
        <f t="shared" si="197"/>
        <v xml:space="preserve"> </v>
      </c>
      <c r="M545" s="58"/>
      <c r="N545" s="27" t="str">
        <f t="shared" si="196"/>
        <v xml:space="preserve"> </v>
      </c>
      <c r="O545" s="27">
        <f t="shared" si="177"/>
        <v>0</v>
      </c>
      <c r="P545" s="28" t="str">
        <f t="shared" si="187"/>
        <v>On time</v>
      </c>
      <c r="Q545" s="27">
        <f t="shared" si="178"/>
        <v>0</v>
      </c>
      <c r="R545" s="29" t="s">
        <v>1061</v>
      </c>
      <c r="S545" t="s">
        <v>100</v>
      </c>
      <c r="T545" s="34">
        <v>4</v>
      </c>
      <c r="U545" t="s">
        <v>1065</v>
      </c>
      <c r="V545" s="27">
        <v>200</v>
      </c>
      <c r="W545" s="9">
        <v>13.02</v>
      </c>
      <c r="X545" s="53">
        <f t="shared" si="198"/>
        <v>2604</v>
      </c>
      <c r="Z545" s="10">
        <v>46108</v>
      </c>
      <c r="AA545" s="10">
        <v>46128</v>
      </c>
      <c r="AB545" s="10">
        <v>46152</v>
      </c>
      <c r="AC545" s="10">
        <v>46217</v>
      </c>
      <c r="AD545" s="31">
        <f t="shared" ca="1" si="179"/>
        <v>7</v>
      </c>
      <c r="AE545" s="36" t="s">
        <v>247</v>
      </c>
      <c r="AF545" t="s">
        <v>62</v>
      </c>
      <c r="AG545" s="10" t="s">
        <v>78</v>
      </c>
      <c r="AI545" s="9" t="s">
        <v>53</v>
      </c>
      <c r="AL545" t="s">
        <v>2035</v>
      </c>
      <c r="AM545" s="27" t="str">
        <f t="shared" si="175"/>
        <v>Atrasado</v>
      </c>
      <c r="AN545" s="27" t="str">
        <f t="shared" ca="1" si="199"/>
        <v>Estoque</v>
      </c>
      <c r="AO545" s="27" t="str">
        <f t="shared" ca="1" si="185"/>
        <v/>
      </c>
      <c r="AP545" t="s">
        <v>1320</v>
      </c>
    </row>
    <row r="546" spans="2:42" ht="15" hidden="1" customHeight="1">
      <c r="B546" s="34"/>
      <c r="D546" t="s">
        <v>1066</v>
      </c>
      <c r="E546" s="23" t="s">
        <v>1354</v>
      </c>
      <c r="F546" s="24"/>
      <c r="I546" s="26"/>
      <c r="J546" s="10"/>
      <c r="K546" s="10"/>
      <c r="L546" s="27" t="str">
        <f t="shared" si="197"/>
        <v xml:space="preserve"> </v>
      </c>
      <c r="M546" s="58"/>
      <c r="N546" s="27" t="str">
        <f t="shared" si="196"/>
        <v xml:space="preserve"> </v>
      </c>
      <c r="O546" s="27">
        <f t="shared" si="177"/>
        <v>0</v>
      </c>
      <c r="P546" s="28" t="str">
        <f t="shared" si="187"/>
        <v>On time</v>
      </c>
      <c r="Q546" s="27">
        <f t="shared" si="178"/>
        <v>0</v>
      </c>
      <c r="R546" s="29" t="s">
        <v>1061</v>
      </c>
      <c r="S546" t="s">
        <v>100</v>
      </c>
      <c r="T546" s="34">
        <v>5</v>
      </c>
      <c r="U546" t="s">
        <v>1066</v>
      </c>
      <c r="V546" s="27">
        <v>100</v>
      </c>
      <c r="W546" s="9">
        <v>3.57</v>
      </c>
      <c r="X546" s="53">
        <f t="shared" si="198"/>
        <v>357</v>
      </c>
      <c r="Z546" s="10">
        <v>46108</v>
      </c>
      <c r="AA546" s="10">
        <v>46128</v>
      </c>
      <c r="AB546" s="10">
        <v>46152</v>
      </c>
      <c r="AC546" s="10">
        <v>46217</v>
      </c>
      <c r="AD546" s="31">
        <f t="shared" ca="1" si="179"/>
        <v>7</v>
      </c>
      <c r="AE546" s="36" t="s">
        <v>247</v>
      </c>
      <c r="AF546" t="s">
        <v>62</v>
      </c>
      <c r="AG546" s="10" t="s">
        <v>78</v>
      </c>
      <c r="AI546" s="9" t="s">
        <v>53</v>
      </c>
      <c r="AL546" t="s">
        <v>2035</v>
      </c>
      <c r="AM546" s="27" t="str">
        <f t="shared" si="175"/>
        <v>Atrasado</v>
      </c>
      <c r="AN546" s="27" t="str">
        <f t="shared" ca="1" si="199"/>
        <v>Estoque</v>
      </c>
      <c r="AO546" s="27" t="str">
        <f t="shared" ca="1" si="185"/>
        <v/>
      </c>
      <c r="AP546" t="s">
        <v>1320</v>
      </c>
    </row>
    <row r="547" spans="2:42" ht="15" hidden="1" customHeight="1">
      <c r="B547" s="34"/>
      <c r="D547" t="s">
        <v>1067</v>
      </c>
      <c r="E547" s="23" t="s">
        <v>1355</v>
      </c>
      <c r="F547" s="24"/>
      <c r="I547" s="26"/>
      <c r="J547" s="10"/>
      <c r="K547" s="10"/>
      <c r="L547" s="27" t="str">
        <f t="shared" si="197"/>
        <v xml:space="preserve"> </v>
      </c>
      <c r="M547" s="58"/>
      <c r="N547" s="27" t="str">
        <f t="shared" si="196"/>
        <v xml:space="preserve"> </v>
      </c>
      <c r="O547" s="27">
        <f t="shared" si="177"/>
        <v>0</v>
      </c>
      <c r="P547" s="28" t="str">
        <f t="shared" si="187"/>
        <v>On time</v>
      </c>
      <c r="Q547" s="27">
        <f t="shared" si="178"/>
        <v>0</v>
      </c>
      <c r="R547" s="29" t="s">
        <v>1061</v>
      </c>
      <c r="S547" t="s">
        <v>100</v>
      </c>
      <c r="T547" s="34">
        <v>6</v>
      </c>
      <c r="U547" t="s">
        <v>1067</v>
      </c>
      <c r="V547" s="27">
        <v>500</v>
      </c>
      <c r="W547" s="9">
        <v>9.4</v>
      </c>
      <c r="X547" s="53">
        <f t="shared" si="198"/>
        <v>4700</v>
      </c>
      <c r="Z547" s="10">
        <v>46108</v>
      </c>
      <c r="AA547" s="10">
        <v>46128</v>
      </c>
      <c r="AB547" s="10">
        <v>46152</v>
      </c>
      <c r="AC547" s="10">
        <v>46217</v>
      </c>
      <c r="AD547" s="31">
        <f t="shared" ca="1" si="179"/>
        <v>7</v>
      </c>
      <c r="AE547" s="36" t="s">
        <v>247</v>
      </c>
      <c r="AF547" t="s">
        <v>62</v>
      </c>
      <c r="AG547" s="10" t="s">
        <v>78</v>
      </c>
      <c r="AI547" s="9" t="s">
        <v>53</v>
      </c>
      <c r="AL547" t="s">
        <v>2035</v>
      </c>
      <c r="AM547" s="27" t="str">
        <f t="shared" si="175"/>
        <v>Atrasado</v>
      </c>
      <c r="AN547" s="27" t="str">
        <f t="shared" ca="1" si="199"/>
        <v>Estoque</v>
      </c>
      <c r="AO547" s="27" t="str">
        <f t="shared" ca="1" si="185"/>
        <v/>
      </c>
      <c r="AP547" t="s">
        <v>1320</v>
      </c>
    </row>
    <row r="548" spans="2:42" ht="15" hidden="1" customHeight="1">
      <c r="B548" s="34"/>
      <c r="D548" t="s">
        <v>1068</v>
      </c>
      <c r="E548" s="23" t="s">
        <v>1356</v>
      </c>
      <c r="F548" s="24"/>
      <c r="I548" s="26"/>
      <c r="J548" s="10"/>
      <c r="K548" s="10"/>
      <c r="L548" s="27" t="str">
        <f t="shared" si="197"/>
        <v xml:space="preserve"> </v>
      </c>
      <c r="M548" s="58"/>
      <c r="N548" s="27" t="str">
        <f t="shared" si="196"/>
        <v xml:space="preserve"> </v>
      </c>
      <c r="O548" s="27">
        <f t="shared" si="177"/>
        <v>0</v>
      </c>
      <c r="P548" s="28" t="str">
        <f t="shared" si="187"/>
        <v>On time</v>
      </c>
      <c r="Q548" s="27">
        <f t="shared" si="178"/>
        <v>0</v>
      </c>
      <c r="R548" s="29" t="s">
        <v>1061</v>
      </c>
      <c r="S548" t="s">
        <v>100</v>
      </c>
      <c r="T548" s="34">
        <v>7</v>
      </c>
      <c r="U548" t="s">
        <v>1068</v>
      </c>
      <c r="V548" s="27">
        <v>500</v>
      </c>
      <c r="W548" s="9">
        <v>14.08</v>
      </c>
      <c r="X548" s="53">
        <f t="shared" si="198"/>
        <v>7040</v>
      </c>
      <c r="Z548" s="10">
        <v>46108</v>
      </c>
      <c r="AA548" s="10">
        <v>46128</v>
      </c>
      <c r="AB548" s="10">
        <v>46152</v>
      </c>
      <c r="AC548" s="10">
        <v>46217</v>
      </c>
      <c r="AD548" s="31">
        <f t="shared" ca="1" si="179"/>
        <v>7</v>
      </c>
      <c r="AE548" s="36" t="s">
        <v>247</v>
      </c>
      <c r="AF548" t="s">
        <v>62</v>
      </c>
      <c r="AG548" s="10" t="s">
        <v>78</v>
      </c>
      <c r="AI548" s="9" t="s">
        <v>53</v>
      </c>
      <c r="AL548" t="s">
        <v>2035</v>
      </c>
      <c r="AM548" s="27" t="str">
        <f t="shared" si="175"/>
        <v>Atrasado</v>
      </c>
      <c r="AN548" s="27" t="str">
        <f t="shared" ca="1" si="199"/>
        <v>Estoque</v>
      </c>
      <c r="AO548" s="27" t="str">
        <f t="shared" ca="1" si="185"/>
        <v/>
      </c>
      <c r="AP548" t="s">
        <v>1320</v>
      </c>
    </row>
    <row r="549" spans="2:42" ht="15" hidden="1" customHeight="1">
      <c r="B549" s="34"/>
      <c r="D549" t="s">
        <v>1069</v>
      </c>
      <c r="E549" s="23" t="s">
        <v>1357</v>
      </c>
      <c r="F549" s="24"/>
      <c r="I549" s="26"/>
      <c r="J549" s="10"/>
      <c r="K549" s="10"/>
      <c r="L549" s="27" t="str">
        <f t="shared" si="197"/>
        <v xml:space="preserve"> </v>
      </c>
      <c r="M549" s="58"/>
      <c r="N549" s="27" t="str">
        <f t="shared" si="196"/>
        <v xml:space="preserve"> </v>
      </c>
      <c r="O549" s="27">
        <f t="shared" si="177"/>
        <v>0</v>
      </c>
      <c r="P549" s="28" t="str">
        <f t="shared" si="187"/>
        <v>On time</v>
      </c>
      <c r="Q549" s="27">
        <f t="shared" si="178"/>
        <v>0</v>
      </c>
      <c r="R549" s="29" t="s">
        <v>1061</v>
      </c>
      <c r="S549" t="s">
        <v>100</v>
      </c>
      <c r="T549" s="34">
        <v>8</v>
      </c>
      <c r="U549" t="s">
        <v>1069</v>
      </c>
      <c r="V549" s="27">
        <v>10</v>
      </c>
      <c r="W549" s="9">
        <v>115.17</v>
      </c>
      <c r="X549" s="53">
        <f t="shared" si="198"/>
        <v>1151.7</v>
      </c>
      <c r="Z549" s="10">
        <v>46108</v>
      </c>
      <c r="AA549" s="10">
        <v>46128</v>
      </c>
      <c r="AB549" s="10">
        <v>46152</v>
      </c>
      <c r="AC549" s="10">
        <v>46217</v>
      </c>
      <c r="AD549" s="31">
        <f t="shared" ca="1" si="179"/>
        <v>7</v>
      </c>
      <c r="AE549" s="36" t="s">
        <v>247</v>
      </c>
      <c r="AF549" t="s">
        <v>62</v>
      </c>
      <c r="AG549" s="10" t="s">
        <v>78</v>
      </c>
      <c r="AI549" s="9" t="s">
        <v>53</v>
      </c>
      <c r="AL549" t="s">
        <v>2035</v>
      </c>
      <c r="AM549" s="27" t="str">
        <f t="shared" si="175"/>
        <v>Atrasado</v>
      </c>
      <c r="AN549" s="27" t="str">
        <f t="shared" ca="1" si="199"/>
        <v>Estoque</v>
      </c>
      <c r="AO549" s="27" t="str">
        <f t="shared" ca="1" si="185"/>
        <v/>
      </c>
      <c r="AP549" t="s">
        <v>1320</v>
      </c>
    </row>
    <row r="550" spans="2:42" ht="15" hidden="1" customHeight="1">
      <c r="B550" s="34"/>
      <c r="D550" t="s">
        <v>1070</v>
      </c>
      <c r="E550" s="23" t="s">
        <v>1358</v>
      </c>
      <c r="F550" s="24"/>
      <c r="I550" s="26"/>
      <c r="J550" s="10"/>
      <c r="K550" s="10"/>
      <c r="L550" s="27" t="str">
        <f t="shared" si="197"/>
        <v xml:space="preserve"> </v>
      </c>
      <c r="M550" s="58"/>
      <c r="N550" s="27" t="str">
        <f t="shared" si="196"/>
        <v xml:space="preserve"> </v>
      </c>
      <c r="O550" s="27">
        <f t="shared" si="177"/>
        <v>0</v>
      </c>
      <c r="P550" s="28" t="str">
        <f t="shared" si="187"/>
        <v>On time</v>
      </c>
      <c r="Q550" s="27">
        <f t="shared" si="178"/>
        <v>0</v>
      </c>
      <c r="R550" s="29" t="s">
        <v>1061</v>
      </c>
      <c r="S550" t="s">
        <v>100</v>
      </c>
      <c r="T550" s="34">
        <v>9</v>
      </c>
      <c r="U550" t="s">
        <v>1070</v>
      </c>
      <c r="V550" s="27">
        <v>300</v>
      </c>
      <c r="W550" s="9">
        <v>12.61</v>
      </c>
      <c r="X550" s="53">
        <f t="shared" si="198"/>
        <v>3783</v>
      </c>
      <c r="Z550" s="10">
        <v>46108</v>
      </c>
      <c r="AA550" s="10">
        <v>46128</v>
      </c>
      <c r="AB550" s="10">
        <v>46152</v>
      </c>
      <c r="AC550" s="10">
        <v>46217</v>
      </c>
      <c r="AD550" s="31">
        <f t="shared" ca="1" si="179"/>
        <v>7</v>
      </c>
      <c r="AE550" s="36" t="s">
        <v>247</v>
      </c>
      <c r="AF550" t="s">
        <v>62</v>
      </c>
      <c r="AG550" s="10" t="s">
        <v>78</v>
      </c>
      <c r="AI550" s="9" t="s">
        <v>53</v>
      </c>
      <c r="AL550" t="s">
        <v>2035</v>
      </c>
      <c r="AM550" s="27" t="str">
        <f t="shared" si="175"/>
        <v>Atrasado</v>
      </c>
      <c r="AN550" s="27" t="str">
        <f t="shared" ca="1" si="199"/>
        <v>Estoque</v>
      </c>
      <c r="AO550" s="27" t="str">
        <f t="shared" ca="1" si="185"/>
        <v/>
      </c>
      <c r="AP550" t="s">
        <v>1320</v>
      </c>
    </row>
    <row r="551" spans="2:42" ht="15" hidden="1" customHeight="1">
      <c r="B551" s="34"/>
      <c r="D551" t="s">
        <v>1071</v>
      </c>
      <c r="E551" s="23" t="s">
        <v>1359</v>
      </c>
      <c r="F551" s="24"/>
      <c r="I551" s="26"/>
      <c r="J551" s="10"/>
      <c r="K551" s="10"/>
      <c r="L551" s="27" t="str">
        <f t="shared" si="197"/>
        <v xml:space="preserve"> </v>
      </c>
      <c r="M551" s="58"/>
      <c r="N551" s="27" t="str">
        <f t="shared" si="196"/>
        <v xml:space="preserve"> </v>
      </c>
      <c r="O551" s="27">
        <f t="shared" si="177"/>
        <v>0</v>
      </c>
      <c r="P551" s="28" t="str">
        <f t="shared" si="187"/>
        <v>On time</v>
      </c>
      <c r="Q551" s="27">
        <f t="shared" si="178"/>
        <v>0</v>
      </c>
      <c r="R551" s="29" t="s">
        <v>1061</v>
      </c>
      <c r="S551" t="s">
        <v>100</v>
      </c>
      <c r="T551" s="34">
        <v>10</v>
      </c>
      <c r="U551" t="s">
        <v>1071</v>
      </c>
      <c r="V551" s="27">
        <v>20</v>
      </c>
      <c r="W551" s="9">
        <v>55.86</v>
      </c>
      <c r="X551" s="53">
        <f t="shared" si="198"/>
        <v>1117.2</v>
      </c>
      <c r="Z551" s="10">
        <v>46108</v>
      </c>
      <c r="AA551" s="10">
        <v>46128</v>
      </c>
      <c r="AB551" s="10">
        <v>46152</v>
      </c>
      <c r="AC551" s="10">
        <v>46217</v>
      </c>
      <c r="AD551" s="31">
        <f t="shared" ca="1" si="179"/>
        <v>7</v>
      </c>
      <c r="AE551" s="36" t="s">
        <v>247</v>
      </c>
      <c r="AF551" t="s">
        <v>62</v>
      </c>
      <c r="AG551" s="10" t="s">
        <v>78</v>
      </c>
      <c r="AI551" s="9" t="s">
        <v>53</v>
      </c>
      <c r="AL551" t="s">
        <v>2035</v>
      </c>
      <c r="AM551" s="27" t="str">
        <f t="shared" si="175"/>
        <v>Atrasado</v>
      </c>
      <c r="AN551" s="27" t="str">
        <f t="shared" ca="1" si="199"/>
        <v>Estoque</v>
      </c>
      <c r="AO551" s="27" t="str">
        <f t="shared" ca="1" si="185"/>
        <v/>
      </c>
      <c r="AP551" t="s">
        <v>1320</v>
      </c>
    </row>
    <row r="552" spans="2:42" ht="15" hidden="1" customHeight="1">
      <c r="B552" s="34"/>
      <c r="D552" t="s">
        <v>1072</v>
      </c>
      <c r="E552" s="23" t="s">
        <v>1360</v>
      </c>
      <c r="F552" s="24"/>
      <c r="I552" s="26"/>
      <c r="J552" s="10"/>
      <c r="K552" s="10"/>
      <c r="L552" s="27" t="str">
        <f t="shared" si="197"/>
        <v xml:space="preserve"> </v>
      </c>
      <c r="M552" s="58"/>
      <c r="N552" s="27" t="str">
        <f t="shared" si="196"/>
        <v xml:space="preserve"> </v>
      </c>
      <c r="O552" s="27">
        <f t="shared" si="177"/>
        <v>0</v>
      </c>
      <c r="P552" s="28" t="str">
        <f t="shared" si="187"/>
        <v>On time</v>
      </c>
      <c r="Q552" s="27">
        <f t="shared" si="178"/>
        <v>0</v>
      </c>
      <c r="R552" s="29" t="s">
        <v>1061</v>
      </c>
      <c r="S552" t="s">
        <v>100</v>
      </c>
      <c r="T552" s="34">
        <v>11</v>
      </c>
      <c r="U552" t="s">
        <v>1072</v>
      </c>
      <c r="V552" s="27">
        <v>50</v>
      </c>
      <c r="W552" s="9">
        <v>2.38</v>
      </c>
      <c r="X552" s="53">
        <f t="shared" si="198"/>
        <v>119</v>
      </c>
      <c r="Z552" s="10">
        <v>46108</v>
      </c>
      <c r="AA552" s="10">
        <v>46128</v>
      </c>
      <c r="AB552" s="10">
        <v>46152</v>
      </c>
      <c r="AC552" s="10">
        <v>46217</v>
      </c>
      <c r="AD552" s="31">
        <f t="shared" ca="1" si="179"/>
        <v>7</v>
      </c>
      <c r="AE552" s="36" t="s">
        <v>247</v>
      </c>
      <c r="AF552" t="s">
        <v>62</v>
      </c>
      <c r="AG552" s="10" t="s">
        <v>78</v>
      </c>
      <c r="AI552" s="9" t="s">
        <v>53</v>
      </c>
      <c r="AL552" t="s">
        <v>2035</v>
      </c>
      <c r="AM552" s="27" t="str">
        <f t="shared" ref="AM552:AM609" si="203">IF(AB552=0," ",IF(AB552&lt;=AA552+10,"On time","Atrasado"))</f>
        <v>Atrasado</v>
      </c>
      <c r="AN552" s="27" t="str">
        <f t="shared" ca="1" si="199"/>
        <v>Estoque</v>
      </c>
      <c r="AO552" s="27" t="str">
        <f t="shared" ca="1" si="185"/>
        <v/>
      </c>
      <c r="AP552" t="s">
        <v>1320</v>
      </c>
    </row>
    <row r="553" spans="2:42" ht="15" hidden="1" customHeight="1">
      <c r="B553" s="34"/>
      <c r="D553" t="s">
        <v>1073</v>
      </c>
      <c r="E553" s="23" t="s">
        <v>1361</v>
      </c>
      <c r="F553" s="24"/>
      <c r="I553" s="26"/>
      <c r="J553" s="10"/>
      <c r="K553" s="10"/>
      <c r="L553" s="27" t="str">
        <f t="shared" si="197"/>
        <v xml:space="preserve"> </v>
      </c>
      <c r="M553" s="58"/>
      <c r="N553" s="27" t="str">
        <f t="shared" si="196"/>
        <v xml:space="preserve"> </v>
      </c>
      <c r="O553" s="27">
        <f t="shared" si="177"/>
        <v>0</v>
      </c>
      <c r="P553" s="28" t="str">
        <f t="shared" si="187"/>
        <v>On time</v>
      </c>
      <c r="Q553" s="27">
        <f t="shared" si="178"/>
        <v>0</v>
      </c>
      <c r="R553" s="29" t="s">
        <v>1061</v>
      </c>
      <c r="S553" t="s">
        <v>100</v>
      </c>
      <c r="T553" s="34">
        <v>12</v>
      </c>
      <c r="U553" t="s">
        <v>1073</v>
      </c>
      <c r="V553" s="27">
        <v>500</v>
      </c>
      <c r="W553" s="9">
        <v>6.77</v>
      </c>
      <c r="X553" s="53">
        <f t="shared" si="198"/>
        <v>3385</v>
      </c>
      <c r="Z553" s="10">
        <v>46108</v>
      </c>
      <c r="AA553" s="10">
        <v>46128</v>
      </c>
      <c r="AB553" s="10">
        <v>46152</v>
      </c>
      <c r="AC553" s="10">
        <v>46217</v>
      </c>
      <c r="AD553" s="31">
        <f t="shared" ca="1" si="179"/>
        <v>7</v>
      </c>
      <c r="AE553" s="36" t="s">
        <v>247</v>
      </c>
      <c r="AF553" t="s">
        <v>62</v>
      </c>
      <c r="AG553" s="10" t="s">
        <v>78</v>
      </c>
      <c r="AI553" s="9" t="s">
        <v>53</v>
      </c>
      <c r="AL553" t="s">
        <v>2035</v>
      </c>
      <c r="AM553" s="27" t="str">
        <f t="shared" si="203"/>
        <v>Atrasado</v>
      </c>
      <c r="AN553" s="27" t="str">
        <f t="shared" ca="1" si="199"/>
        <v>Estoque</v>
      </c>
      <c r="AO553" s="27" t="str">
        <f t="shared" ca="1" si="185"/>
        <v/>
      </c>
      <c r="AP553" t="s">
        <v>1320</v>
      </c>
    </row>
    <row r="554" spans="2:42" ht="15" hidden="1" customHeight="1">
      <c r="B554" s="34"/>
      <c r="D554" t="s">
        <v>1074</v>
      </c>
      <c r="E554" s="23" t="s">
        <v>1362</v>
      </c>
      <c r="F554" s="24"/>
      <c r="I554" s="26"/>
      <c r="J554" s="10"/>
      <c r="K554" s="10"/>
      <c r="L554" s="27" t="str">
        <f t="shared" si="197"/>
        <v xml:space="preserve"> </v>
      </c>
      <c r="M554" s="58"/>
      <c r="N554" s="27" t="str">
        <f t="shared" si="196"/>
        <v xml:space="preserve"> </v>
      </c>
      <c r="O554" s="27">
        <f t="shared" si="177"/>
        <v>0</v>
      </c>
      <c r="P554" s="28" t="str">
        <f t="shared" si="187"/>
        <v>On time</v>
      </c>
      <c r="Q554" s="27">
        <f t="shared" si="178"/>
        <v>0</v>
      </c>
      <c r="R554" s="29" t="s">
        <v>1061</v>
      </c>
      <c r="S554" t="s">
        <v>100</v>
      </c>
      <c r="T554" s="34">
        <v>13</v>
      </c>
      <c r="U554" t="s">
        <v>1074</v>
      </c>
      <c r="V554" s="27">
        <v>1000</v>
      </c>
      <c r="W554" s="9">
        <v>9.66</v>
      </c>
      <c r="X554" s="53">
        <f t="shared" si="198"/>
        <v>9660</v>
      </c>
      <c r="Z554" s="10">
        <v>46108</v>
      </c>
      <c r="AA554" s="10">
        <v>46128</v>
      </c>
      <c r="AB554" s="10">
        <v>46152</v>
      </c>
      <c r="AC554" s="10">
        <v>46217</v>
      </c>
      <c r="AD554" s="31">
        <f t="shared" ca="1" si="179"/>
        <v>7</v>
      </c>
      <c r="AE554" s="36" t="s">
        <v>247</v>
      </c>
      <c r="AF554" t="s">
        <v>62</v>
      </c>
      <c r="AG554" s="10" t="s">
        <v>78</v>
      </c>
      <c r="AI554" s="9" t="s">
        <v>53</v>
      </c>
      <c r="AL554" t="s">
        <v>2035</v>
      </c>
      <c r="AM554" s="27" t="str">
        <f t="shared" si="203"/>
        <v>Atrasado</v>
      </c>
      <c r="AN554" s="27" t="str">
        <f t="shared" ca="1" si="199"/>
        <v>Estoque</v>
      </c>
      <c r="AO554" s="27" t="str">
        <f t="shared" ca="1" si="185"/>
        <v/>
      </c>
      <c r="AP554" t="s">
        <v>1320</v>
      </c>
    </row>
    <row r="555" spans="2:42" ht="15" hidden="1" customHeight="1">
      <c r="B555" s="34"/>
      <c r="D555" t="s">
        <v>1075</v>
      </c>
      <c r="E555" s="23" t="s">
        <v>1363</v>
      </c>
      <c r="F555" s="24"/>
      <c r="I555" s="26"/>
      <c r="J555" s="10"/>
      <c r="K555" s="10"/>
      <c r="L555" s="27" t="str">
        <f t="shared" si="197"/>
        <v xml:space="preserve"> </v>
      </c>
      <c r="M555" s="58"/>
      <c r="N555" s="27" t="str">
        <f t="shared" si="196"/>
        <v xml:space="preserve"> </v>
      </c>
      <c r="O555" s="27">
        <f t="shared" si="177"/>
        <v>0</v>
      </c>
      <c r="P555" s="28" t="str">
        <f t="shared" si="187"/>
        <v>On time</v>
      </c>
      <c r="Q555" s="27">
        <f t="shared" si="178"/>
        <v>0</v>
      </c>
      <c r="R555" s="29" t="s">
        <v>1061</v>
      </c>
      <c r="S555" t="s">
        <v>100</v>
      </c>
      <c r="T555" s="34">
        <v>14</v>
      </c>
      <c r="U555" t="s">
        <v>1075</v>
      </c>
      <c r="V555" s="27">
        <v>100</v>
      </c>
      <c r="W555" s="9">
        <v>3.99</v>
      </c>
      <c r="X555" s="53">
        <f t="shared" si="198"/>
        <v>399</v>
      </c>
      <c r="Z555" s="10">
        <v>46108</v>
      </c>
      <c r="AA555" s="10">
        <v>46128</v>
      </c>
      <c r="AB555" s="10">
        <v>46152</v>
      </c>
      <c r="AC555" s="10">
        <v>46217</v>
      </c>
      <c r="AD555" s="31">
        <f t="shared" ca="1" si="179"/>
        <v>7</v>
      </c>
      <c r="AE555" s="36" t="s">
        <v>247</v>
      </c>
      <c r="AF555" t="s">
        <v>62</v>
      </c>
      <c r="AG555" s="10" t="s">
        <v>78</v>
      </c>
      <c r="AI555" s="9" t="s">
        <v>53</v>
      </c>
      <c r="AL555" t="s">
        <v>2035</v>
      </c>
      <c r="AM555" s="27" t="str">
        <f t="shared" si="203"/>
        <v>Atrasado</v>
      </c>
      <c r="AN555" s="27" t="str">
        <f t="shared" ca="1" si="199"/>
        <v>Estoque</v>
      </c>
      <c r="AO555" s="27" t="str">
        <f t="shared" ca="1" si="185"/>
        <v/>
      </c>
      <c r="AP555" t="s">
        <v>1320</v>
      </c>
    </row>
    <row r="556" spans="2:42" ht="15" hidden="1" customHeight="1">
      <c r="B556" s="34"/>
      <c r="D556" t="s">
        <v>1076</v>
      </c>
      <c r="E556" s="23" t="s">
        <v>1364</v>
      </c>
      <c r="F556" s="24"/>
      <c r="I556" s="26"/>
      <c r="J556" s="10"/>
      <c r="K556" s="10"/>
      <c r="L556" s="27" t="str">
        <f t="shared" si="197"/>
        <v xml:space="preserve"> </v>
      </c>
      <c r="M556" s="58"/>
      <c r="N556" s="27" t="str">
        <f t="shared" si="196"/>
        <v xml:space="preserve"> </v>
      </c>
      <c r="O556" s="27">
        <f t="shared" si="177"/>
        <v>0</v>
      </c>
      <c r="P556" s="28" t="str">
        <f t="shared" si="187"/>
        <v>On time</v>
      </c>
      <c r="Q556" s="27">
        <f t="shared" si="178"/>
        <v>0</v>
      </c>
      <c r="R556" s="29" t="s">
        <v>1061</v>
      </c>
      <c r="S556" t="s">
        <v>100</v>
      </c>
      <c r="T556" s="34">
        <v>15</v>
      </c>
      <c r="U556" t="s">
        <v>1076</v>
      </c>
      <c r="V556" s="27">
        <v>400</v>
      </c>
      <c r="W556" s="9">
        <v>5.88</v>
      </c>
      <c r="X556" s="53">
        <f t="shared" si="198"/>
        <v>2352</v>
      </c>
      <c r="Z556" s="10">
        <v>46108</v>
      </c>
      <c r="AA556" s="10">
        <v>46128</v>
      </c>
      <c r="AB556" s="10">
        <v>46152</v>
      </c>
      <c r="AC556" s="10">
        <v>46217</v>
      </c>
      <c r="AD556" s="31">
        <f t="shared" ca="1" si="179"/>
        <v>7</v>
      </c>
      <c r="AE556" s="36" t="s">
        <v>247</v>
      </c>
      <c r="AF556" t="s">
        <v>62</v>
      </c>
      <c r="AG556" s="10" t="s">
        <v>78</v>
      </c>
      <c r="AI556" s="9" t="s">
        <v>53</v>
      </c>
      <c r="AL556" t="s">
        <v>2035</v>
      </c>
      <c r="AM556" s="27" t="str">
        <f t="shared" si="203"/>
        <v>Atrasado</v>
      </c>
      <c r="AN556" s="27" t="str">
        <f t="shared" ca="1" si="199"/>
        <v>Estoque</v>
      </c>
      <c r="AO556" s="27" t="str">
        <f t="shared" ca="1" si="185"/>
        <v/>
      </c>
      <c r="AP556" t="s">
        <v>1320</v>
      </c>
    </row>
    <row r="557" spans="2:42" ht="15" hidden="1" customHeight="1">
      <c r="B557" s="34"/>
      <c r="D557" t="s">
        <v>1077</v>
      </c>
      <c r="E557" s="23" t="s">
        <v>1365</v>
      </c>
      <c r="F557" s="24"/>
      <c r="I557" s="26"/>
      <c r="J557" s="10"/>
      <c r="K557" s="10"/>
      <c r="L557" s="27" t="str">
        <f t="shared" si="197"/>
        <v xml:space="preserve"> </v>
      </c>
      <c r="M557" s="58"/>
      <c r="N557" s="27" t="str">
        <f t="shared" si="196"/>
        <v xml:space="preserve"> </v>
      </c>
      <c r="O557" s="27">
        <f t="shared" si="177"/>
        <v>0</v>
      </c>
      <c r="P557" s="28" t="str">
        <f t="shared" si="187"/>
        <v>On time</v>
      </c>
      <c r="Q557" s="27">
        <f t="shared" si="178"/>
        <v>0</v>
      </c>
      <c r="R557" s="29" t="s">
        <v>1061</v>
      </c>
      <c r="S557" t="s">
        <v>100</v>
      </c>
      <c r="T557" s="34">
        <v>16</v>
      </c>
      <c r="U557" t="s">
        <v>1077</v>
      </c>
      <c r="V557" s="27">
        <v>10</v>
      </c>
      <c r="W557" s="9">
        <v>214.52</v>
      </c>
      <c r="X557" s="53">
        <f t="shared" si="198"/>
        <v>2145.2000000000003</v>
      </c>
      <c r="Z557" s="10">
        <v>46108</v>
      </c>
      <c r="AA557" s="10">
        <v>46128</v>
      </c>
      <c r="AB557" s="10">
        <v>46152</v>
      </c>
      <c r="AC557" s="10">
        <v>46217</v>
      </c>
      <c r="AD557" s="31">
        <f t="shared" ca="1" si="179"/>
        <v>7</v>
      </c>
      <c r="AE557" s="36" t="s">
        <v>247</v>
      </c>
      <c r="AF557" t="s">
        <v>62</v>
      </c>
      <c r="AG557" s="10" t="s">
        <v>78</v>
      </c>
      <c r="AI557" s="9" t="s">
        <v>53</v>
      </c>
      <c r="AL557" t="s">
        <v>2035</v>
      </c>
      <c r="AM557" s="27" t="str">
        <f t="shared" si="203"/>
        <v>Atrasado</v>
      </c>
      <c r="AN557" s="27" t="str">
        <f t="shared" ca="1" si="199"/>
        <v>Estoque</v>
      </c>
      <c r="AO557" s="27" t="str">
        <f t="shared" ca="1" si="185"/>
        <v/>
      </c>
      <c r="AP557" t="s">
        <v>1320</v>
      </c>
    </row>
    <row r="558" spans="2:42" ht="15" hidden="1" customHeight="1">
      <c r="B558" s="34"/>
      <c r="D558" t="s">
        <v>1078</v>
      </c>
      <c r="E558" s="23" t="s">
        <v>1366</v>
      </c>
      <c r="F558" s="24"/>
      <c r="I558" s="26"/>
      <c r="J558" s="10"/>
      <c r="K558" s="10"/>
      <c r="L558" s="27" t="str">
        <f t="shared" si="197"/>
        <v xml:space="preserve"> </v>
      </c>
      <c r="M558" s="58"/>
      <c r="N558" s="27" t="str">
        <f t="shared" si="196"/>
        <v xml:space="preserve"> </v>
      </c>
      <c r="O558" s="27">
        <f t="shared" si="177"/>
        <v>0</v>
      </c>
      <c r="P558" s="28" t="str">
        <f t="shared" si="187"/>
        <v>On time</v>
      </c>
      <c r="Q558" s="27">
        <f t="shared" si="178"/>
        <v>0</v>
      </c>
      <c r="R558" s="29" t="s">
        <v>1061</v>
      </c>
      <c r="S558" t="s">
        <v>100</v>
      </c>
      <c r="T558" s="34">
        <v>17</v>
      </c>
      <c r="U558" t="s">
        <v>1078</v>
      </c>
      <c r="V558" s="27">
        <v>200</v>
      </c>
      <c r="W558" s="9">
        <v>23.73</v>
      </c>
      <c r="X558" s="53">
        <f t="shared" si="198"/>
        <v>4746</v>
      </c>
      <c r="Z558" s="10">
        <v>46108</v>
      </c>
      <c r="AA558" s="10">
        <v>46128</v>
      </c>
      <c r="AB558" s="10">
        <v>46152</v>
      </c>
      <c r="AC558" s="10">
        <v>46217</v>
      </c>
      <c r="AD558" s="31">
        <f t="shared" ref="AD558:AD610" ca="1" si="204">TODAY()-AA558</f>
        <v>7</v>
      </c>
      <c r="AE558" s="36" t="s">
        <v>247</v>
      </c>
      <c r="AF558" t="s">
        <v>62</v>
      </c>
      <c r="AG558" s="10" t="s">
        <v>78</v>
      </c>
      <c r="AI558" s="9" t="s">
        <v>53</v>
      </c>
      <c r="AL558" t="s">
        <v>2035</v>
      </c>
      <c r="AM558" s="27" t="str">
        <f t="shared" si="203"/>
        <v>Atrasado</v>
      </c>
      <c r="AN558" s="27" t="str">
        <f t="shared" ca="1" si="199"/>
        <v>Estoque</v>
      </c>
      <c r="AO558" s="27" t="str">
        <f t="shared" ca="1" si="185"/>
        <v/>
      </c>
      <c r="AP558" t="s">
        <v>1320</v>
      </c>
    </row>
    <row r="559" spans="2:42" ht="15" hidden="1" customHeight="1">
      <c r="B559" s="34"/>
      <c r="D559" t="s">
        <v>1079</v>
      </c>
      <c r="E559" s="23" t="s">
        <v>1367</v>
      </c>
      <c r="F559" s="24"/>
      <c r="I559" s="26"/>
      <c r="J559" s="10"/>
      <c r="K559" s="10"/>
      <c r="L559" s="27" t="str">
        <f t="shared" si="197"/>
        <v xml:space="preserve"> </v>
      </c>
      <c r="M559" s="58"/>
      <c r="N559" s="27" t="str">
        <f t="shared" si="196"/>
        <v xml:space="preserve"> </v>
      </c>
      <c r="O559" s="27">
        <f t="shared" si="177"/>
        <v>0</v>
      </c>
      <c r="P559" s="28" t="str">
        <f t="shared" si="187"/>
        <v>On time</v>
      </c>
      <c r="Q559" s="27">
        <f t="shared" si="178"/>
        <v>0</v>
      </c>
      <c r="R559" s="29" t="s">
        <v>1061</v>
      </c>
      <c r="S559" t="s">
        <v>100</v>
      </c>
      <c r="T559" s="34">
        <v>18</v>
      </c>
      <c r="U559" t="s">
        <v>1079</v>
      </c>
      <c r="V559" s="27">
        <v>1500</v>
      </c>
      <c r="W559" s="9">
        <v>2.4</v>
      </c>
      <c r="X559" s="53">
        <f t="shared" si="198"/>
        <v>3600</v>
      </c>
      <c r="Z559" s="10">
        <v>46108</v>
      </c>
      <c r="AA559" s="10">
        <v>46128</v>
      </c>
      <c r="AB559" s="10">
        <v>46152</v>
      </c>
      <c r="AC559" s="10">
        <v>46217</v>
      </c>
      <c r="AD559" s="31">
        <f t="shared" ca="1" si="204"/>
        <v>7</v>
      </c>
      <c r="AE559" s="36" t="s">
        <v>247</v>
      </c>
      <c r="AF559" t="s">
        <v>62</v>
      </c>
      <c r="AG559" s="10" t="s">
        <v>78</v>
      </c>
      <c r="AI559" s="9" t="s">
        <v>53</v>
      </c>
      <c r="AL559" t="s">
        <v>2035</v>
      </c>
      <c r="AM559" s="27" t="str">
        <f t="shared" si="203"/>
        <v>Atrasado</v>
      </c>
      <c r="AN559" s="27" t="str">
        <f t="shared" ca="1" si="199"/>
        <v>Estoque</v>
      </c>
      <c r="AO559" s="27" t="str">
        <f t="shared" ca="1" si="185"/>
        <v/>
      </c>
      <c r="AP559" t="s">
        <v>1320</v>
      </c>
    </row>
    <row r="560" spans="2:42" ht="15" hidden="1" customHeight="1">
      <c r="B560" s="34"/>
      <c r="D560" t="s">
        <v>1080</v>
      </c>
      <c r="E560" s="23" t="s">
        <v>1368</v>
      </c>
      <c r="F560" s="24"/>
      <c r="I560" s="26"/>
      <c r="J560" s="10"/>
      <c r="K560" s="10"/>
      <c r="L560" s="27" t="str">
        <f t="shared" si="197"/>
        <v xml:space="preserve"> </v>
      </c>
      <c r="M560" s="58"/>
      <c r="N560" s="27" t="str">
        <f t="shared" si="196"/>
        <v xml:space="preserve"> </v>
      </c>
      <c r="O560" s="27">
        <f t="shared" si="177"/>
        <v>0</v>
      </c>
      <c r="P560" s="28" t="str">
        <f t="shared" si="187"/>
        <v>On time</v>
      </c>
      <c r="Q560" s="27">
        <f t="shared" si="178"/>
        <v>0</v>
      </c>
      <c r="R560" s="29" t="s">
        <v>1061</v>
      </c>
      <c r="S560" t="s">
        <v>100</v>
      </c>
      <c r="T560" s="34">
        <v>19</v>
      </c>
      <c r="U560" t="s">
        <v>1080</v>
      </c>
      <c r="V560" s="27">
        <v>50</v>
      </c>
      <c r="W560" s="9">
        <v>78.63</v>
      </c>
      <c r="X560" s="53">
        <f t="shared" si="198"/>
        <v>3931.5</v>
      </c>
      <c r="Z560" s="10">
        <v>46108</v>
      </c>
      <c r="AA560" s="10">
        <v>46128</v>
      </c>
      <c r="AB560" s="10">
        <v>46152</v>
      </c>
      <c r="AC560" s="10">
        <v>46217</v>
      </c>
      <c r="AD560" s="31">
        <f t="shared" ca="1" si="204"/>
        <v>7</v>
      </c>
      <c r="AE560" s="36" t="s">
        <v>247</v>
      </c>
      <c r="AF560" t="s">
        <v>62</v>
      </c>
      <c r="AG560" s="10" t="s">
        <v>78</v>
      </c>
      <c r="AI560" s="9" t="s">
        <v>53</v>
      </c>
      <c r="AL560" t="s">
        <v>2035</v>
      </c>
      <c r="AM560" s="27" t="str">
        <f t="shared" si="203"/>
        <v>Atrasado</v>
      </c>
      <c r="AN560" s="27" t="str">
        <f t="shared" ca="1" si="199"/>
        <v>Estoque</v>
      </c>
      <c r="AO560" s="27" t="str">
        <f t="shared" ca="1" si="185"/>
        <v/>
      </c>
      <c r="AP560" t="s">
        <v>1320</v>
      </c>
    </row>
    <row r="561" spans="1:42" ht="15" hidden="1" customHeight="1">
      <c r="B561" s="34"/>
      <c r="D561" t="s">
        <v>1081</v>
      </c>
      <c r="E561" s="23" t="s">
        <v>1369</v>
      </c>
      <c r="F561" s="24"/>
      <c r="I561" s="26"/>
      <c r="J561" s="10"/>
      <c r="K561" s="10"/>
      <c r="L561" s="27" t="str">
        <f t="shared" si="197"/>
        <v xml:space="preserve"> </v>
      </c>
      <c r="M561" s="58"/>
      <c r="N561" s="27" t="str">
        <f t="shared" si="196"/>
        <v xml:space="preserve"> </v>
      </c>
      <c r="O561" s="27">
        <f t="shared" si="177"/>
        <v>0</v>
      </c>
      <c r="P561" s="28" t="str">
        <f t="shared" si="187"/>
        <v>On time</v>
      </c>
      <c r="Q561" s="27">
        <f t="shared" si="178"/>
        <v>0</v>
      </c>
      <c r="R561" s="29" t="s">
        <v>1061</v>
      </c>
      <c r="S561" t="s">
        <v>100</v>
      </c>
      <c r="T561" s="34">
        <v>20</v>
      </c>
      <c r="U561" t="s">
        <v>1081</v>
      </c>
      <c r="V561" s="27">
        <v>30</v>
      </c>
      <c r="W561" s="9">
        <v>85.35</v>
      </c>
      <c r="X561" s="53">
        <f t="shared" si="198"/>
        <v>2560.5</v>
      </c>
      <c r="Z561" s="10">
        <v>46108</v>
      </c>
      <c r="AA561" s="10">
        <v>46128</v>
      </c>
      <c r="AB561" s="10">
        <v>46152</v>
      </c>
      <c r="AC561" s="10">
        <v>46217</v>
      </c>
      <c r="AD561" s="31">
        <f t="shared" ca="1" si="204"/>
        <v>7</v>
      </c>
      <c r="AE561" s="36" t="s">
        <v>247</v>
      </c>
      <c r="AF561" t="s">
        <v>62</v>
      </c>
      <c r="AG561" s="10" t="s">
        <v>78</v>
      </c>
      <c r="AI561" s="9" t="s">
        <v>53</v>
      </c>
      <c r="AL561" t="s">
        <v>2035</v>
      </c>
      <c r="AM561" s="27" t="str">
        <f t="shared" si="203"/>
        <v>Atrasado</v>
      </c>
      <c r="AN561" s="27" t="str">
        <f t="shared" ca="1" si="199"/>
        <v>Estoque</v>
      </c>
      <c r="AO561" s="27" t="str">
        <f t="shared" ca="1" si="185"/>
        <v/>
      </c>
      <c r="AP561" t="s">
        <v>1320</v>
      </c>
    </row>
    <row r="562" spans="1:42" ht="15" hidden="1" customHeight="1">
      <c r="B562" s="34"/>
      <c r="D562" t="s">
        <v>1082</v>
      </c>
      <c r="E562" s="23" t="s">
        <v>1370</v>
      </c>
      <c r="F562" s="24"/>
      <c r="I562" s="26"/>
      <c r="J562" s="10"/>
      <c r="K562" s="10"/>
      <c r="L562" s="27" t="str">
        <f t="shared" si="197"/>
        <v xml:space="preserve"> </v>
      </c>
      <c r="M562" s="58"/>
      <c r="N562" s="27" t="str">
        <f t="shared" si="196"/>
        <v xml:space="preserve"> </v>
      </c>
      <c r="O562" s="27">
        <f t="shared" si="177"/>
        <v>0</v>
      </c>
      <c r="P562" s="28" t="str">
        <f t="shared" si="187"/>
        <v>On time</v>
      </c>
      <c r="Q562" s="27">
        <f t="shared" si="178"/>
        <v>0</v>
      </c>
      <c r="R562" s="29" t="s">
        <v>1061</v>
      </c>
      <c r="S562" t="s">
        <v>100</v>
      </c>
      <c r="T562" s="34">
        <v>21</v>
      </c>
      <c r="U562" t="s">
        <v>1082</v>
      </c>
      <c r="V562" s="27">
        <v>20</v>
      </c>
      <c r="W562" s="9">
        <v>53.31</v>
      </c>
      <c r="X562" s="53">
        <f t="shared" si="198"/>
        <v>1066.2</v>
      </c>
      <c r="Z562" s="10">
        <v>46108</v>
      </c>
      <c r="AA562" s="10">
        <v>46128</v>
      </c>
      <c r="AB562" s="10">
        <v>46152</v>
      </c>
      <c r="AC562" s="10">
        <v>46217</v>
      </c>
      <c r="AD562" s="31">
        <f t="shared" ca="1" si="204"/>
        <v>7</v>
      </c>
      <c r="AE562" s="36" t="s">
        <v>247</v>
      </c>
      <c r="AF562" t="s">
        <v>62</v>
      </c>
      <c r="AG562" s="10" t="s">
        <v>78</v>
      </c>
      <c r="AI562" s="9" t="s">
        <v>53</v>
      </c>
      <c r="AL562" t="s">
        <v>2035</v>
      </c>
      <c r="AM562" s="27" t="str">
        <f t="shared" si="203"/>
        <v>Atrasado</v>
      </c>
      <c r="AN562" s="27" t="str">
        <f t="shared" ca="1" si="199"/>
        <v>Estoque</v>
      </c>
      <c r="AO562" s="27" t="str">
        <f t="shared" ca="1" si="185"/>
        <v/>
      </c>
      <c r="AP562" t="s">
        <v>1320</v>
      </c>
    </row>
    <row r="563" spans="1:42" ht="15" hidden="1" customHeight="1">
      <c r="B563" s="34"/>
      <c r="D563" t="s">
        <v>1083</v>
      </c>
      <c r="E563" s="23" t="s">
        <v>1371</v>
      </c>
      <c r="F563" s="24"/>
      <c r="I563" s="26"/>
      <c r="J563" s="10"/>
      <c r="K563" s="10"/>
      <c r="L563" s="27" t="str">
        <f t="shared" si="197"/>
        <v xml:space="preserve"> </v>
      </c>
      <c r="M563" s="58"/>
      <c r="N563" s="27" t="str">
        <f t="shared" si="196"/>
        <v xml:space="preserve"> </v>
      </c>
      <c r="O563" s="27">
        <f t="shared" si="177"/>
        <v>0</v>
      </c>
      <c r="P563" s="28" t="str">
        <f t="shared" si="187"/>
        <v>On time</v>
      </c>
      <c r="Q563" s="27">
        <f t="shared" si="178"/>
        <v>0</v>
      </c>
      <c r="R563" s="29" t="s">
        <v>1061</v>
      </c>
      <c r="S563" t="s">
        <v>100</v>
      </c>
      <c r="T563" s="34">
        <v>22</v>
      </c>
      <c r="U563" t="s">
        <v>1083</v>
      </c>
      <c r="V563" s="27">
        <v>400</v>
      </c>
      <c r="W563" s="9">
        <v>3.89</v>
      </c>
      <c r="X563" s="53">
        <f t="shared" si="198"/>
        <v>1556</v>
      </c>
      <c r="Z563" s="10">
        <v>46108</v>
      </c>
      <c r="AA563" s="10">
        <v>46128</v>
      </c>
      <c r="AB563" s="10">
        <v>46152</v>
      </c>
      <c r="AC563" s="10">
        <v>46217</v>
      </c>
      <c r="AD563" s="31">
        <f t="shared" ca="1" si="204"/>
        <v>7</v>
      </c>
      <c r="AE563" s="36" t="s">
        <v>247</v>
      </c>
      <c r="AF563" t="s">
        <v>62</v>
      </c>
      <c r="AG563" s="10" t="s">
        <v>78</v>
      </c>
      <c r="AI563" s="9" t="s">
        <v>53</v>
      </c>
      <c r="AL563" t="s">
        <v>2035</v>
      </c>
      <c r="AM563" s="27" t="str">
        <f t="shared" si="203"/>
        <v>Atrasado</v>
      </c>
      <c r="AN563" s="27" t="str">
        <f t="shared" ca="1" si="199"/>
        <v>Estoque</v>
      </c>
      <c r="AO563" s="27" t="str">
        <f t="shared" ca="1" si="185"/>
        <v/>
      </c>
      <c r="AP563" t="s">
        <v>1320</v>
      </c>
    </row>
    <row r="564" spans="1:42" ht="15" hidden="1" customHeight="1">
      <c r="B564" s="34"/>
      <c r="D564" t="s">
        <v>1084</v>
      </c>
      <c r="E564" s="23" t="s">
        <v>1372</v>
      </c>
      <c r="F564" s="24"/>
      <c r="I564" s="26"/>
      <c r="J564" s="10"/>
      <c r="K564" s="10"/>
      <c r="L564" s="27" t="str">
        <f t="shared" si="197"/>
        <v xml:space="preserve"> </v>
      </c>
      <c r="M564" s="58"/>
      <c r="N564" s="27" t="str">
        <f t="shared" si="196"/>
        <v xml:space="preserve"> </v>
      </c>
      <c r="O564" s="27">
        <f t="shared" si="177"/>
        <v>0</v>
      </c>
      <c r="P564" s="28" t="str">
        <f t="shared" si="187"/>
        <v>On time</v>
      </c>
      <c r="Q564" s="27">
        <f t="shared" si="178"/>
        <v>0</v>
      </c>
      <c r="R564" s="29" t="s">
        <v>1061</v>
      </c>
      <c r="S564" t="s">
        <v>100</v>
      </c>
      <c r="T564" s="34">
        <v>23</v>
      </c>
      <c r="U564" t="s">
        <v>1084</v>
      </c>
      <c r="V564" s="27">
        <v>150</v>
      </c>
      <c r="W564" s="9">
        <v>19.95</v>
      </c>
      <c r="X564" s="53">
        <f t="shared" si="198"/>
        <v>2992.5</v>
      </c>
      <c r="Z564" s="10">
        <v>46108</v>
      </c>
      <c r="AA564" s="10">
        <v>46128</v>
      </c>
      <c r="AB564" s="10">
        <v>46152</v>
      </c>
      <c r="AC564" s="10">
        <v>46217</v>
      </c>
      <c r="AD564" s="31">
        <f t="shared" ca="1" si="204"/>
        <v>7</v>
      </c>
      <c r="AE564" s="36" t="s">
        <v>247</v>
      </c>
      <c r="AF564" t="s">
        <v>62</v>
      </c>
      <c r="AG564" s="10" t="s">
        <v>78</v>
      </c>
      <c r="AI564" s="9" t="s">
        <v>53</v>
      </c>
      <c r="AL564" t="s">
        <v>2035</v>
      </c>
      <c r="AM564" s="27" t="str">
        <f t="shared" si="203"/>
        <v>Atrasado</v>
      </c>
      <c r="AN564" s="27" t="str">
        <f t="shared" ca="1" si="199"/>
        <v>Estoque</v>
      </c>
      <c r="AO564" s="27" t="str">
        <f t="shared" ca="1" si="185"/>
        <v/>
      </c>
      <c r="AP564" t="s">
        <v>1320</v>
      </c>
    </row>
    <row r="565" spans="1:42" ht="15" hidden="1" customHeight="1">
      <c r="B565" s="34"/>
      <c r="D565" t="s">
        <v>1085</v>
      </c>
      <c r="E565" s="23" t="s">
        <v>1373</v>
      </c>
      <c r="F565" s="24"/>
      <c r="I565" s="26"/>
      <c r="J565" s="10"/>
      <c r="K565" s="10"/>
      <c r="L565" s="27" t="str">
        <f t="shared" si="197"/>
        <v xml:space="preserve"> </v>
      </c>
      <c r="M565" s="58"/>
      <c r="N565" s="27" t="str">
        <f t="shared" si="196"/>
        <v xml:space="preserve"> </v>
      </c>
      <c r="O565" s="27">
        <f t="shared" si="177"/>
        <v>0</v>
      </c>
      <c r="P565" s="28" t="str">
        <f t="shared" si="187"/>
        <v>On time</v>
      </c>
      <c r="Q565" s="27">
        <f t="shared" si="178"/>
        <v>0</v>
      </c>
      <c r="R565" s="29" t="s">
        <v>1061</v>
      </c>
      <c r="S565" t="s">
        <v>100</v>
      </c>
      <c r="T565" s="34">
        <v>24</v>
      </c>
      <c r="U565" t="s">
        <v>1085</v>
      </c>
      <c r="V565" s="27">
        <v>100</v>
      </c>
      <c r="W565" s="9">
        <v>32.35</v>
      </c>
      <c r="X565" s="53">
        <f t="shared" si="198"/>
        <v>3235</v>
      </c>
      <c r="Z565" s="10">
        <v>46108</v>
      </c>
      <c r="AA565" s="10">
        <v>46128</v>
      </c>
      <c r="AB565" s="10">
        <v>46152</v>
      </c>
      <c r="AC565" s="10">
        <v>46217</v>
      </c>
      <c r="AD565" s="31">
        <f t="shared" ca="1" si="204"/>
        <v>7</v>
      </c>
      <c r="AE565" s="36" t="s">
        <v>247</v>
      </c>
      <c r="AF565" t="s">
        <v>62</v>
      </c>
      <c r="AG565" s="10" t="s">
        <v>78</v>
      </c>
      <c r="AI565" s="9" t="s">
        <v>53</v>
      </c>
      <c r="AL565" t="s">
        <v>2035</v>
      </c>
      <c r="AM565" s="27" t="str">
        <f t="shared" si="203"/>
        <v>Atrasado</v>
      </c>
      <c r="AN565" s="27" t="str">
        <f t="shared" ca="1" si="199"/>
        <v>Estoque</v>
      </c>
      <c r="AO565" s="27" t="str">
        <f t="shared" ca="1" si="185"/>
        <v/>
      </c>
      <c r="AP565" t="s">
        <v>1320</v>
      </c>
    </row>
    <row r="566" spans="1:42" ht="15" hidden="1" customHeight="1">
      <c r="B566" s="34"/>
      <c r="D566" t="s">
        <v>1086</v>
      </c>
      <c r="E566" s="23" t="s">
        <v>1374</v>
      </c>
      <c r="F566" s="24"/>
      <c r="I566" s="26"/>
      <c r="J566" s="10"/>
      <c r="K566" s="10"/>
      <c r="L566" s="27" t="str">
        <f t="shared" si="197"/>
        <v xml:space="preserve"> </v>
      </c>
      <c r="M566" s="58"/>
      <c r="N566" s="27" t="str">
        <f t="shared" si="196"/>
        <v xml:space="preserve"> </v>
      </c>
      <c r="O566" s="27">
        <f t="shared" si="177"/>
        <v>0</v>
      </c>
      <c r="P566" s="28" t="str">
        <f t="shared" si="187"/>
        <v>On time</v>
      </c>
      <c r="Q566" s="27">
        <f t="shared" si="178"/>
        <v>0</v>
      </c>
      <c r="R566" s="29" t="s">
        <v>1061</v>
      </c>
      <c r="S566" t="s">
        <v>100</v>
      </c>
      <c r="T566" s="34">
        <v>25</v>
      </c>
      <c r="U566" t="s">
        <v>1086</v>
      </c>
      <c r="V566" s="27">
        <v>50</v>
      </c>
      <c r="W566" s="9">
        <v>4.17</v>
      </c>
      <c r="X566" s="53">
        <f t="shared" si="198"/>
        <v>208.5</v>
      </c>
      <c r="Z566" s="10">
        <v>46108</v>
      </c>
      <c r="AA566" s="10">
        <v>46128</v>
      </c>
      <c r="AB566" s="10">
        <v>46152</v>
      </c>
      <c r="AC566" s="10">
        <v>46217</v>
      </c>
      <c r="AD566" s="31">
        <f t="shared" ca="1" si="204"/>
        <v>7</v>
      </c>
      <c r="AE566" s="36" t="s">
        <v>247</v>
      </c>
      <c r="AF566" t="s">
        <v>62</v>
      </c>
      <c r="AG566" s="10" t="s">
        <v>78</v>
      </c>
      <c r="AI566" s="9" t="s">
        <v>53</v>
      </c>
      <c r="AL566" t="s">
        <v>2035</v>
      </c>
      <c r="AM566" s="27" t="str">
        <f t="shared" si="203"/>
        <v>Atrasado</v>
      </c>
      <c r="AN566" s="27" t="str">
        <f t="shared" ca="1" si="199"/>
        <v>Estoque</v>
      </c>
      <c r="AO566" s="27" t="str">
        <f t="shared" ca="1" si="185"/>
        <v/>
      </c>
      <c r="AP566" t="s">
        <v>1320</v>
      </c>
    </row>
    <row r="567" spans="1:42" ht="15" hidden="1" customHeight="1">
      <c r="B567" s="34"/>
      <c r="D567" t="s">
        <v>1087</v>
      </c>
      <c r="E567" s="23" t="s">
        <v>1375</v>
      </c>
      <c r="F567" s="24"/>
      <c r="I567" s="26"/>
      <c r="J567" s="10"/>
      <c r="K567" s="10"/>
      <c r="L567" s="27" t="str">
        <f t="shared" si="197"/>
        <v xml:space="preserve"> </v>
      </c>
      <c r="M567" s="58"/>
      <c r="N567" s="27" t="str">
        <f t="shared" si="196"/>
        <v xml:space="preserve"> </v>
      </c>
      <c r="O567" s="27">
        <f t="shared" ref="O567:O631" si="205">M567-J567</f>
        <v>0</v>
      </c>
      <c r="P567" s="28" t="str">
        <f t="shared" si="187"/>
        <v>On time</v>
      </c>
      <c r="Q567" s="27">
        <f t="shared" ref="Q567:Q631" si="206">I567-J567</f>
        <v>0</v>
      </c>
      <c r="R567" s="29" t="s">
        <v>1061</v>
      </c>
      <c r="S567" t="s">
        <v>100</v>
      </c>
      <c r="T567" s="34">
        <v>26</v>
      </c>
      <c r="U567" t="s">
        <v>1087</v>
      </c>
      <c r="V567" s="27">
        <v>300</v>
      </c>
      <c r="W567" s="9">
        <v>8.9499999999999993</v>
      </c>
      <c r="X567" s="53">
        <f t="shared" si="198"/>
        <v>2685</v>
      </c>
      <c r="Z567" s="10">
        <v>46108</v>
      </c>
      <c r="AA567" s="10">
        <v>46128</v>
      </c>
      <c r="AB567" s="10">
        <v>46152</v>
      </c>
      <c r="AC567" s="10">
        <v>46217</v>
      </c>
      <c r="AD567" s="31">
        <f t="shared" ca="1" si="204"/>
        <v>7</v>
      </c>
      <c r="AE567" s="36" t="s">
        <v>247</v>
      </c>
      <c r="AF567" t="s">
        <v>62</v>
      </c>
      <c r="AG567" s="10" t="s">
        <v>78</v>
      </c>
      <c r="AI567" s="9" t="s">
        <v>53</v>
      </c>
      <c r="AL567" t="s">
        <v>2035</v>
      </c>
      <c r="AM567" s="27" t="str">
        <f t="shared" si="203"/>
        <v>Atrasado</v>
      </c>
      <c r="AN567" s="27" t="str">
        <f t="shared" ca="1" si="199"/>
        <v>Estoque</v>
      </c>
      <c r="AO567" s="27" t="str">
        <f t="shared" ca="1" si="185"/>
        <v/>
      </c>
      <c r="AP567" t="s">
        <v>1320</v>
      </c>
    </row>
    <row r="568" spans="1:42" ht="15" hidden="1" customHeight="1">
      <c r="B568" s="34"/>
      <c r="D568" t="s">
        <v>1088</v>
      </c>
      <c r="E568" s="23" t="s">
        <v>1376</v>
      </c>
      <c r="F568" s="24"/>
      <c r="I568" s="26"/>
      <c r="J568" s="10"/>
      <c r="K568" s="10"/>
      <c r="L568" s="27" t="str">
        <f t="shared" si="197"/>
        <v xml:space="preserve"> </v>
      </c>
      <c r="M568" s="58"/>
      <c r="N568" s="27" t="str">
        <f t="shared" si="196"/>
        <v xml:space="preserve"> </v>
      </c>
      <c r="O568" s="27">
        <f t="shared" si="205"/>
        <v>0</v>
      </c>
      <c r="P568" s="28" t="str">
        <f t="shared" si="187"/>
        <v>On time</v>
      </c>
      <c r="Q568" s="27">
        <f t="shared" si="206"/>
        <v>0</v>
      </c>
      <c r="R568" s="29" t="s">
        <v>1061</v>
      </c>
      <c r="S568" t="s">
        <v>100</v>
      </c>
      <c r="T568" s="34">
        <v>27</v>
      </c>
      <c r="U568" t="s">
        <v>1088</v>
      </c>
      <c r="V568" s="27">
        <v>10</v>
      </c>
      <c r="W568" s="9">
        <v>111.79</v>
      </c>
      <c r="X568" s="53">
        <f t="shared" si="198"/>
        <v>1117.9000000000001</v>
      </c>
      <c r="Z568" s="10">
        <v>46108</v>
      </c>
      <c r="AA568" s="10">
        <v>46128</v>
      </c>
      <c r="AB568" s="10">
        <v>46152</v>
      </c>
      <c r="AC568" s="10">
        <v>46217</v>
      </c>
      <c r="AD568" s="31">
        <f t="shared" ca="1" si="204"/>
        <v>7</v>
      </c>
      <c r="AE568" s="36" t="s">
        <v>247</v>
      </c>
      <c r="AF568" t="s">
        <v>62</v>
      </c>
      <c r="AG568" s="10" t="s">
        <v>78</v>
      </c>
      <c r="AI568" s="9" t="s">
        <v>53</v>
      </c>
      <c r="AL568" t="s">
        <v>2035</v>
      </c>
      <c r="AM568" s="27" t="str">
        <f t="shared" si="203"/>
        <v>Atrasado</v>
      </c>
      <c r="AN568" s="27" t="str">
        <f t="shared" ca="1" si="199"/>
        <v>Estoque</v>
      </c>
      <c r="AO568" s="27" t="str">
        <f t="shared" ca="1" si="185"/>
        <v/>
      </c>
      <c r="AP568" t="s">
        <v>1320</v>
      </c>
    </row>
    <row r="569" spans="1:42" ht="15" hidden="1" customHeight="1">
      <c r="B569" s="34"/>
      <c r="D569" t="s">
        <v>1089</v>
      </c>
      <c r="E569" s="23" t="s">
        <v>1377</v>
      </c>
      <c r="F569" s="24"/>
      <c r="I569" s="26"/>
      <c r="J569" s="10"/>
      <c r="K569" s="10"/>
      <c r="L569" s="27" t="str">
        <f t="shared" si="197"/>
        <v xml:space="preserve"> </v>
      </c>
      <c r="M569" s="58"/>
      <c r="N569" s="27" t="str">
        <f t="shared" si="196"/>
        <v xml:space="preserve"> </v>
      </c>
      <c r="O569" s="27">
        <f t="shared" si="205"/>
        <v>0</v>
      </c>
      <c r="P569" s="28" t="str">
        <f t="shared" si="187"/>
        <v>On time</v>
      </c>
      <c r="Q569" s="27">
        <f t="shared" si="206"/>
        <v>0</v>
      </c>
      <c r="R569" s="29" t="s">
        <v>1061</v>
      </c>
      <c r="S569" t="s">
        <v>100</v>
      </c>
      <c r="T569" s="34">
        <v>28</v>
      </c>
      <c r="U569" t="s">
        <v>1089</v>
      </c>
      <c r="V569" s="27">
        <v>300</v>
      </c>
      <c r="W569" s="9">
        <v>1.7</v>
      </c>
      <c r="X569" s="53">
        <f t="shared" si="198"/>
        <v>510</v>
      </c>
      <c r="Z569" s="10">
        <v>46108</v>
      </c>
      <c r="AA569" s="10">
        <v>46128</v>
      </c>
      <c r="AB569" s="10">
        <v>46152</v>
      </c>
      <c r="AC569" s="10">
        <v>46217</v>
      </c>
      <c r="AD569" s="31">
        <f t="shared" ca="1" si="204"/>
        <v>7</v>
      </c>
      <c r="AE569" s="36" t="s">
        <v>247</v>
      </c>
      <c r="AF569" t="s">
        <v>62</v>
      </c>
      <c r="AG569" s="10" t="s">
        <v>78</v>
      </c>
      <c r="AI569" s="9" t="s">
        <v>53</v>
      </c>
      <c r="AL569" t="s">
        <v>2035</v>
      </c>
      <c r="AM569" s="27" t="str">
        <f t="shared" si="203"/>
        <v>Atrasado</v>
      </c>
      <c r="AN569" s="27" t="str">
        <f t="shared" ca="1" si="199"/>
        <v>Estoque</v>
      </c>
      <c r="AO569" s="27" t="str">
        <f t="shared" ca="1" si="185"/>
        <v/>
      </c>
      <c r="AP569" t="s">
        <v>1320</v>
      </c>
    </row>
    <row r="570" spans="1:42" ht="15" hidden="1" customHeight="1">
      <c r="B570" s="34"/>
      <c r="D570" t="s">
        <v>1090</v>
      </c>
      <c r="E570" s="23" t="s">
        <v>1378</v>
      </c>
      <c r="F570" s="24"/>
      <c r="I570" s="26"/>
      <c r="J570" s="10"/>
      <c r="K570" s="10"/>
      <c r="L570" s="27" t="str">
        <f t="shared" si="197"/>
        <v xml:space="preserve"> </v>
      </c>
      <c r="M570" s="58"/>
      <c r="N570" s="27" t="str">
        <f t="shared" si="196"/>
        <v xml:space="preserve"> </v>
      </c>
      <c r="O570" s="27">
        <f t="shared" si="205"/>
        <v>0</v>
      </c>
      <c r="P570" s="28" t="str">
        <f t="shared" si="187"/>
        <v>On time</v>
      </c>
      <c r="Q570" s="27">
        <f t="shared" si="206"/>
        <v>0</v>
      </c>
      <c r="R570" s="29" t="s">
        <v>1061</v>
      </c>
      <c r="S570" t="s">
        <v>100</v>
      </c>
      <c r="T570" s="34">
        <v>29</v>
      </c>
      <c r="U570" t="s">
        <v>1090</v>
      </c>
      <c r="V570" s="27">
        <v>1000</v>
      </c>
      <c r="W570" s="9">
        <v>6.41</v>
      </c>
      <c r="X570" s="53">
        <f t="shared" si="198"/>
        <v>6410</v>
      </c>
      <c r="Z570" s="10">
        <v>46108</v>
      </c>
      <c r="AA570" s="10">
        <v>46128</v>
      </c>
      <c r="AB570" s="10">
        <v>46152</v>
      </c>
      <c r="AC570" s="10">
        <v>46217</v>
      </c>
      <c r="AD570" s="31">
        <f t="shared" ca="1" si="204"/>
        <v>7</v>
      </c>
      <c r="AE570" s="36" t="s">
        <v>247</v>
      </c>
      <c r="AF570" t="s">
        <v>62</v>
      </c>
      <c r="AG570" s="10" t="s">
        <v>78</v>
      </c>
      <c r="AI570" s="9" t="s">
        <v>53</v>
      </c>
      <c r="AL570" t="s">
        <v>2035</v>
      </c>
      <c r="AM570" s="27" t="str">
        <f t="shared" si="203"/>
        <v>Atrasado</v>
      </c>
      <c r="AN570" s="27" t="str">
        <f t="shared" ca="1" si="199"/>
        <v>Estoque</v>
      </c>
      <c r="AO570" s="27" t="str">
        <f t="shared" ca="1" si="185"/>
        <v/>
      </c>
      <c r="AP570" t="s">
        <v>1320</v>
      </c>
    </row>
    <row r="571" spans="1:42" ht="15" hidden="1" customHeight="1">
      <c r="B571" s="34"/>
      <c r="D571" t="s">
        <v>1091</v>
      </c>
      <c r="E571" s="23" t="s">
        <v>1379</v>
      </c>
      <c r="F571" s="24"/>
      <c r="I571" s="26"/>
      <c r="J571" s="10"/>
      <c r="K571" s="10"/>
      <c r="L571" s="27" t="str">
        <f t="shared" si="197"/>
        <v xml:space="preserve"> </v>
      </c>
      <c r="M571" s="58"/>
      <c r="N571" s="27" t="str">
        <f t="shared" si="196"/>
        <v xml:space="preserve"> </v>
      </c>
      <c r="O571" s="27">
        <f t="shared" si="205"/>
        <v>0</v>
      </c>
      <c r="P571" s="28" t="str">
        <f t="shared" si="187"/>
        <v>On time</v>
      </c>
      <c r="Q571" s="27">
        <f t="shared" si="206"/>
        <v>0</v>
      </c>
      <c r="R571" s="29" t="s">
        <v>1061</v>
      </c>
      <c r="S571" t="s">
        <v>100</v>
      </c>
      <c r="T571" s="34">
        <v>30</v>
      </c>
      <c r="U571" t="s">
        <v>1091</v>
      </c>
      <c r="V571" s="27">
        <v>500</v>
      </c>
      <c r="W571" s="9">
        <v>15.54</v>
      </c>
      <c r="X571" s="53">
        <f t="shared" si="198"/>
        <v>7770</v>
      </c>
      <c r="Z571" s="10">
        <v>46108</v>
      </c>
      <c r="AA571" s="10">
        <v>46128</v>
      </c>
      <c r="AB571" s="10">
        <v>46152</v>
      </c>
      <c r="AC571" s="10">
        <v>46217</v>
      </c>
      <c r="AD571" s="31">
        <f t="shared" ca="1" si="204"/>
        <v>7</v>
      </c>
      <c r="AE571" s="36" t="s">
        <v>247</v>
      </c>
      <c r="AF571" t="s">
        <v>62</v>
      </c>
      <c r="AG571" s="10" t="s">
        <v>78</v>
      </c>
      <c r="AI571" s="9" t="s">
        <v>53</v>
      </c>
      <c r="AL571" t="s">
        <v>2035</v>
      </c>
      <c r="AM571" s="27" t="str">
        <f t="shared" si="203"/>
        <v>Atrasado</v>
      </c>
      <c r="AN571" s="27" t="str">
        <f t="shared" ca="1" si="199"/>
        <v>Estoque</v>
      </c>
      <c r="AO571" s="27" t="str">
        <f t="shared" ca="1" si="185"/>
        <v/>
      </c>
      <c r="AP571" t="s">
        <v>1320</v>
      </c>
    </row>
    <row r="572" spans="1:42" ht="15" hidden="1" customHeight="1">
      <c r="B572" s="34"/>
      <c r="D572" t="s">
        <v>1092</v>
      </c>
      <c r="E572" s="23" t="s">
        <v>1380</v>
      </c>
      <c r="F572" s="24"/>
      <c r="I572" s="26"/>
      <c r="J572" s="10"/>
      <c r="K572" s="10"/>
      <c r="L572" s="27" t="str">
        <f t="shared" si="197"/>
        <v xml:space="preserve"> </v>
      </c>
      <c r="M572" s="58"/>
      <c r="N572" s="27" t="str">
        <f t="shared" si="196"/>
        <v xml:space="preserve"> </v>
      </c>
      <c r="O572" s="27">
        <f t="shared" si="205"/>
        <v>0</v>
      </c>
      <c r="P572" s="28" t="str">
        <f t="shared" si="187"/>
        <v>On time</v>
      </c>
      <c r="Q572" s="27">
        <f t="shared" si="206"/>
        <v>0</v>
      </c>
      <c r="R572" s="29" t="s">
        <v>1061</v>
      </c>
      <c r="S572" t="s">
        <v>100</v>
      </c>
      <c r="T572" s="34">
        <v>31</v>
      </c>
      <c r="U572" t="s">
        <v>1092</v>
      </c>
      <c r="V572" s="27">
        <v>10</v>
      </c>
      <c r="W572" s="9">
        <v>133.62</v>
      </c>
      <c r="X572" s="53">
        <f>W572*V572</f>
        <v>1336.2</v>
      </c>
      <c r="Z572" s="10">
        <v>46108</v>
      </c>
      <c r="AA572" s="10">
        <v>46128</v>
      </c>
      <c r="AB572" s="10">
        <v>46152</v>
      </c>
      <c r="AC572" s="10">
        <v>46217</v>
      </c>
      <c r="AD572" s="31">
        <f t="shared" ca="1" si="204"/>
        <v>7</v>
      </c>
      <c r="AE572" s="36" t="s">
        <v>247</v>
      </c>
      <c r="AF572" t="s">
        <v>62</v>
      </c>
      <c r="AG572" s="10" t="s">
        <v>78</v>
      </c>
      <c r="AI572" s="9" t="s">
        <v>53</v>
      </c>
      <c r="AL572" t="s">
        <v>2035</v>
      </c>
      <c r="AM572" s="27" t="str">
        <f t="shared" si="203"/>
        <v>Atrasado</v>
      </c>
      <c r="AN572" s="27" t="str">
        <f t="shared" ca="1" si="199"/>
        <v>Estoque</v>
      </c>
      <c r="AO572" s="27" t="str">
        <f t="shared" ca="1" si="185"/>
        <v/>
      </c>
      <c r="AP572" t="s">
        <v>1320</v>
      </c>
    </row>
    <row r="573" spans="1:42" ht="15" hidden="1" customHeight="1">
      <c r="A573">
        <v>514235</v>
      </c>
      <c r="B573" s="34">
        <v>6</v>
      </c>
      <c r="C573" t="s">
        <v>46</v>
      </c>
      <c r="D573" t="s">
        <v>2044</v>
      </c>
      <c r="E573" s="23" t="s">
        <v>2191</v>
      </c>
      <c r="F573" s="24">
        <v>2</v>
      </c>
      <c r="G573" s="25">
        <v>545.5</v>
      </c>
      <c r="H573" s="25">
        <f>G573*F573</f>
        <v>1091</v>
      </c>
      <c r="I573" s="26">
        <v>46262</v>
      </c>
      <c r="J573" s="10">
        <v>46112</v>
      </c>
      <c r="K573" s="10">
        <v>46112</v>
      </c>
      <c r="L573" s="27" t="str">
        <f t="shared" si="197"/>
        <v>On time</v>
      </c>
      <c r="M573" s="58">
        <v>46114</v>
      </c>
      <c r="N573" s="27" t="str">
        <f t="shared" si="196"/>
        <v>On time</v>
      </c>
      <c r="O573" s="27">
        <f t="shared" si="205"/>
        <v>2</v>
      </c>
      <c r="P573" s="28" t="str">
        <f t="shared" si="187"/>
        <v>Atrasado</v>
      </c>
      <c r="Q573" s="27">
        <f t="shared" si="206"/>
        <v>150</v>
      </c>
      <c r="R573" s="29" t="s">
        <v>1061</v>
      </c>
      <c r="S573" t="s">
        <v>100</v>
      </c>
      <c r="T573" s="34">
        <v>32</v>
      </c>
      <c r="U573" t="s">
        <v>2044</v>
      </c>
      <c r="V573" s="27">
        <v>2</v>
      </c>
      <c r="W573" s="9">
        <v>30</v>
      </c>
      <c r="X573" s="53">
        <f>W573*V573</f>
        <v>60</v>
      </c>
      <c r="Z573" s="10">
        <v>46108</v>
      </c>
      <c r="AA573" s="10">
        <v>46128</v>
      </c>
      <c r="AB573" s="10">
        <v>46152</v>
      </c>
      <c r="AC573" s="10">
        <v>46217</v>
      </c>
      <c r="AD573" s="31">
        <f t="shared" ca="1" si="204"/>
        <v>7</v>
      </c>
      <c r="AE573" s="36" t="s">
        <v>247</v>
      </c>
      <c r="AF573" t="s">
        <v>62</v>
      </c>
      <c r="AG573" s="10" t="s">
        <v>78</v>
      </c>
      <c r="AI573" s="9" t="s">
        <v>53</v>
      </c>
      <c r="AL573" t="s">
        <v>2035</v>
      </c>
      <c r="AM573" s="27" t="str">
        <f t="shared" si="203"/>
        <v>Atrasado</v>
      </c>
      <c r="AN573" s="27" t="str">
        <f t="shared" ca="1" si="199"/>
        <v>No prazo</v>
      </c>
      <c r="AO573" s="27"/>
      <c r="AP573" t="s">
        <v>2045</v>
      </c>
    </row>
    <row r="574" spans="1:42" ht="15" hidden="1" customHeight="1">
      <c r="D574" t="s">
        <v>1713</v>
      </c>
      <c r="E574" s="23" t="s">
        <v>1714</v>
      </c>
      <c r="F574" s="24"/>
      <c r="I574" s="26"/>
      <c r="L574" s="27" t="str">
        <f t="shared" si="197"/>
        <v xml:space="preserve"> </v>
      </c>
      <c r="N574" s="27" t="str">
        <f t="shared" si="196"/>
        <v xml:space="preserve"> </v>
      </c>
      <c r="O574" s="27">
        <f t="shared" si="205"/>
        <v>0</v>
      </c>
      <c r="P574" s="28" t="str">
        <f t="shared" si="187"/>
        <v>On time</v>
      </c>
      <c r="Q574" s="27">
        <f t="shared" si="206"/>
        <v>0</v>
      </c>
      <c r="R574" s="29" t="s">
        <v>1093</v>
      </c>
      <c r="S574" s="12" t="s">
        <v>818</v>
      </c>
      <c r="T574" s="35">
        <v>1</v>
      </c>
      <c r="U574" t="s">
        <v>785</v>
      </c>
      <c r="V574" s="27">
        <v>70</v>
      </c>
      <c r="W574" s="9">
        <v>3.42</v>
      </c>
      <c r="X574" s="9">
        <f>W574*V574</f>
        <v>239.4</v>
      </c>
      <c r="Z574" s="10">
        <v>46108</v>
      </c>
      <c r="AA574" s="10">
        <v>46126</v>
      </c>
      <c r="AB574" s="10">
        <v>46172</v>
      </c>
      <c r="AC574" s="10">
        <v>46237</v>
      </c>
      <c r="AD574" s="31">
        <f t="shared" ca="1" si="204"/>
        <v>9</v>
      </c>
      <c r="AE574" s="36" t="s">
        <v>247</v>
      </c>
      <c r="AF574" t="s">
        <v>62</v>
      </c>
      <c r="AG574" s="10" t="s">
        <v>79</v>
      </c>
      <c r="AI574" s="9" t="s">
        <v>53</v>
      </c>
      <c r="AL574" s="9" t="s">
        <v>2014</v>
      </c>
      <c r="AM574" s="27" t="str">
        <f t="shared" si="203"/>
        <v>Atrasado</v>
      </c>
      <c r="AN574" s="27" t="str">
        <f t="shared" ca="1" si="199"/>
        <v>Estoque</v>
      </c>
      <c r="AO574" s="27" t="str">
        <f t="shared" ca="1" si="185"/>
        <v/>
      </c>
      <c r="AP574" t="s">
        <v>819</v>
      </c>
    </row>
    <row r="575" spans="1:42" ht="15" hidden="1" customHeight="1">
      <c r="D575" t="s">
        <v>1715</v>
      </c>
      <c r="E575" s="23" t="s">
        <v>1716</v>
      </c>
      <c r="F575" s="24"/>
      <c r="I575" s="26"/>
      <c r="L575" s="27" t="str">
        <f t="shared" si="197"/>
        <v xml:space="preserve"> </v>
      </c>
      <c r="N575" s="27" t="str">
        <f t="shared" si="196"/>
        <v xml:space="preserve"> </v>
      </c>
      <c r="O575" s="27">
        <f t="shared" si="205"/>
        <v>0</v>
      </c>
      <c r="P575" s="28" t="str">
        <f t="shared" si="187"/>
        <v>On time</v>
      </c>
      <c r="Q575" s="27">
        <f t="shared" si="206"/>
        <v>0</v>
      </c>
      <c r="R575" s="29" t="s">
        <v>1093</v>
      </c>
      <c r="S575" s="12" t="s">
        <v>818</v>
      </c>
      <c r="T575" s="35">
        <v>2</v>
      </c>
      <c r="U575" t="s">
        <v>786</v>
      </c>
      <c r="V575" s="27">
        <v>100</v>
      </c>
      <c r="W575" s="9">
        <v>7.25</v>
      </c>
      <c r="X575" s="9">
        <f t="shared" ref="X575:X638" si="207">W575*V575</f>
        <v>725</v>
      </c>
      <c r="Z575" s="10">
        <v>46108</v>
      </c>
      <c r="AA575" s="10">
        <v>46126</v>
      </c>
      <c r="AB575" s="10">
        <v>46172</v>
      </c>
      <c r="AC575" s="10">
        <v>46237</v>
      </c>
      <c r="AD575" s="31">
        <f t="shared" ref="AD575:AD607" ca="1" si="208">TODAY()-AA575</f>
        <v>9</v>
      </c>
      <c r="AE575" s="36" t="s">
        <v>247</v>
      </c>
      <c r="AF575" t="s">
        <v>62</v>
      </c>
      <c r="AG575" s="10" t="s">
        <v>79</v>
      </c>
      <c r="AI575" s="9" t="s">
        <v>53</v>
      </c>
      <c r="AL575" s="9" t="s">
        <v>2014</v>
      </c>
      <c r="AM575" s="27" t="str">
        <f t="shared" si="203"/>
        <v>Atrasado</v>
      </c>
      <c r="AN575" s="27" t="str">
        <f t="shared" ca="1" si="199"/>
        <v>Estoque</v>
      </c>
      <c r="AO575" s="27" t="str">
        <f t="shared" ca="1" si="185"/>
        <v/>
      </c>
      <c r="AP575" t="s">
        <v>819</v>
      </c>
    </row>
    <row r="576" spans="1:42" ht="15" hidden="1" customHeight="1">
      <c r="D576" t="s">
        <v>1717</v>
      </c>
      <c r="E576" s="23" t="s">
        <v>1718</v>
      </c>
      <c r="F576" s="24"/>
      <c r="I576" s="26"/>
      <c r="L576" s="27" t="str">
        <f t="shared" si="197"/>
        <v xml:space="preserve"> </v>
      </c>
      <c r="N576" s="27" t="str">
        <f t="shared" si="196"/>
        <v xml:space="preserve"> </v>
      </c>
      <c r="O576" s="27">
        <f t="shared" si="205"/>
        <v>0</v>
      </c>
      <c r="P576" s="28" t="str">
        <f t="shared" si="187"/>
        <v>On time</v>
      </c>
      <c r="Q576" s="27">
        <f t="shared" si="206"/>
        <v>0</v>
      </c>
      <c r="R576" s="29" t="s">
        <v>1093</v>
      </c>
      <c r="S576" s="12" t="s">
        <v>818</v>
      </c>
      <c r="T576" s="35">
        <v>3</v>
      </c>
      <c r="U576" t="s">
        <v>787</v>
      </c>
      <c r="V576" s="27">
        <v>50</v>
      </c>
      <c r="W576" s="9">
        <v>12.4</v>
      </c>
      <c r="X576" s="9">
        <f t="shared" si="207"/>
        <v>620</v>
      </c>
      <c r="Z576" s="10">
        <v>46108</v>
      </c>
      <c r="AA576" s="10">
        <v>46126</v>
      </c>
      <c r="AB576" s="10">
        <v>46172</v>
      </c>
      <c r="AC576" s="10">
        <v>46237</v>
      </c>
      <c r="AD576" s="31">
        <f t="shared" ca="1" si="208"/>
        <v>9</v>
      </c>
      <c r="AE576" s="36" t="s">
        <v>247</v>
      </c>
      <c r="AF576" t="s">
        <v>62</v>
      </c>
      <c r="AG576" s="10" t="s">
        <v>79</v>
      </c>
      <c r="AI576" s="9" t="s">
        <v>53</v>
      </c>
      <c r="AL576" s="9" t="s">
        <v>2014</v>
      </c>
      <c r="AM576" s="27" t="str">
        <f t="shared" si="203"/>
        <v>Atrasado</v>
      </c>
      <c r="AN576" s="27" t="str">
        <f t="shared" ca="1" si="199"/>
        <v>Estoque</v>
      </c>
      <c r="AO576" s="27" t="str">
        <f t="shared" ca="1" si="185"/>
        <v/>
      </c>
      <c r="AP576" t="s">
        <v>819</v>
      </c>
    </row>
    <row r="577" spans="4:42" ht="15" hidden="1" customHeight="1">
      <c r="D577" t="s">
        <v>1719</v>
      </c>
      <c r="E577" s="23" t="s">
        <v>1720</v>
      </c>
      <c r="F577" s="24"/>
      <c r="I577" s="26"/>
      <c r="L577" s="27" t="str">
        <f t="shared" si="197"/>
        <v xml:space="preserve"> </v>
      </c>
      <c r="N577" s="27" t="str">
        <f t="shared" si="196"/>
        <v xml:space="preserve"> </v>
      </c>
      <c r="O577" s="27">
        <f t="shared" si="205"/>
        <v>0</v>
      </c>
      <c r="P577" s="28" t="str">
        <f t="shared" si="187"/>
        <v>On time</v>
      </c>
      <c r="Q577" s="27">
        <f t="shared" si="206"/>
        <v>0</v>
      </c>
      <c r="R577" s="29" t="s">
        <v>1093</v>
      </c>
      <c r="S577" s="12" t="s">
        <v>818</v>
      </c>
      <c r="T577" s="35">
        <v>4</v>
      </c>
      <c r="U577" t="s">
        <v>788</v>
      </c>
      <c r="V577" s="27">
        <v>30</v>
      </c>
      <c r="W577" s="9">
        <v>32</v>
      </c>
      <c r="X577" s="9">
        <f t="shared" si="207"/>
        <v>960</v>
      </c>
      <c r="Z577" s="10">
        <v>46108</v>
      </c>
      <c r="AA577" s="10">
        <v>46126</v>
      </c>
      <c r="AB577" s="10">
        <v>46172</v>
      </c>
      <c r="AC577" s="10">
        <v>46237</v>
      </c>
      <c r="AD577" s="31">
        <f t="shared" ca="1" si="208"/>
        <v>9</v>
      </c>
      <c r="AE577" s="36" t="s">
        <v>247</v>
      </c>
      <c r="AF577" t="s">
        <v>62</v>
      </c>
      <c r="AG577" s="10" t="s">
        <v>79</v>
      </c>
      <c r="AI577" s="9" t="s">
        <v>53</v>
      </c>
      <c r="AL577" s="9" t="s">
        <v>2014</v>
      </c>
      <c r="AM577" s="27" t="str">
        <f t="shared" si="203"/>
        <v>Atrasado</v>
      </c>
      <c r="AN577" s="27" t="str">
        <f t="shared" ca="1" si="199"/>
        <v>Estoque</v>
      </c>
      <c r="AO577" s="27" t="str">
        <f t="shared" ca="1" si="185"/>
        <v/>
      </c>
      <c r="AP577" t="s">
        <v>819</v>
      </c>
    </row>
    <row r="578" spans="4:42" ht="15" hidden="1" customHeight="1">
      <c r="D578" t="s">
        <v>1721</v>
      </c>
      <c r="E578" s="23" t="s">
        <v>1722</v>
      </c>
      <c r="F578" s="24"/>
      <c r="I578" s="26"/>
      <c r="L578" s="27" t="str">
        <f t="shared" si="197"/>
        <v xml:space="preserve"> </v>
      </c>
      <c r="N578" s="27" t="str">
        <f t="shared" si="196"/>
        <v xml:space="preserve"> </v>
      </c>
      <c r="O578" s="27">
        <f t="shared" si="205"/>
        <v>0</v>
      </c>
      <c r="P578" s="28" t="str">
        <f t="shared" si="187"/>
        <v>On time</v>
      </c>
      <c r="Q578" s="27">
        <f t="shared" si="206"/>
        <v>0</v>
      </c>
      <c r="R578" s="29" t="s">
        <v>1093</v>
      </c>
      <c r="S578" s="12" t="s">
        <v>818</v>
      </c>
      <c r="T578" s="35">
        <v>5</v>
      </c>
      <c r="U578" t="s">
        <v>789</v>
      </c>
      <c r="V578" s="27">
        <v>5</v>
      </c>
      <c r="W578" s="9">
        <v>86.7</v>
      </c>
      <c r="X578" s="9">
        <f t="shared" si="207"/>
        <v>433.5</v>
      </c>
      <c r="Z578" s="10">
        <v>46108</v>
      </c>
      <c r="AA578" s="10">
        <v>46126</v>
      </c>
      <c r="AB578" s="10">
        <v>46172</v>
      </c>
      <c r="AC578" s="10">
        <v>46237</v>
      </c>
      <c r="AD578" s="31">
        <f t="shared" ca="1" si="208"/>
        <v>9</v>
      </c>
      <c r="AE578" s="36" t="s">
        <v>247</v>
      </c>
      <c r="AF578" t="s">
        <v>62</v>
      </c>
      <c r="AG578" s="10" t="s">
        <v>79</v>
      </c>
      <c r="AI578" s="9" t="s">
        <v>53</v>
      </c>
      <c r="AL578" s="9" t="s">
        <v>2014</v>
      </c>
      <c r="AM578" s="27" t="str">
        <f t="shared" si="203"/>
        <v>Atrasado</v>
      </c>
      <c r="AN578" s="27" t="str">
        <f t="shared" ca="1" si="199"/>
        <v>Estoque</v>
      </c>
      <c r="AO578" s="27" t="str">
        <f t="shared" ca="1" si="185"/>
        <v/>
      </c>
      <c r="AP578" t="s">
        <v>819</v>
      </c>
    </row>
    <row r="579" spans="4:42" ht="15" hidden="1" customHeight="1">
      <c r="D579" t="s">
        <v>1723</v>
      </c>
      <c r="E579" s="23" t="s">
        <v>1724</v>
      </c>
      <c r="F579" s="24"/>
      <c r="I579" s="26"/>
      <c r="L579" s="27" t="str">
        <f t="shared" si="197"/>
        <v xml:space="preserve"> </v>
      </c>
      <c r="N579" s="27" t="str">
        <f t="shared" si="196"/>
        <v xml:space="preserve"> </v>
      </c>
      <c r="O579" s="27">
        <f t="shared" si="205"/>
        <v>0</v>
      </c>
      <c r="P579" s="28" t="str">
        <f t="shared" si="187"/>
        <v>On time</v>
      </c>
      <c r="Q579" s="27">
        <f t="shared" si="206"/>
        <v>0</v>
      </c>
      <c r="R579" s="29" t="s">
        <v>1093</v>
      </c>
      <c r="S579" s="12" t="s">
        <v>818</v>
      </c>
      <c r="T579" s="35">
        <v>6</v>
      </c>
      <c r="U579" t="s">
        <v>790</v>
      </c>
      <c r="V579" s="27">
        <v>30</v>
      </c>
      <c r="W579" s="9">
        <v>10.56</v>
      </c>
      <c r="X579" s="9">
        <f t="shared" si="207"/>
        <v>316.8</v>
      </c>
      <c r="Z579" s="10">
        <v>46108</v>
      </c>
      <c r="AA579" s="10">
        <v>46126</v>
      </c>
      <c r="AB579" s="10">
        <v>46172</v>
      </c>
      <c r="AC579" s="10">
        <v>46237</v>
      </c>
      <c r="AD579" s="31">
        <f t="shared" ca="1" si="208"/>
        <v>9</v>
      </c>
      <c r="AE579" s="36" t="s">
        <v>247</v>
      </c>
      <c r="AF579" t="s">
        <v>62</v>
      </c>
      <c r="AG579" s="10" t="s">
        <v>79</v>
      </c>
      <c r="AI579" s="9" t="s">
        <v>53</v>
      </c>
      <c r="AL579" s="9" t="s">
        <v>2014</v>
      </c>
      <c r="AM579" s="27" t="str">
        <f t="shared" si="203"/>
        <v>Atrasado</v>
      </c>
      <c r="AN579" s="27" t="str">
        <f t="shared" ca="1" si="199"/>
        <v>Estoque</v>
      </c>
      <c r="AO579" s="27" t="str">
        <f t="shared" ca="1" si="185"/>
        <v/>
      </c>
      <c r="AP579" t="s">
        <v>819</v>
      </c>
    </row>
    <row r="580" spans="4:42" ht="15" hidden="1" customHeight="1">
      <c r="D580" t="s">
        <v>1725</v>
      </c>
      <c r="E580" s="23" t="s">
        <v>1726</v>
      </c>
      <c r="F580" s="24"/>
      <c r="I580" s="26"/>
      <c r="L580" s="27" t="str">
        <f t="shared" si="197"/>
        <v xml:space="preserve"> </v>
      </c>
      <c r="N580" s="27" t="str">
        <f t="shared" si="196"/>
        <v xml:space="preserve"> </v>
      </c>
      <c r="O580" s="27">
        <f t="shared" si="205"/>
        <v>0</v>
      </c>
      <c r="P580" s="28" t="str">
        <f t="shared" si="187"/>
        <v>On time</v>
      </c>
      <c r="Q580" s="27">
        <f t="shared" si="206"/>
        <v>0</v>
      </c>
      <c r="R580" s="29" t="s">
        <v>1093</v>
      </c>
      <c r="S580" s="12" t="s">
        <v>818</v>
      </c>
      <c r="T580" s="35">
        <v>7</v>
      </c>
      <c r="U580" t="s">
        <v>791</v>
      </c>
      <c r="V580" s="27">
        <v>5</v>
      </c>
      <c r="W580" s="9">
        <v>44.3</v>
      </c>
      <c r="X580" s="9">
        <f t="shared" si="207"/>
        <v>221.5</v>
      </c>
      <c r="Z580" s="10">
        <v>46108</v>
      </c>
      <c r="AA580" s="10">
        <v>46126</v>
      </c>
      <c r="AB580" s="10">
        <v>46172</v>
      </c>
      <c r="AC580" s="10">
        <v>46237</v>
      </c>
      <c r="AD580" s="31">
        <f t="shared" ca="1" si="208"/>
        <v>9</v>
      </c>
      <c r="AE580" s="36" t="s">
        <v>247</v>
      </c>
      <c r="AF580" t="s">
        <v>62</v>
      </c>
      <c r="AG580" s="10" t="s">
        <v>79</v>
      </c>
      <c r="AI580" s="9" t="s">
        <v>53</v>
      </c>
      <c r="AL580" s="9" t="s">
        <v>2014</v>
      </c>
      <c r="AM580" s="27" t="str">
        <f t="shared" si="203"/>
        <v>Atrasado</v>
      </c>
      <c r="AN580" s="27" t="str">
        <f t="shared" ca="1" si="199"/>
        <v>Estoque</v>
      </c>
      <c r="AO580" s="27" t="str">
        <f t="shared" ca="1" si="185"/>
        <v/>
      </c>
      <c r="AP580" t="s">
        <v>819</v>
      </c>
    </row>
    <row r="581" spans="4:42" ht="15" hidden="1" customHeight="1">
      <c r="D581" t="s">
        <v>1727</v>
      </c>
      <c r="E581" s="23" t="s">
        <v>1728</v>
      </c>
      <c r="F581" s="24"/>
      <c r="I581" s="26"/>
      <c r="L581" s="27" t="str">
        <f t="shared" si="197"/>
        <v xml:space="preserve"> </v>
      </c>
      <c r="N581" s="27" t="str">
        <f t="shared" si="196"/>
        <v xml:space="preserve"> </v>
      </c>
      <c r="O581" s="27">
        <f t="shared" si="205"/>
        <v>0</v>
      </c>
      <c r="P581" s="28" t="str">
        <f t="shared" si="187"/>
        <v>On time</v>
      </c>
      <c r="Q581" s="27">
        <f t="shared" si="206"/>
        <v>0</v>
      </c>
      <c r="R581" s="29" t="s">
        <v>1093</v>
      </c>
      <c r="S581" s="12" t="s">
        <v>818</v>
      </c>
      <c r="T581" s="35">
        <v>8</v>
      </c>
      <c r="U581" t="s">
        <v>792</v>
      </c>
      <c r="V581" s="27">
        <v>5</v>
      </c>
      <c r="W581" s="9">
        <v>57.5</v>
      </c>
      <c r="X581" s="9">
        <f t="shared" si="207"/>
        <v>287.5</v>
      </c>
      <c r="Z581" s="10">
        <v>46108</v>
      </c>
      <c r="AA581" s="10">
        <v>46126</v>
      </c>
      <c r="AB581" s="10">
        <v>46172</v>
      </c>
      <c r="AC581" s="10">
        <v>46237</v>
      </c>
      <c r="AD581" s="31">
        <f t="shared" ca="1" si="208"/>
        <v>9</v>
      </c>
      <c r="AE581" s="36" t="s">
        <v>247</v>
      </c>
      <c r="AF581" t="s">
        <v>62</v>
      </c>
      <c r="AG581" s="10" t="s">
        <v>79</v>
      </c>
      <c r="AI581" s="9" t="s">
        <v>53</v>
      </c>
      <c r="AL581" s="9" t="s">
        <v>2014</v>
      </c>
      <c r="AM581" s="27" t="str">
        <f t="shared" si="203"/>
        <v>Atrasado</v>
      </c>
      <c r="AN581" s="27" t="str">
        <f t="shared" ca="1" si="199"/>
        <v>Estoque</v>
      </c>
      <c r="AO581" s="27" t="str">
        <f t="shared" ca="1" si="185"/>
        <v/>
      </c>
      <c r="AP581" t="s">
        <v>819</v>
      </c>
    </row>
    <row r="582" spans="4:42" ht="15" hidden="1" customHeight="1">
      <c r="D582" t="s">
        <v>1729</v>
      </c>
      <c r="E582" s="23" t="s">
        <v>1730</v>
      </c>
      <c r="F582" s="24"/>
      <c r="I582" s="26"/>
      <c r="L582" s="27" t="str">
        <f t="shared" si="197"/>
        <v xml:space="preserve"> </v>
      </c>
      <c r="N582" s="27" t="str">
        <f t="shared" si="196"/>
        <v xml:space="preserve"> </v>
      </c>
      <c r="O582" s="27">
        <f t="shared" si="205"/>
        <v>0</v>
      </c>
      <c r="P582" s="28" t="str">
        <f t="shared" si="187"/>
        <v>On time</v>
      </c>
      <c r="Q582" s="27">
        <f t="shared" si="206"/>
        <v>0</v>
      </c>
      <c r="R582" s="29" t="s">
        <v>1093</v>
      </c>
      <c r="S582" s="12" t="s">
        <v>818</v>
      </c>
      <c r="T582" s="35">
        <v>9</v>
      </c>
      <c r="U582" t="s">
        <v>793</v>
      </c>
      <c r="V582" s="27">
        <v>50</v>
      </c>
      <c r="W582" s="9">
        <v>1.55</v>
      </c>
      <c r="X582" s="9">
        <f t="shared" si="207"/>
        <v>77.5</v>
      </c>
      <c r="Z582" s="10">
        <v>46108</v>
      </c>
      <c r="AA582" s="10">
        <v>46126</v>
      </c>
      <c r="AB582" s="10">
        <v>46172</v>
      </c>
      <c r="AC582" s="10">
        <v>46237</v>
      </c>
      <c r="AD582" s="31">
        <f t="shared" ca="1" si="208"/>
        <v>9</v>
      </c>
      <c r="AE582" s="36" t="s">
        <v>247</v>
      </c>
      <c r="AF582" t="s">
        <v>62</v>
      </c>
      <c r="AG582" s="10" t="s">
        <v>79</v>
      </c>
      <c r="AI582" s="9" t="s">
        <v>53</v>
      </c>
      <c r="AL582" s="9" t="s">
        <v>2014</v>
      </c>
      <c r="AM582" s="27" t="str">
        <f t="shared" si="203"/>
        <v>Atrasado</v>
      </c>
      <c r="AN582" s="27" t="str">
        <f t="shared" ca="1" si="199"/>
        <v>Estoque</v>
      </c>
      <c r="AO582" s="27" t="str">
        <f t="shared" ca="1" si="185"/>
        <v/>
      </c>
      <c r="AP582" t="s">
        <v>819</v>
      </c>
    </row>
    <row r="583" spans="4:42" ht="15" hidden="1" customHeight="1">
      <c r="D583" t="s">
        <v>1731</v>
      </c>
      <c r="E583" s="23" t="s">
        <v>1732</v>
      </c>
      <c r="F583" s="24"/>
      <c r="I583" s="26"/>
      <c r="L583" s="27" t="str">
        <f t="shared" si="197"/>
        <v xml:space="preserve"> </v>
      </c>
      <c r="N583" s="27" t="str">
        <f t="shared" si="196"/>
        <v xml:space="preserve"> </v>
      </c>
      <c r="O583" s="27">
        <f t="shared" si="205"/>
        <v>0</v>
      </c>
      <c r="P583" s="28" t="str">
        <f t="shared" si="187"/>
        <v>On time</v>
      </c>
      <c r="Q583" s="27">
        <f t="shared" si="206"/>
        <v>0</v>
      </c>
      <c r="R583" s="29" t="s">
        <v>1093</v>
      </c>
      <c r="S583" s="12" t="s">
        <v>818</v>
      </c>
      <c r="T583" s="35">
        <v>10</v>
      </c>
      <c r="U583" t="s">
        <v>794</v>
      </c>
      <c r="V583" s="27">
        <v>20</v>
      </c>
      <c r="W583" s="9">
        <v>24.5</v>
      </c>
      <c r="X583" s="9">
        <f t="shared" si="207"/>
        <v>490</v>
      </c>
      <c r="Z583" s="10">
        <v>46108</v>
      </c>
      <c r="AA583" s="10">
        <v>46126</v>
      </c>
      <c r="AB583" s="10">
        <v>46172</v>
      </c>
      <c r="AC583" s="10">
        <v>46237</v>
      </c>
      <c r="AD583" s="31">
        <f t="shared" ca="1" si="208"/>
        <v>9</v>
      </c>
      <c r="AE583" s="36" t="s">
        <v>247</v>
      </c>
      <c r="AF583" t="s">
        <v>62</v>
      </c>
      <c r="AG583" s="10" t="s">
        <v>79</v>
      </c>
      <c r="AI583" s="9" t="s">
        <v>53</v>
      </c>
      <c r="AL583" s="9" t="s">
        <v>2014</v>
      </c>
      <c r="AM583" s="27" t="str">
        <f t="shared" si="203"/>
        <v>Atrasado</v>
      </c>
      <c r="AN583" s="27" t="str">
        <f t="shared" ca="1" si="199"/>
        <v>Estoque</v>
      </c>
      <c r="AO583" s="27" t="str">
        <f t="shared" ca="1" si="185"/>
        <v/>
      </c>
      <c r="AP583" t="s">
        <v>819</v>
      </c>
    </row>
    <row r="584" spans="4:42" ht="15" hidden="1" customHeight="1">
      <c r="D584" t="s">
        <v>1733</v>
      </c>
      <c r="E584" s="23" t="s">
        <v>1734</v>
      </c>
      <c r="F584" s="24"/>
      <c r="I584" s="26"/>
      <c r="L584" s="27" t="str">
        <f t="shared" si="197"/>
        <v xml:space="preserve"> </v>
      </c>
      <c r="N584" s="27" t="str">
        <f t="shared" si="196"/>
        <v xml:space="preserve"> </v>
      </c>
      <c r="O584" s="27">
        <f t="shared" si="205"/>
        <v>0</v>
      </c>
      <c r="P584" s="28" t="str">
        <f t="shared" si="187"/>
        <v>On time</v>
      </c>
      <c r="Q584" s="27">
        <f t="shared" si="206"/>
        <v>0</v>
      </c>
      <c r="R584" s="29" t="s">
        <v>1093</v>
      </c>
      <c r="S584" s="12" t="s">
        <v>818</v>
      </c>
      <c r="T584" s="35">
        <v>11</v>
      </c>
      <c r="U584" t="s">
        <v>795</v>
      </c>
      <c r="V584" s="27">
        <v>10</v>
      </c>
      <c r="W584" s="9">
        <v>49.9</v>
      </c>
      <c r="X584" s="9">
        <f t="shared" si="207"/>
        <v>499</v>
      </c>
      <c r="Z584" s="10">
        <v>46108</v>
      </c>
      <c r="AA584" s="10">
        <v>46126</v>
      </c>
      <c r="AB584" s="10">
        <v>46172</v>
      </c>
      <c r="AC584" s="10">
        <v>46237</v>
      </c>
      <c r="AD584" s="31">
        <f t="shared" ca="1" si="208"/>
        <v>9</v>
      </c>
      <c r="AE584" s="36" t="s">
        <v>247</v>
      </c>
      <c r="AF584" t="s">
        <v>62</v>
      </c>
      <c r="AG584" s="10" t="s">
        <v>79</v>
      </c>
      <c r="AI584" s="9" t="s">
        <v>53</v>
      </c>
      <c r="AL584" s="9" t="s">
        <v>2014</v>
      </c>
      <c r="AM584" s="27" t="str">
        <f t="shared" si="203"/>
        <v>Atrasado</v>
      </c>
      <c r="AN584" s="27" t="str">
        <f t="shared" ca="1" si="199"/>
        <v>Estoque</v>
      </c>
      <c r="AO584" s="27" t="str">
        <f t="shared" ref="AO584:AO647" ca="1" si="209">IF(AN584="Chegou","Chegou HCI",IF(AND(AJ584&lt;&gt;"",AK584&lt;&gt;""),IF(TODAY()&gt;=AJ584,"Embarcado","Ag. embarque"),IF(AND(AJ584&lt;&gt;"",AK584=""),"Ag. booking","")))</f>
        <v/>
      </c>
      <c r="AP584" t="s">
        <v>819</v>
      </c>
    </row>
    <row r="585" spans="4:42" ht="15" hidden="1" customHeight="1">
      <c r="D585" t="s">
        <v>1735</v>
      </c>
      <c r="E585" s="23" t="s">
        <v>1736</v>
      </c>
      <c r="F585" s="24"/>
      <c r="I585" s="26"/>
      <c r="L585" s="27" t="str">
        <f t="shared" si="197"/>
        <v xml:space="preserve"> </v>
      </c>
      <c r="N585" s="27" t="str">
        <f t="shared" si="196"/>
        <v xml:space="preserve"> </v>
      </c>
      <c r="O585" s="27">
        <f t="shared" si="205"/>
        <v>0</v>
      </c>
      <c r="P585" s="28" t="str">
        <f t="shared" ref="P585:P648" si="210">IF(Z585=0," ",IF(M585&gt;=Z585+6,"Atrasado","On time"))</f>
        <v>On time</v>
      </c>
      <c r="Q585" s="27">
        <f t="shared" si="206"/>
        <v>0</v>
      </c>
      <c r="R585" s="29" t="s">
        <v>1093</v>
      </c>
      <c r="S585" s="12" t="s">
        <v>818</v>
      </c>
      <c r="T585" s="35">
        <v>12</v>
      </c>
      <c r="U585" t="s">
        <v>796</v>
      </c>
      <c r="V585" s="27">
        <v>10</v>
      </c>
      <c r="W585" s="9">
        <v>64.099999999999994</v>
      </c>
      <c r="X585" s="9">
        <f t="shared" si="207"/>
        <v>641</v>
      </c>
      <c r="Z585" s="10">
        <v>46108</v>
      </c>
      <c r="AA585" s="10">
        <v>46126</v>
      </c>
      <c r="AB585" s="10">
        <v>46172</v>
      </c>
      <c r="AC585" s="10">
        <v>46237</v>
      </c>
      <c r="AD585" s="31">
        <f t="shared" ca="1" si="208"/>
        <v>9</v>
      </c>
      <c r="AE585" s="36" t="s">
        <v>247</v>
      </c>
      <c r="AF585" t="s">
        <v>62</v>
      </c>
      <c r="AG585" s="10" t="s">
        <v>79</v>
      </c>
      <c r="AI585" s="9" t="s">
        <v>53</v>
      </c>
      <c r="AL585" s="9" t="s">
        <v>2014</v>
      </c>
      <c r="AM585" s="27" t="str">
        <f t="shared" si="203"/>
        <v>Atrasado</v>
      </c>
      <c r="AN585" s="27" t="str">
        <f t="shared" ca="1" si="199"/>
        <v>Estoque</v>
      </c>
      <c r="AO585" s="27" t="str">
        <f t="shared" ca="1" si="209"/>
        <v/>
      </c>
      <c r="AP585" t="s">
        <v>819</v>
      </c>
    </row>
    <row r="586" spans="4:42" ht="15" hidden="1" customHeight="1">
      <c r="D586" t="s">
        <v>1737</v>
      </c>
      <c r="E586" s="23" t="s">
        <v>1738</v>
      </c>
      <c r="F586" s="24"/>
      <c r="I586" s="26"/>
      <c r="L586" s="27" t="str">
        <f t="shared" si="197"/>
        <v xml:space="preserve"> </v>
      </c>
      <c r="N586" s="27" t="str">
        <f t="shared" si="196"/>
        <v xml:space="preserve"> </v>
      </c>
      <c r="O586" s="27">
        <f t="shared" si="205"/>
        <v>0</v>
      </c>
      <c r="P586" s="28" t="str">
        <f t="shared" si="210"/>
        <v>On time</v>
      </c>
      <c r="Q586" s="27">
        <f t="shared" si="206"/>
        <v>0</v>
      </c>
      <c r="R586" s="29" t="s">
        <v>1093</v>
      </c>
      <c r="S586" s="12" t="s">
        <v>818</v>
      </c>
      <c r="T586" s="35">
        <v>13</v>
      </c>
      <c r="U586" t="s">
        <v>797</v>
      </c>
      <c r="V586" s="27">
        <v>100</v>
      </c>
      <c r="W586" s="9">
        <v>28</v>
      </c>
      <c r="X586" s="9">
        <f t="shared" si="207"/>
        <v>2800</v>
      </c>
      <c r="Z586" s="10">
        <v>46108</v>
      </c>
      <c r="AA586" s="10">
        <v>46126</v>
      </c>
      <c r="AB586" s="10">
        <v>46172</v>
      </c>
      <c r="AC586" s="10">
        <v>46237</v>
      </c>
      <c r="AD586" s="31">
        <f t="shared" ca="1" si="208"/>
        <v>9</v>
      </c>
      <c r="AE586" s="36" t="s">
        <v>247</v>
      </c>
      <c r="AF586" t="s">
        <v>62</v>
      </c>
      <c r="AG586" s="10" t="s">
        <v>79</v>
      </c>
      <c r="AI586" s="9" t="s">
        <v>53</v>
      </c>
      <c r="AL586" s="9" t="s">
        <v>2014</v>
      </c>
      <c r="AM586" s="27" t="str">
        <f t="shared" si="203"/>
        <v>Atrasado</v>
      </c>
      <c r="AN586" s="27" t="str">
        <f t="shared" ca="1" si="199"/>
        <v>Estoque</v>
      </c>
      <c r="AO586" s="27" t="str">
        <f t="shared" ca="1" si="209"/>
        <v/>
      </c>
      <c r="AP586" t="s">
        <v>819</v>
      </c>
    </row>
    <row r="587" spans="4:42" ht="15" hidden="1" customHeight="1">
      <c r="D587" t="s">
        <v>1739</v>
      </c>
      <c r="E587" s="23" t="s">
        <v>1740</v>
      </c>
      <c r="F587" s="24"/>
      <c r="I587" s="26"/>
      <c r="L587" s="27" t="str">
        <f t="shared" si="197"/>
        <v xml:space="preserve"> </v>
      </c>
      <c r="N587" s="27" t="str">
        <f t="shared" si="196"/>
        <v xml:space="preserve"> </v>
      </c>
      <c r="O587" s="27">
        <f t="shared" si="205"/>
        <v>0</v>
      </c>
      <c r="P587" s="28" t="str">
        <f t="shared" si="210"/>
        <v>On time</v>
      </c>
      <c r="Q587" s="27">
        <f t="shared" si="206"/>
        <v>0</v>
      </c>
      <c r="R587" s="29" t="s">
        <v>1093</v>
      </c>
      <c r="S587" s="12" t="s">
        <v>818</v>
      </c>
      <c r="T587" s="35">
        <v>14</v>
      </c>
      <c r="U587" t="s">
        <v>798</v>
      </c>
      <c r="V587" s="27">
        <v>30</v>
      </c>
      <c r="W587" s="9">
        <v>44.5</v>
      </c>
      <c r="X587" s="9">
        <f t="shared" si="207"/>
        <v>1335</v>
      </c>
      <c r="Z587" s="10">
        <v>46108</v>
      </c>
      <c r="AA587" s="10">
        <v>46126</v>
      </c>
      <c r="AB587" s="10">
        <v>46172</v>
      </c>
      <c r="AC587" s="10">
        <v>46237</v>
      </c>
      <c r="AD587" s="31">
        <f t="shared" ca="1" si="208"/>
        <v>9</v>
      </c>
      <c r="AE587" s="36" t="s">
        <v>247</v>
      </c>
      <c r="AF587" t="s">
        <v>62</v>
      </c>
      <c r="AG587" s="10" t="s">
        <v>79</v>
      </c>
      <c r="AI587" s="9" t="s">
        <v>53</v>
      </c>
      <c r="AL587" s="9" t="s">
        <v>2014</v>
      </c>
      <c r="AM587" s="27" t="str">
        <f t="shared" si="203"/>
        <v>Atrasado</v>
      </c>
      <c r="AN587" s="27" t="str">
        <f t="shared" ca="1" si="199"/>
        <v>Estoque</v>
      </c>
      <c r="AO587" s="27" t="str">
        <f t="shared" ca="1" si="209"/>
        <v/>
      </c>
      <c r="AP587" t="s">
        <v>819</v>
      </c>
    </row>
    <row r="588" spans="4:42" ht="15" hidden="1" customHeight="1">
      <c r="D588" t="s">
        <v>1741</v>
      </c>
      <c r="E588" s="23" t="s">
        <v>1742</v>
      </c>
      <c r="F588" s="24"/>
      <c r="I588" s="26"/>
      <c r="L588" s="27" t="str">
        <f t="shared" si="197"/>
        <v xml:space="preserve"> </v>
      </c>
      <c r="N588" s="27" t="str">
        <f t="shared" si="196"/>
        <v xml:space="preserve"> </v>
      </c>
      <c r="O588" s="27">
        <f t="shared" si="205"/>
        <v>0</v>
      </c>
      <c r="P588" s="28" t="str">
        <f t="shared" si="210"/>
        <v>On time</v>
      </c>
      <c r="Q588" s="27">
        <f t="shared" si="206"/>
        <v>0</v>
      </c>
      <c r="R588" s="29" t="s">
        <v>1093</v>
      </c>
      <c r="S588" s="12" t="s">
        <v>818</v>
      </c>
      <c r="T588" s="35">
        <v>15</v>
      </c>
      <c r="U588" t="s">
        <v>799</v>
      </c>
      <c r="V588" s="27">
        <v>30</v>
      </c>
      <c r="W588" s="9">
        <v>51</v>
      </c>
      <c r="X588" s="9">
        <f t="shared" si="207"/>
        <v>1530</v>
      </c>
      <c r="Z588" s="10">
        <v>46108</v>
      </c>
      <c r="AA588" s="10">
        <v>46126</v>
      </c>
      <c r="AB588" s="10">
        <v>46172</v>
      </c>
      <c r="AC588" s="10">
        <v>46237</v>
      </c>
      <c r="AD588" s="31">
        <f t="shared" ca="1" si="208"/>
        <v>9</v>
      </c>
      <c r="AE588" s="36" t="s">
        <v>247</v>
      </c>
      <c r="AF588" t="s">
        <v>62</v>
      </c>
      <c r="AG588" s="10" t="s">
        <v>79</v>
      </c>
      <c r="AI588" s="9" t="s">
        <v>53</v>
      </c>
      <c r="AL588" s="9" t="s">
        <v>2014</v>
      </c>
      <c r="AM588" s="27" t="str">
        <f t="shared" si="203"/>
        <v>Atrasado</v>
      </c>
      <c r="AN588" s="27" t="str">
        <f t="shared" ca="1" si="199"/>
        <v>Estoque</v>
      </c>
      <c r="AO588" s="27" t="str">
        <f t="shared" ca="1" si="209"/>
        <v/>
      </c>
      <c r="AP588" t="s">
        <v>819</v>
      </c>
    </row>
    <row r="589" spans="4:42" ht="15" hidden="1" customHeight="1">
      <c r="D589" t="s">
        <v>1743</v>
      </c>
      <c r="E589" s="23" t="s">
        <v>1744</v>
      </c>
      <c r="F589" s="24"/>
      <c r="I589" s="26"/>
      <c r="L589" s="27" t="str">
        <f t="shared" si="197"/>
        <v xml:space="preserve"> </v>
      </c>
      <c r="N589" s="27" t="str">
        <f t="shared" si="196"/>
        <v xml:space="preserve"> </v>
      </c>
      <c r="O589" s="27">
        <f t="shared" si="205"/>
        <v>0</v>
      </c>
      <c r="P589" s="28" t="str">
        <f t="shared" si="210"/>
        <v>On time</v>
      </c>
      <c r="Q589" s="27">
        <f t="shared" si="206"/>
        <v>0</v>
      </c>
      <c r="R589" s="29" t="s">
        <v>1093</v>
      </c>
      <c r="S589" s="12" t="s">
        <v>818</v>
      </c>
      <c r="T589" s="35">
        <v>16</v>
      </c>
      <c r="U589" t="s">
        <v>800</v>
      </c>
      <c r="V589" s="27">
        <v>10</v>
      </c>
      <c r="W589" s="9">
        <v>43.29</v>
      </c>
      <c r="X589" s="9">
        <f t="shared" si="207"/>
        <v>432.9</v>
      </c>
      <c r="Z589" s="10">
        <v>46108</v>
      </c>
      <c r="AA589" s="10">
        <v>46126</v>
      </c>
      <c r="AB589" s="10">
        <v>46172</v>
      </c>
      <c r="AC589" s="10">
        <v>46237</v>
      </c>
      <c r="AD589" s="31">
        <f t="shared" ca="1" si="208"/>
        <v>9</v>
      </c>
      <c r="AE589" s="36" t="s">
        <v>247</v>
      </c>
      <c r="AF589" t="s">
        <v>62</v>
      </c>
      <c r="AG589" s="10" t="s">
        <v>79</v>
      </c>
      <c r="AI589" s="9" t="s">
        <v>53</v>
      </c>
      <c r="AL589" s="9" t="s">
        <v>2014</v>
      </c>
      <c r="AM589" s="27" t="str">
        <f t="shared" si="203"/>
        <v>Atrasado</v>
      </c>
      <c r="AN589" s="27" t="str">
        <f t="shared" ca="1" si="199"/>
        <v>Estoque</v>
      </c>
      <c r="AO589" s="27" t="str">
        <f t="shared" ca="1" si="209"/>
        <v/>
      </c>
      <c r="AP589" t="s">
        <v>819</v>
      </c>
    </row>
    <row r="590" spans="4:42" ht="15" hidden="1" customHeight="1">
      <c r="D590" t="s">
        <v>1745</v>
      </c>
      <c r="E590" s="23" t="s">
        <v>1746</v>
      </c>
      <c r="F590" s="24"/>
      <c r="I590" s="26"/>
      <c r="L590" s="27" t="str">
        <f t="shared" si="197"/>
        <v xml:space="preserve"> </v>
      </c>
      <c r="N590" s="27" t="str">
        <f t="shared" si="196"/>
        <v xml:space="preserve"> </v>
      </c>
      <c r="O590" s="27">
        <f t="shared" si="205"/>
        <v>0</v>
      </c>
      <c r="P590" s="28" t="str">
        <f t="shared" si="210"/>
        <v>On time</v>
      </c>
      <c r="Q590" s="27">
        <f t="shared" si="206"/>
        <v>0</v>
      </c>
      <c r="R590" s="29" t="s">
        <v>1093</v>
      </c>
      <c r="S590" s="12" t="s">
        <v>818</v>
      </c>
      <c r="T590" s="35">
        <v>17</v>
      </c>
      <c r="U590" t="s">
        <v>801</v>
      </c>
      <c r="V590" s="27">
        <v>300</v>
      </c>
      <c r="W590" s="9">
        <v>2.1</v>
      </c>
      <c r="X590" s="9">
        <f t="shared" si="207"/>
        <v>630</v>
      </c>
      <c r="Z590" s="10">
        <v>46108</v>
      </c>
      <c r="AA590" s="10">
        <v>46126</v>
      </c>
      <c r="AB590" s="10">
        <v>46172</v>
      </c>
      <c r="AC590" s="10">
        <v>46237</v>
      </c>
      <c r="AD590" s="31">
        <f t="shared" ca="1" si="208"/>
        <v>9</v>
      </c>
      <c r="AE590" s="36" t="s">
        <v>247</v>
      </c>
      <c r="AF590" t="s">
        <v>62</v>
      </c>
      <c r="AG590" s="10" t="s">
        <v>79</v>
      </c>
      <c r="AI590" s="9" t="s">
        <v>53</v>
      </c>
      <c r="AL590" s="9" t="s">
        <v>2014</v>
      </c>
      <c r="AM590" s="27" t="str">
        <f t="shared" si="203"/>
        <v>Atrasado</v>
      </c>
      <c r="AN590" s="27" t="str">
        <f t="shared" ca="1" si="199"/>
        <v>Estoque</v>
      </c>
      <c r="AO590" s="27" t="str">
        <f t="shared" ca="1" si="209"/>
        <v/>
      </c>
      <c r="AP590" t="s">
        <v>819</v>
      </c>
    </row>
    <row r="591" spans="4:42" ht="15" hidden="1" customHeight="1">
      <c r="D591" t="s">
        <v>1747</v>
      </c>
      <c r="E591" s="23" t="s">
        <v>1748</v>
      </c>
      <c r="F591" s="24"/>
      <c r="I591" s="26"/>
      <c r="L591" s="27" t="str">
        <f t="shared" si="197"/>
        <v xml:space="preserve"> </v>
      </c>
      <c r="N591" s="27" t="str">
        <f t="shared" ref="N591:N653" si="211">IF(J591=0," ",IF(M591&lt;=J591+6,"On time","Atrasado"))</f>
        <v xml:space="preserve"> </v>
      </c>
      <c r="O591" s="27">
        <f t="shared" si="205"/>
        <v>0</v>
      </c>
      <c r="P591" s="28" t="str">
        <f t="shared" si="210"/>
        <v>On time</v>
      </c>
      <c r="Q591" s="27">
        <f t="shared" si="206"/>
        <v>0</v>
      </c>
      <c r="R591" s="29" t="s">
        <v>1093</v>
      </c>
      <c r="S591" s="12" t="s">
        <v>818</v>
      </c>
      <c r="T591" s="35">
        <v>18</v>
      </c>
      <c r="U591" t="s">
        <v>802</v>
      </c>
      <c r="V591" s="27">
        <v>2000</v>
      </c>
      <c r="W591" s="9">
        <v>0.75</v>
      </c>
      <c r="X591" s="9">
        <f t="shared" si="207"/>
        <v>1500</v>
      </c>
      <c r="Z591" s="10">
        <v>46108</v>
      </c>
      <c r="AA591" s="10">
        <v>46126</v>
      </c>
      <c r="AB591" s="10">
        <v>46172</v>
      </c>
      <c r="AC591" s="10">
        <v>46237</v>
      </c>
      <c r="AD591" s="31">
        <f t="shared" ca="1" si="208"/>
        <v>9</v>
      </c>
      <c r="AE591" s="36" t="s">
        <v>247</v>
      </c>
      <c r="AF591" t="s">
        <v>62</v>
      </c>
      <c r="AG591" s="10" t="s">
        <v>79</v>
      </c>
      <c r="AI591" s="9" t="s">
        <v>53</v>
      </c>
      <c r="AL591" s="9" t="s">
        <v>2014</v>
      </c>
      <c r="AM591" s="27" t="str">
        <f t="shared" si="203"/>
        <v>Atrasado</v>
      </c>
      <c r="AN591" s="27" t="str">
        <f t="shared" ca="1" si="199"/>
        <v>Estoque</v>
      </c>
      <c r="AO591" s="27" t="str">
        <f t="shared" ca="1" si="209"/>
        <v/>
      </c>
      <c r="AP591" t="s">
        <v>819</v>
      </c>
    </row>
    <row r="592" spans="4:42" ht="15" hidden="1" customHeight="1">
      <c r="D592" t="s">
        <v>1749</v>
      </c>
      <c r="E592" s="23" t="s">
        <v>1750</v>
      </c>
      <c r="F592" s="24"/>
      <c r="I592" s="26"/>
      <c r="L592" s="27" t="str">
        <f t="shared" ref="L592:L654" si="212">IF(J592=0," ",IF(K592&lt;=J592+6,"On time","Atrasado"))</f>
        <v xml:space="preserve"> </v>
      </c>
      <c r="N592" s="27" t="str">
        <f t="shared" si="211"/>
        <v xml:space="preserve"> </v>
      </c>
      <c r="O592" s="27">
        <f t="shared" si="205"/>
        <v>0</v>
      </c>
      <c r="P592" s="28" t="str">
        <f t="shared" si="210"/>
        <v>On time</v>
      </c>
      <c r="Q592" s="27">
        <f t="shared" si="206"/>
        <v>0</v>
      </c>
      <c r="R592" s="29" t="s">
        <v>1093</v>
      </c>
      <c r="S592" s="12" t="s">
        <v>818</v>
      </c>
      <c r="T592" s="35">
        <v>19</v>
      </c>
      <c r="U592" t="s">
        <v>803</v>
      </c>
      <c r="V592" s="27">
        <v>1000</v>
      </c>
      <c r="W592" s="9">
        <v>4</v>
      </c>
      <c r="X592" s="9">
        <f t="shared" si="207"/>
        <v>4000</v>
      </c>
      <c r="Z592" s="10">
        <v>46108</v>
      </c>
      <c r="AA592" s="10">
        <v>46126</v>
      </c>
      <c r="AB592" s="10">
        <v>46172</v>
      </c>
      <c r="AC592" s="10">
        <v>46237</v>
      </c>
      <c r="AD592" s="31">
        <f t="shared" ca="1" si="208"/>
        <v>9</v>
      </c>
      <c r="AE592" s="36" t="s">
        <v>247</v>
      </c>
      <c r="AF592" t="s">
        <v>62</v>
      </c>
      <c r="AG592" s="10" t="s">
        <v>79</v>
      </c>
      <c r="AI592" s="9" t="s">
        <v>53</v>
      </c>
      <c r="AL592" s="9" t="s">
        <v>2014</v>
      </c>
      <c r="AM592" s="27" t="str">
        <f t="shared" si="203"/>
        <v>Atrasado</v>
      </c>
      <c r="AN592" s="27" t="str">
        <f t="shared" ca="1" si="199"/>
        <v>Estoque</v>
      </c>
      <c r="AO592" s="27" t="str">
        <f t="shared" ca="1" si="209"/>
        <v/>
      </c>
      <c r="AP592" t="s">
        <v>819</v>
      </c>
    </row>
    <row r="593" spans="1:42" ht="15" hidden="1" customHeight="1">
      <c r="D593" t="s">
        <v>1751</v>
      </c>
      <c r="E593" s="23" t="s">
        <v>1752</v>
      </c>
      <c r="F593" s="24"/>
      <c r="I593" s="26"/>
      <c r="L593" s="27" t="str">
        <f t="shared" si="212"/>
        <v xml:space="preserve"> </v>
      </c>
      <c r="N593" s="27" t="str">
        <f t="shared" si="211"/>
        <v xml:space="preserve"> </v>
      </c>
      <c r="O593" s="27">
        <f t="shared" si="205"/>
        <v>0</v>
      </c>
      <c r="P593" s="28" t="str">
        <f t="shared" si="210"/>
        <v>On time</v>
      </c>
      <c r="Q593" s="27">
        <f t="shared" si="206"/>
        <v>0</v>
      </c>
      <c r="R593" s="29" t="s">
        <v>1093</v>
      </c>
      <c r="S593" s="12" t="s">
        <v>818</v>
      </c>
      <c r="T593" s="35">
        <v>20</v>
      </c>
      <c r="U593" t="s">
        <v>804</v>
      </c>
      <c r="V593" s="27">
        <v>1000</v>
      </c>
      <c r="W593" s="9">
        <v>8.5</v>
      </c>
      <c r="X593" s="9">
        <f t="shared" si="207"/>
        <v>8500</v>
      </c>
      <c r="Z593" s="10">
        <v>46108</v>
      </c>
      <c r="AA593" s="10">
        <v>46126</v>
      </c>
      <c r="AB593" s="10">
        <v>46172</v>
      </c>
      <c r="AC593" s="10">
        <v>46237</v>
      </c>
      <c r="AD593" s="31">
        <f t="shared" ca="1" si="208"/>
        <v>9</v>
      </c>
      <c r="AE593" s="36" t="s">
        <v>247</v>
      </c>
      <c r="AF593" t="s">
        <v>62</v>
      </c>
      <c r="AG593" s="10" t="s">
        <v>79</v>
      </c>
      <c r="AI593" s="9" t="s">
        <v>53</v>
      </c>
      <c r="AL593" s="9" t="s">
        <v>2014</v>
      </c>
      <c r="AM593" s="27" t="str">
        <f t="shared" si="203"/>
        <v>Atrasado</v>
      </c>
      <c r="AN593" s="27" t="str">
        <f t="shared" ca="1" si="199"/>
        <v>Estoque</v>
      </c>
      <c r="AO593" s="27" t="str">
        <f t="shared" ca="1" si="209"/>
        <v/>
      </c>
      <c r="AP593" t="s">
        <v>819</v>
      </c>
    </row>
    <row r="594" spans="1:42" ht="15" hidden="1" customHeight="1">
      <c r="D594" t="s">
        <v>1753</v>
      </c>
      <c r="E594" s="23" t="s">
        <v>1754</v>
      </c>
      <c r="F594" s="24"/>
      <c r="I594" s="26"/>
      <c r="L594" s="27" t="str">
        <f t="shared" si="212"/>
        <v xml:space="preserve"> </v>
      </c>
      <c r="N594" s="27" t="str">
        <f t="shared" si="211"/>
        <v xml:space="preserve"> </v>
      </c>
      <c r="O594" s="27">
        <f t="shared" si="205"/>
        <v>0</v>
      </c>
      <c r="P594" s="28" t="str">
        <f t="shared" si="210"/>
        <v>On time</v>
      </c>
      <c r="Q594" s="27">
        <f t="shared" si="206"/>
        <v>0</v>
      </c>
      <c r="R594" s="29" t="s">
        <v>1093</v>
      </c>
      <c r="S594" s="12" t="s">
        <v>818</v>
      </c>
      <c r="T594" s="35">
        <v>21</v>
      </c>
      <c r="U594" t="s">
        <v>805</v>
      </c>
      <c r="V594" s="27">
        <v>100</v>
      </c>
      <c r="W594" s="9">
        <v>27</v>
      </c>
      <c r="X594" s="9">
        <f t="shared" si="207"/>
        <v>2700</v>
      </c>
      <c r="Z594" s="10">
        <v>46108</v>
      </c>
      <c r="AA594" s="10">
        <v>46126</v>
      </c>
      <c r="AB594" s="10">
        <v>46172</v>
      </c>
      <c r="AC594" s="10">
        <v>46237</v>
      </c>
      <c r="AD594" s="31">
        <f t="shared" ca="1" si="208"/>
        <v>9</v>
      </c>
      <c r="AE594" s="36" t="s">
        <v>247</v>
      </c>
      <c r="AF594" t="s">
        <v>62</v>
      </c>
      <c r="AG594" s="10" t="s">
        <v>79</v>
      </c>
      <c r="AI594" s="9" t="s">
        <v>53</v>
      </c>
      <c r="AL594" s="9" t="s">
        <v>2014</v>
      </c>
      <c r="AM594" s="27" t="str">
        <f t="shared" si="203"/>
        <v>Atrasado</v>
      </c>
      <c r="AN594" s="27" t="str">
        <f t="shared" ca="1" si="199"/>
        <v>Estoque</v>
      </c>
      <c r="AO594" s="27" t="str">
        <f t="shared" ca="1" si="209"/>
        <v/>
      </c>
      <c r="AP594" t="s">
        <v>819</v>
      </c>
    </row>
    <row r="595" spans="1:42" ht="15" hidden="1" customHeight="1">
      <c r="D595" t="s">
        <v>1755</v>
      </c>
      <c r="E595" s="23" t="s">
        <v>1756</v>
      </c>
      <c r="F595" s="24"/>
      <c r="I595" s="26"/>
      <c r="L595" s="27" t="str">
        <f t="shared" si="212"/>
        <v xml:space="preserve"> </v>
      </c>
      <c r="N595" s="27" t="str">
        <f t="shared" si="211"/>
        <v xml:space="preserve"> </v>
      </c>
      <c r="O595" s="27">
        <f t="shared" si="205"/>
        <v>0</v>
      </c>
      <c r="P595" s="28" t="str">
        <f t="shared" si="210"/>
        <v>On time</v>
      </c>
      <c r="Q595" s="27">
        <f t="shared" si="206"/>
        <v>0</v>
      </c>
      <c r="R595" s="29" t="s">
        <v>1093</v>
      </c>
      <c r="S595" s="12" t="s">
        <v>818</v>
      </c>
      <c r="T595" s="35">
        <v>22</v>
      </c>
      <c r="U595" t="s">
        <v>806</v>
      </c>
      <c r="V595" s="27">
        <v>30</v>
      </c>
      <c r="W595" s="9">
        <v>40</v>
      </c>
      <c r="X595" s="9">
        <f t="shared" si="207"/>
        <v>1200</v>
      </c>
      <c r="Z595" s="10">
        <v>46108</v>
      </c>
      <c r="AA595" s="10">
        <v>46126</v>
      </c>
      <c r="AB595" s="10">
        <v>46172</v>
      </c>
      <c r="AC595" s="10">
        <v>46237</v>
      </c>
      <c r="AD595" s="31">
        <f t="shared" ca="1" si="208"/>
        <v>9</v>
      </c>
      <c r="AE595" s="36" t="s">
        <v>247</v>
      </c>
      <c r="AF595" t="s">
        <v>62</v>
      </c>
      <c r="AG595" s="10" t="s">
        <v>79</v>
      </c>
      <c r="AI595" s="9" t="s">
        <v>53</v>
      </c>
      <c r="AL595" s="9" t="s">
        <v>2014</v>
      </c>
      <c r="AM595" s="27" t="str">
        <f t="shared" si="203"/>
        <v>Atrasado</v>
      </c>
      <c r="AN595" s="27" t="str">
        <f t="shared" ca="1" si="199"/>
        <v>Estoque</v>
      </c>
      <c r="AO595" s="27" t="str">
        <f t="shared" ca="1" si="209"/>
        <v/>
      </c>
      <c r="AP595" t="s">
        <v>819</v>
      </c>
    </row>
    <row r="596" spans="1:42" ht="15" hidden="1" customHeight="1">
      <c r="D596" t="s">
        <v>1757</v>
      </c>
      <c r="E596" s="23" t="s">
        <v>1758</v>
      </c>
      <c r="F596" s="24"/>
      <c r="I596" s="26"/>
      <c r="L596" s="27" t="str">
        <f t="shared" si="212"/>
        <v xml:space="preserve"> </v>
      </c>
      <c r="N596" s="27" t="str">
        <f t="shared" si="211"/>
        <v xml:space="preserve"> </v>
      </c>
      <c r="O596" s="27">
        <f t="shared" si="205"/>
        <v>0</v>
      </c>
      <c r="P596" s="28" t="str">
        <f t="shared" si="210"/>
        <v>On time</v>
      </c>
      <c r="Q596" s="27">
        <f t="shared" si="206"/>
        <v>0</v>
      </c>
      <c r="R596" s="29" t="s">
        <v>1093</v>
      </c>
      <c r="S596" s="12" t="s">
        <v>818</v>
      </c>
      <c r="T596" s="35">
        <v>23</v>
      </c>
      <c r="U596" t="s">
        <v>807</v>
      </c>
      <c r="V596" s="27">
        <v>15</v>
      </c>
      <c r="W596" s="9">
        <v>51.2</v>
      </c>
      <c r="X596" s="9">
        <f t="shared" si="207"/>
        <v>768</v>
      </c>
      <c r="Z596" s="10">
        <v>46108</v>
      </c>
      <c r="AA596" s="10">
        <v>46126</v>
      </c>
      <c r="AB596" s="10">
        <v>46172</v>
      </c>
      <c r="AC596" s="10">
        <v>46237</v>
      </c>
      <c r="AD596" s="31">
        <f t="shared" ca="1" si="208"/>
        <v>9</v>
      </c>
      <c r="AE596" s="36" t="s">
        <v>247</v>
      </c>
      <c r="AF596" t="s">
        <v>62</v>
      </c>
      <c r="AG596" s="10" t="s">
        <v>79</v>
      </c>
      <c r="AI596" s="9" t="s">
        <v>53</v>
      </c>
      <c r="AL596" s="9" t="s">
        <v>2014</v>
      </c>
      <c r="AM596" s="27" t="str">
        <f t="shared" si="203"/>
        <v>Atrasado</v>
      </c>
      <c r="AN596" s="27" t="str">
        <f t="shared" ca="1" si="199"/>
        <v>Estoque</v>
      </c>
      <c r="AO596" s="27" t="str">
        <f t="shared" ca="1" si="209"/>
        <v/>
      </c>
      <c r="AP596" t="s">
        <v>819</v>
      </c>
    </row>
    <row r="597" spans="1:42" ht="15" hidden="1" customHeight="1">
      <c r="D597" t="s">
        <v>1759</v>
      </c>
      <c r="E597" s="23" t="s">
        <v>1760</v>
      </c>
      <c r="F597" s="24"/>
      <c r="I597" s="26"/>
      <c r="L597" s="27" t="str">
        <f t="shared" si="212"/>
        <v xml:space="preserve"> </v>
      </c>
      <c r="N597" s="27" t="str">
        <f t="shared" si="211"/>
        <v xml:space="preserve"> </v>
      </c>
      <c r="O597" s="27">
        <f t="shared" si="205"/>
        <v>0</v>
      </c>
      <c r="P597" s="28" t="str">
        <f t="shared" si="210"/>
        <v>On time</v>
      </c>
      <c r="Q597" s="27">
        <f t="shared" si="206"/>
        <v>0</v>
      </c>
      <c r="R597" s="29" t="s">
        <v>1093</v>
      </c>
      <c r="S597" s="12" t="s">
        <v>818</v>
      </c>
      <c r="T597" s="35">
        <v>24</v>
      </c>
      <c r="U597" t="s">
        <v>808</v>
      </c>
      <c r="V597" s="27">
        <v>100</v>
      </c>
      <c r="W597" s="9">
        <v>67.8</v>
      </c>
      <c r="X597" s="9">
        <f t="shared" si="207"/>
        <v>6780</v>
      </c>
      <c r="Z597" s="10">
        <v>46108</v>
      </c>
      <c r="AA597" s="10">
        <v>46126</v>
      </c>
      <c r="AB597" s="10">
        <v>46172</v>
      </c>
      <c r="AC597" s="10">
        <v>46237</v>
      </c>
      <c r="AD597" s="31">
        <f t="shared" ca="1" si="208"/>
        <v>9</v>
      </c>
      <c r="AE597" s="36" t="s">
        <v>247</v>
      </c>
      <c r="AF597" t="s">
        <v>62</v>
      </c>
      <c r="AG597" s="10" t="s">
        <v>79</v>
      </c>
      <c r="AI597" s="9" t="s">
        <v>53</v>
      </c>
      <c r="AL597" s="9" t="s">
        <v>2014</v>
      </c>
      <c r="AM597" s="27" t="str">
        <f t="shared" si="203"/>
        <v>Atrasado</v>
      </c>
      <c r="AN597" s="27" t="str">
        <f t="shared" ca="1" si="199"/>
        <v>Estoque</v>
      </c>
      <c r="AO597" s="27" t="str">
        <f t="shared" ca="1" si="209"/>
        <v/>
      </c>
      <c r="AP597" t="s">
        <v>819</v>
      </c>
    </row>
    <row r="598" spans="1:42" ht="15" hidden="1" customHeight="1">
      <c r="D598" t="s">
        <v>1761</v>
      </c>
      <c r="E598" s="23" t="s">
        <v>1762</v>
      </c>
      <c r="F598" s="24"/>
      <c r="I598" s="26"/>
      <c r="L598" s="27" t="str">
        <f t="shared" si="212"/>
        <v xml:space="preserve"> </v>
      </c>
      <c r="N598" s="27" t="str">
        <f t="shared" si="211"/>
        <v xml:space="preserve"> </v>
      </c>
      <c r="O598" s="27">
        <f t="shared" si="205"/>
        <v>0</v>
      </c>
      <c r="P598" s="28" t="str">
        <f t="shared" si="210"/>
        <v>On time</v>
      </c>
      <c r="Q598" s="27">
        <f t="shared" si="206"/>
        <v>0</v>
      </c>
      <c r="R598" s="29" t="s">
        <v>1093</v>
      </c>
      <c r="S598" s="12" t="s">
        <v>818</v>
      </c>
      <c r="T598" s="35">
        <v>25</v>
      </c>
      <c r="U598" t="s">
        <v>809</v>
      </c>
      <c r="V598" s="27">
        <v>30</v>
      </c>
      <c r="W598" s="9">
        <v>85</v>
      </c>
      <c r="X598" s="9">
        <f t="shared" si="207"/>
        <v>2550</v>
      </c>
      <c r="Z598" s="10">
        <v>46108</v>
      </c>
      <c r="AA598" s="10">
        <v>46126</v>
      </c>
      <c r="AB598" s="10">
        <v>46172</v>
      </c>
      <c r="AC598" s="10">
        <v>46237</v>
      </c>
      <c r="AD598" s="31">
        <f t="shared" ca="1" si="208"/>
        <v>9</v>
      </c>
      <c r="AE598" s="36" t="s">
        <v>247</v>
      </c>
      <c r="AF598" t="s">
        <v>62</v>
      </c>
      <c r="AG598" s="10" t="s">
        <v>79</v>
      </c>
      <c r="AI598" s="9" t="s">
        <v>53</v>
      </c>
      <c r="AL598" s="9" t="s">
        <v>2014</v>
      </c>
      <c r="AM598" s="27" t="str">
        <f t="shared" si="203"/>
        <v>Atrasado</v>
      </c>
      <c r="AN598" s="27" t="str">
        <f t="shared" ref="AN598:AN660" ca="1" si="213">IF(AND(AC598&lt;&gt;"",AC598&lt;=TODAY()),"Chegou",IF(A598="","Estoque",IF(OR(AC598="",I598=""),"",IF(I598-AC598&lt;=0,"Atrasado",IF(I598-AC598&lt;=9,"Crítico",IF(I598-AC598&lt;=20,"Verificar aéreo",IF(I598-AC598&lt;=25,"Alerta","No prazo")        ))))))</f>
        <v>Estoque</v>
      </c>
      <c r="AO598" s="27" t="str">
        <f t="shared" ca="1" si="209"/>
        <v/>
      </c>
      <c r="AP598" t="s">
        <v>819</v>
      </c>
    </row>
    <row r="599" spans="1:42" ht="15" hidden="1" customHeight="1">
      <c r="D599" t="s">
        <v>1763</v>
      </c>
      <c r="E599" s="23" t="s">
        <v>1764</v>
      </c>
      <c r="F599" s="24"/>
      <c r="I599" s="26"/>
      <c r="L599" s="27" t="str">
        <f t="shared" si="212"/>
        <v xml:space="preserve"> </v>
      </c>
      <c r="N599" s="27" t="str">
        <f t="shared" si="211"/>
        <v xml:space="preserve"> </v>
      </c>
      <c r="O599" s="27">
        <f t="shared" si="205"/>
        <v>0</v>
      </c>
      <c r="P599" s="28" t="str">
        <f t="shared" si="210"/>
        <v>On time</v>
      </c>
      <c r="Q599" s="27">
        <f t="shared" si="206"/>
        <v>0</v>
      </c>
      <c r="R599" s="29" t="s">
        <v>1093</v>
      </c>
      <c r="S599" s="12" t="s">
        <v>818</v>
      </c>
      <c r="T599" s="35">
        <v>26</v>
      </c>
      <c r="U599" t="s">
        <v>810</v>
      </c>
      <c r="V599" s="27">
        <v>10</v>
      </c>
      <c r="W599" s="9">
        <v>167.7</v>
      </c>
      <c r="X599" s="9">
        <f t="shared" si="207"/>
        <v>1677</v>
      </c>
      <c r="Z599" s="10">
        <v>46108</v>
      </c>
      <c r="AA599" s="10">
        <v>46126</v>
      </c>
      <c r="AB599" s="10">
        <v>46172</v>
      </c>
      <c r="AC599" s="10">
        <v>46237</v>
      </c>
      <c r="AD599" s="31">
        <f t="shared" ca="1" si="208"/>
        <v>9</v>
      </c>
      <c r="AE599" s="36" t="s">
        <v>247</v>
      </c>
      <c r="AF599" t="s">
        <v>62</v>
      </c>
      <c r="AG599" s="10" t="s">
        <v>79</v>
      </c>
      <c r="AI599" s="9" t="s">
        <v>53</v>
      </c>
      <c r="AL599" s="9" t="s">
        <v>2014</v>
      </c>
      <c r="AM599" s="27" t="str">
        <f t="shared" si="203"/>
        <v>Atrasado</v>
      </c>
      <c r="AN599" s="27" t="str">
        <f t="shared" ca="1" si="213"/>
        <v>Estoque</v>
      </c>
      <c r="AO599" s="27" t="str">
        <f t="shared" ca="1" si="209"/>
        <v/>
      </c>
      <c r="AP599" t="s">
        <v>819</v>
      </c>
    </row>
    <row r="600" spans="1:42" ht="15" hidden="1" customHeight="1">
      <c r="A600">
        <v>513507</v>
      </c>
      <c r="B600">
        <v>1</v>
      </c>
      <c r="C600" t="s">
        <v>2027</v>
      </c>
      <c r="D600" t="s">
        <v>1765</v>
      </c>
      <c r="E600" s="23" t="s">
        <v>1766</v>
      </c>
      <c r="F600" s="24">
        <v>4</v>
      </c>
      <c r="G600" s="25">
        <v>3494.32</v>
      </c>
      <c r="H600" s="25">
        <f>G600*F600</f>
        <v>13977.28</v>
      </c>
      <c r="I600" s="26">
        <v>46276</v>
      </c>
      <c r="J600" s="10">
        <v>46103</v>
      </c>
      <c r="K600" s="10">
        <v>46104</v>
      </c>
      <c r="L600" s="27" t="str">
        <f t="shared" si="212"/>
        <v>On time</v>
      </c>
      <c r="M600" s="58">
        <v>46108</v>
      </c>
      <c r="N600" s="27" t="str">
        <f t="shared" si="211"/>
        <v>On time</v>
      </c>
      <c r="O600" s="27">
        <f t="shared" si="205"/>
        <v>5</v>
      </c>
      <c r="P600" s="28" t="str">
        <f t="shared" si="210"/>
        <v>On time</v>
      </c>
      <c r="Q600" s="27">
        <f t="shared" si="206"/>
        <v>173</v>
      </c>
      <c r="R600" s="29" t="s">
        <v>1093</v>
      </c>
      <c r="S600" s="12" t="s">
        <v>818</v>
      </c>
      <c r="T600" s="35">
        <v>27</v>
      </c>
      <c r="U600" t="s">
        <v>811</v>
      </c>
      <c r="V600" s="27">
        <v>10</v>
      </c>
      <c r="W600" s="9">
        <v>211.29</v>
      </c>
      <c r="X600" s="9">
        <f t="shared" si="207"/>
        <v>2112.9</v>
      </c>
      <c r="Z600" s="10">
        <v>46108</v>
      </c>
      <c r="AA600" s="10">
        <v>46126</v>
      </c>
      <c r="AB600" s="10">
        <v>46172</v>
      </c>
      <c r="AC600" s="10">
        <v>46237</v>
      </c>
      <c r="AD600" s="31">
        <f t="shared" ca="1" si="208"/>
        <v>9</v>
      </c>
      <c r="AE600" s="36" t="s">
        <v>247</v>
      </c>
      <c r="AF600" t="s">
        <v>62</v>
      </c>
      <c r="AG600" s="10" t="s">
        <v>79</v>
      </c>
      <c r="AI600" s="9" t="s">
        <v>53</v>
      </c>
      <c r="AL600" s="9" t="s">
        <v>2014</v>
      </c>
      <c r="AM600" s="27" t="str">
        <f t="shared" si="203"/>
        <v>Atrasado</v>
      </c>
      <c r="AN600" s="27" t="str">
        <f t="shared" ca="1" si="213"/>
        <v>No prazo</v>
      </c>
      <c r="AO600" s="27" t="str">
        <f t="shared" ca="1" si="209"/>
        <v/>
      </c>
      <c r="AP600" t="s">
        <v>819</v>
      </c>
    </row>
    <row r="601" spans="1:42" ht="15" hidden="1" customHeight="1">
      <c r="D601" t="s">
        <v>1767</v>
      </c>
      <c r="E601" s="23" t="s">
        <v>1768</v>
      </c>
      <c r="F601" s="24"/>
      <c r="I601" s="26"/>
      <c r="L601" s="27" t="str">
        <f t="shared" si="212"/>
        <v xml:space="preserve"> </v>
      </c>
      <c r="N601" s="27" t="str">
        <f t="shared" si="211"/>
        <v xml:space="preserve"> </v>
      </c>
      <c r="O601" s="27">
        <f t="shared" si="205"/>
        <v>0</v>
      </c>
      <c r="P601" s="28" t="str">
        <f t="shared" si="210"/>
        <v>On time</v>
      </c>
      <c r="Q601" s="27">
        <f t="shared" si="206"/>
        <v>0</v>
      </c>
      <c r="R601" s="29" t="s">
        <v>1093</v>
      </c>
      <c r="S601" s="12" t="s">
        <v>818</v>
      </c>
      <c r="T601" s="35">
        <v>28</v>
      </c>
      <c r="U601" t="s">
        <v>812</v>
      </c>
      <c r="V601" s="27">
        <v>1500</v>
      </c>
      <c r="W601" s="9">
        <v>1.1000000000000001</v>
      </c>
      <c r="X601" s="9">
        <f t="shared" si="207"/>
        <v>1650.0000000000002</v>
      </c>
      <c r="Z601" s="10">
        <v>46108</v>
      </c>
      <c r="AA601" s="10">
        <v>46126</v>
      </c>
      <c r="AB601" s="10">
        <v>46172</v>
      </c>
      <c r="AC601" s="10">
        <v>46237</v>
      </c>
      <c r="AD601" s="31">
        <f t="shared" ca="1" si="208"/>
        <v>9</v>
      </c>
      <c r="AE601" s="36" t="s">
        <v>247</v>
      </c>
      <c r="AF601" t="s">
        <v>62</v>
      </c>
      <c r="AG601" s="10" t="s">
        <v>79</v>
      </c>
      <c r="AI601" s="9" t="s">
        <v>53</v>
      </c>
      <c r="AL601" s="9" t="s">
        <v>2014</v>
      </c>
      <c r="AM601" s="27" t="str">
        <f t="shared" si="203"/>
        <v>Atrasado</v>
      </c>
      <c r="AN601" s="27" t="str">
        <f t="shared" ca="1" si="213"/>
        <v>Estoque</v>
      </c>
      <c r="AO601" s="27" t="str">
        <f t="shared" ca="1" si="209"/>
        <v/>
      </c>
      <c r="AP601" t="s">
        <v>819</v>
      </c>
    </row>
    <row r="602" spans="1:42" ht="15" hidden="1" customHeight="1">
      <c r="D602" t="s">
        <v>1769</v>
      </c>
      <c r="E602" s="23" t="s">
        <v>1770</v>
      </c>
      <c r="F602" s="24"/>
      <c r="I602" s="26"/>
      <c r="L602" s="27" t="str">
        <f t="shared" si="212"/>
        <v xml:space="preserve"> </v>
      </c>
      <c r="N602" s="27" t="str">
        <f t="shared" si="211"/>
        <v xml:space="preserve"> </v>
      </c>
      <c r="O602" s="27">
        <f t="shared" si="205"/>
        <v>0</v>
      </c>
      <c r="P602" s="28" t="str">
        <f t="shared" si="210"/>
        <v>On time</v>
      </c>
      <c r="Q602" s="27">
        <f t="shared" si="206"/>
        <v>0</v>
      </c>
      <c r="R602" s="29" t="s">
        <v>1093</v>
      </c>
      <c r="S602" s="12" t="s">
        <v>818</v>
      </c>
      <c r="T602" s="35">
        <v>29</v>
      </c>
      <c r="U602" t="s">
        <v>813</v>
      </c>
      <c r="V602" s="27">
        <v>300</v>
      </c>
      <c r="W602" s="9">
        <v>5.3</v>
      </c>
      <c r="X602" s="9">
        <f t="shared" si="207"/>
        <v>1590</v>
      </c>
      <c r="Z602" s="10">
        <v>46108</v>
      </c>
      <c r="AA602" s="10">
        <v>46126</v>
      </c>
      <c r="AB602" s="10">
        <v>46172</v>
      </c>
      <c r="AC602" s="10">
        <v>46237</v>
      </c>
      <c r="AD602" s="31">
        <f t="shared" ca="1" si="208"/>
        <v>9</v>
      </c>
      <c r="AE602" s="36" t="s">
        <v>247</v>
      </c>
      <c r="AF602" t="s">
        <v>62</v>
      </c>
      <c r="AG602" s="10" t="s">
        <v>79</v>
      </c>
      <c r="AI602" s="9" t="s">
        <v>53</v>
      </c>
      <c r="AL602" s="9" t="s">
        <v>2014</v>
      </c>
      <c r="AM602" s="27" t="str">
        <f t="shared" si="203"/>
        <v>Atrasado</v>
      </c>
      <c r="AN602" s="27" t="str">
        <f t="shared" ca="1" si="213"/>
        <v>Estoque</v>
      </c>
      <c r="AO602" s="27" t="str">
        <f t="shared" ca="1" si="209"/>
        <v/>
      </c>
      <c r="AP602" t="s">
        <v>819</v>
      </c>
    </row>
    <row r="603" spans="1:42" ht="15" hidden="1" customHeight="1">
      <c r="D603" t="s">
        <v>1771</v>
      </c>
      <c r="E603" s="23" t="s">
        <v>1772</v>
      </c>
      <c r="F603" s="24"/>
      <c r="I603" s="26"/>
      <c r="L603" s="27" t="str">
        <f t="shared" si="212"/>
        <v xml:space="preserve"> </v>
      </c>
      <c r="N603" s="27" t="str">
        <f t="shared" si="211"/>
        <v xml:space="preserve"> </v>
      </c>
      <c r="O603" s="27">
        <f t="shared" si="205"/>
        <v>0</v>
      </c>
      <c r="P603" s="28" t="str">
        <f t="shared" si="210"/>
        <v>On time</v>
      </c>
      <c r="Q603" s="27">
        <f t="shared" si="206"/>
        <v>0</v>
      </c>
      <c r="R603" s="29" t="s">
        <v>1093</v>
      </c>
      <c r="S603" s="12" t="s">
        <v>818</v>
      </c>
      <c r="T603" s="35">
        <v>30</v>
      </c>
      <c r="U603" t="s">
        <v>814</v>
      </c>
      <c r="V603" s="27">
        <v>200</v>
      </c>
      <c r="W603" s="9">
        <v>26.4</v>
      </c>
      <c r="X603" s="9">
        <f t="shared" si="207"/>
        <v>5280</v>
      </c>
      <c r="Z603" s="10">
        <v>46108</v>
      </c>
      <c r="AA603" s="10">
        <v>46126</v>
      </c>
      <c r="AB603" s="10">
        <v>46172</v>
      </c>
      <c r="AC603" s="10">
        <v>46237</v>
      </c>
      <c r="AD603" s="31">
        <f t="shared" ca="1" si="208"/>
        <v>9</v>
      </c>
      <c r="AE603" s="36" t="s">
        <v>247</v>
      </c>
      <c r="AF603" t="s">
        <v>62</v>
      </c>
      <c r="AG603" s="10" t="s">
        <v>79</v>
      </c>
      <c r="AI603" s="9" t="s">
        <v>53</v>
      </c>
      <c r="AL603" s="9" t="s">
        <v>2014</v>
      </c>
      <c r="AM603" s="27" t="str">
        <f t="shared" si="203"/>
        <v>Atrasado</v>
      </c>
      <c r="AN603" s="27" t="str">
        <f t="shared" ca="1" si="213"/>
        <v>Estoque</v>
      </c>
      <c r="AO603" s="27" t="str">
        <f t="shared" ca="1" si="209"/>
        <v/>
      </c>
      <c r="AP603" t="s">
        <v>819</v>
      </c>
    </row>
    <row r="604" spans="1:42" ht="15" hidden="1" customHeight="1">
      <c r="D604" t="s">
        <v>1773</v>
      </c>
      <c r="E604" s="23" t="s">
        <v>1774</v>
      </c>
      <c r="F604" s="24"/>
      <c r="I604" s="26"/>
      <c r="L604" s="27" t="str">
        <f t="shared" si="212"/>
        <v xml:space="preserve"> </v>
      </c>
      <c r="N604" s="27" t="str">
        <f t="shared" si="211"/>
        <v xml:space="preserve"> </v>
      </c>
      <c r="O604" s="27">
        <f t="shared" si="205"/>
        <v>0</v>
      </c>
      <c r="P604" s="28" t="str">
        <f t="shared" si="210"/>
        <v>On time</v>
      </c>
      <c r="Q604" s="27">
        <f t="shared" si="206"/>
        <v>0</v>
      </c>
      <c r="R604" s="29" t="s">
        <v>1093</v>
      </c>
      <c r="S604" s="12" t="s">
        <v>818</v>
      </c>
      <c r="T604" s="35">
        <v>31</v>
      </c>
      <c r="U604" t="s">
        <v>815</v>
      </c>
      <c r="V604" s="27">
        <v>20</v>
      </c>
      <c r="W604" s="9">
        <v>58.4</v>
      </c>
      <c r="X604" s="9">
        <f t="shared" si="207"/>
        <v>1168</v>
      </c>
      <c r="Z604" s="10">
        <v>46108</v>
      </c>
      <c r="AA604" s="10">
        <v>46126</v>
      </c>
      <c r="AB604" s="10">
        <v>46172</v>
      </c>
      <c r="AC604" s="10">
        <v>46237</v>
      </c>
      <c r="AD604" s="31">
        <f t="shared" ca="1" si="208"/>
        <v>9</v>
      </c>
      <c r="AE604" s="36" t="s">
        <v>247</v>
      </c>
      <c r="AF604" t="s">
        <v>62</v>
      </c>
      <c r="AG604" s="10" t="s">
        <v>79</v>
      </c>
      <c r="AI604" s="9" t="s">
        <v>53</v>
      </c>
      <c r="AL604" s="9" t="s">
        <v>2014</v>
      </c>
      <c r="AM604" s="27" t="str">
        <f t="shared" si="203"/>
        <v>Atrasado</v>
      </c>
      <c r="AN604" s="27" t="str">
        <f t="shared" ca="1" si="213"/>
        <v>Estoque</v>
      </c>
      <c r="AO604" s="27" t="str">
        <f t="shared" ca="1" si="209"/>
        <v/>
      </c>
      <c r="AP604" t="s">
        <v>819</v>
      </c>
    </row>
    <row r="605" spans="1:42" ht="15" hidden="1" customHeight="1">
      <c r="D605" t="s">
        <v>1775</v>
      </c>
      <c r="E605" s="23" t="s">
        <v>1776</v>
      </c>
      <c r="F605" s="24"/>
      <c r="I605" s="26"/>
      <c r="L605" s="27" t="str">
        <f t="shared" si="212"/>
        <v xml:space="preserve"> </v>
      </c>
      <c r="N605" s="27" t="str">
        <f t="shared" si="211"/>
        <v xml:space="preserve"> </v>
      </c>
      <c r="O605" s="27">
        <f t="shared" si="205"/>
        <v>0</v>
      </c>
      <c r="P605" s="28" t="str">
        <f t="shared" si="210"/>
        <v>On time</v>
      </c>
      <c r="Q605" s="27">
        <f t="shared" si="206"/>
        <v>0</v>
      </c>
      <c r="R605" s="29" t="s">
        <v>1093</v>
      </c>
      <c r="S605" s="12" t="s">
        <v>818</v>
      </c>
      <c r="T605" s="35">
        <v>32</v>
      </c>
      <c r="U605" t="s">
        <v>816</v>
      </c>
      <c r="V605" s="27">
        <v>10</v>
      </c>
      <c r="W605" s="9">
        <v>70.7</v>
      </c>
      <c r="X605" s="9">
        <f t="shared" si="207"/>
        <v>707</v>
      </c>
      <c r="Z605" s="10">
        <v>46108</v>
      </c>
      <c r="AA605" s="10">
        <v>46126</v>
      </c>
      <c r="AB605" s="10">
        <v>46172</v>
      </c>
      <c r="AC605" s="10">
        <v>46237</v>
      </c>
      <c r="AD605" s="31">
        <f t="shared" ca="1" si="208"/>
        <v>9</v>
      </c>
      <c r="AE605" s="36" t="s">
        <v>247</v>
      </c>
      <c r="AF605" t="s">
        <v>62</v>
      </c>
      <c r="AG605" s="10" t="s">
        <v>79</v>
      </c>
      <c r="AI605" s="9" t="s">
        <v>53</v>
      </c>
      <c r="AL605" s="9" t="s">
        <v>2014</v>
      </c>
      <c r="AM605" s="27" t="str">
        <f t="shared" si="203"/>
        <v>Atrasado</v>
      </c>
      <c r="AN605" s="27" t="str">
        <f t="shared" ca="1" si="213"/>
        <v>Estoque</v>
      </c>
      <c r="AO605" s="27" t="str">
        <f t="shared" ca="1" si="209"/>
        <v/>
      </c>
      <c r="AP605" t="s">
        <v>819</v>
      </c>
    </row>
    <row r="606" spans="1:42" ht="15" hidden="1" customHeight="1">
      <c r="D606" t="s">
        <v>529</v>
      </c>
      <c r="E606" s="23" t="s">
        <v>530</v>
      </c>
      <c r="F606" s="24"/>
      <c r="I606" s="26"/>
      <c r="L606" s="27" t="str">
        <f t="shared" si="212"/>
        <v xml:space="preserve"> </v>
      </c>
      <c r="N606" s="27" t="str">
        <f t="shared" si="211"/>
        <v xml:space="preserve"> </v>
      </c>
      <c r="O606" s="27">
        <f t="shared" si="205"/>
        <v>0</v>
      </c>
      <c r="P606" s="28" t="str">
        <f t="shared" si="210"/>
        <v>On time</v>
      </c>
      <c r="Q606" s="27">
        <f t="shared" si="206"/>
        <v>0</v>
      </c>
      <c r="R606" s="29" t="s">
        <v>1093</v>
      </c>
      <c r="S606" s="12" t="s">
        <v>818</v>
      </c>
      <c r="T606" s="35">
        <v>33</v>
      </c>
      <c r="U606" t="s">
        <v>526</v>
      </c>
      <c r="V606" s="27">
        <v>10</v>
      </c>
      <c r="W606" s="9">
        <v>123.4</v>
      </c>
      <c r="X606" s="9">
        <f t="shared" si="207"/>
        <v>1234</v>
      </c>
      <c r="Z606" s="10">
        <v>46108</v>
      </c>
      <c r="AA606" s="10">
        <v>46126</v>
      </c>
      <c r="AB606" s="10">
        <v>46172</v>
      </c>
      <c r="AC606" s="10">
        <v>46237</v>
      </c>
      <c r="AD606" s="31">
        <f t="shared" ca="1" si="208"/>
        <v>9</v>
      </c>
      <c r="AE606" s="36" t="s">
        <v>247</v>
      </c>
      <c r="AF606" t="s">
        <v>62</v>
      </c>
      <c r="AG606" s="10" t="s">
        <v>79</v>
      </c>
      <c r="AI606" s="9" t="s">
        <v>53</v>
      </c>
      <c r="AL606" s="9" t="s">
        <v>2014</v>
      </c>
      <c r="AM606" s="27" t="str">
        <f t="shared" si="203"/>
        <v>Atrasado</v>
      </c>
      <c r="AN606" s="27" t="str">
        <f t="shared" ca="1" si="213"/>
        <v>Estoque</v>
      </c>
      <c r="AO606" s="27" t="str">
        <f t="shared" ca="1" si="209"/>
        <v/>
      </c>
      <c r="AP606" t="s">
        <v>819</v>
      </c>
    </row>
    <row r="607" spans="1:42" ht="15" hidden="1" customHeight="1">
      <c r="D607" t="s">
        <v>1777</v>
      </c>
      <c r="E607" s="23" t="s">
        <v>1778</v>
      </c>
      <c r="F607" s="24"/>
      <c r="I607" s="26"/>
      <c r="L607" s="27" t="str">
        <f t="shared" si="212"/>
        <v xml:space="preserve"> </v>
      </c>
      <c r="N607" s="27" t="str">
        <f t="shared" si="211"/>
        <v xml:space="preserve"> </v>
      </c>
      <c r="O607" s="27">
        <f t="shared" si="205"/>
        <v>0</v>
      </c>
      <c r="P607" s="28" t="str">
        <f t="shared" si="210"/>
        <v>On time</v>
      </c>
      <c r="Q607" s="27">
        <f t="shared" si="206"/>
        <v>0</v>
      </c>
      <c r="R607" s="29" t="s">
        <v>1093</v>
      </c>
      <c r="S607" s="12" t="s">
        <v>818</v>
      </c>
      <c r="T607" s="35">
        <v>34</v>
      </c>
      <c r="U607" t="s">
        <v>817</v>
      </c>
      <c r="V607" s="27">
        <v>30</v>
      </c>
      <c r="W607" s="9">
        <v>3</v>
      </c>
      <c r="X607" s="9">
        <f t="shared" si="207"/>
        <v>90</v>
      </c>
      <c r="Z607" s="10">
        <v>46108</v>
      </c>
      <c r="AA607" s="10">
        <v>46126</v>
      </c>
      <c r="AB607" s="10">
        <v>46172</v>
      </c>
      <c r="AC607" s="10">
        <v>46237</v>
      </c>
      <c r="AD607" s="31">
        <f t="shared" ca="1" si="208"/>
        <v>9</v>
      </c>
      <c r="AE607" s="36" t="s">
        <v>247</v>
      </c>
      <c r="AF607" t="s">
        <v>62</v>
      </c>
      <c r="AG607" s="10" t="s">
        <v>79</v>
      </c>
      <c r="AI607" s="9" t="s">
        <v>53</v>
      </c>
      <c r="AL607" s="9" t="s">
        <v>2014</v>
      </c>
      <c r="AM607" s="27" t="str">
        <f t="shared" si="203"/>
        <v>Atrasado</v>
      </c>
      <c r="AN607" s="27" t="str">
        <f t="shared" ca="1" si="213"/>
        <v>Estoque</v>
      </c>
      <c r="AO607" s="27" t="str">
        <f t="shared" ca="1" si="209"/>
        <v/>
      </c>
      <c r="AP607" t="s">
        <v>819</v>
      </c>
    </row>
    <row r="608" spans="1:42" ht="15" hidden="1" customHeight="1">
      <c r="D608" t="s">
        <v>1104</v>
      </c>
      <c r="E608" s="23" t="s">
        <v>1939</v>
      </c>
      <c r="F608" s="24"/>
      <c r="I608" s="26"/>
      <c r="L608" s="27" t="str">
        <f t="shared" si="212"/>
        <v xml:space="preserve"> </v>
      </c>
      <c r="N608" s="27" t="str">
        <f t="shared" si="211"/>
        <v xml:space="preserve"> </v>
      </c>
      <c r="O608" s="27">
        <f t="shared" si="205"/>
        <v>0</v>
      </c>
      <c r="P608" s="28" t="str">
        <f t="shared" si="210"/>
        <v>On time</v>
      </c>
      <c r="Q608" s="27">
        <f t="shared" si="206"/>
        <v>0</v>
      </c>
      <c r="R608" s="29" t="s">
        <v>1102</v>
      </c>
      <c r="S608" s="12" t="s">
        <v>1103</v>
      </c>
      <c r="T608" s="35">
        <v>1</v>
      </c>
      <c r="U608" t="s">
        <v>1104</v>
      </c>
      <c r="V608" s="27">
        <v>1</v>
      </c>
      <c r="W608" s="9">
        <v>4908.2</v>
      </c>
      <c r="X608" s="9">
        <f t="shared" si="207"/>
        <v>4908.2</v>
      </c>
      <c r="Z608" s="10">
        <v>46080</v>
      </c>
      <c r="AA608" s="10">
        <v>46101</v>
      </c>
      <c r="AB608" s="10">
        <v>46134</v>
      </c>
      <c r="AC608" s="10">
        <v>46149</v>
      </c>
      <c r="AD608" s="31">
        <f t="shared" ca="1" si="204"/>
        <v>34</v>
      </c>
      <c r="AE608" s="36">
        <v>1</v>
      </c>
      <c r="AF608" t="s">
        <v>1958</v>
      </c>
      <c r="AG608" s="10" t="s">
        <v>78</v>
      </c>
      <c r="AI608" s="9" t="s">
        <v>57</v>
      </c>
      <c r="AL608" s="9" t="s">
        <v>2217</v>
      </c>
      <c r="AM608" s="27" t="str">
        <f t="shared" si="203"/>
        <v>Atrasado</v>
      </c>
      <c r="AN608" s="27" t="str">
        <f t="shared" ca="1" si="213"/>
        <v>Estoque</v>
      </c>
      <c r="AO608" s="27" t="str">
        <f t="shared" ca="1" si="209"/>
        <v/>
      </c>
      <c r="AP608" t="s">
        <v>1957</v>
      </c>
    </row>
    <row r="609" spans="4:42" ht="15" hidden="1" customHeight="1">
      <c r="D609" t="s">
        <v>1105</v>
      </c>
      <c r="E609" s="23" t="s">
        <v>1940</v>
      </c>
      <c r="F609" s="24"/>
      <c r="I609" s="26"/>
      <c r="L609" s="27" t="str">
        <f t="shared" si="212"/>
        <v xml:space="preserve"> </v>
      </c>
      <c r="N609" s="27" t="str">
        <f t="shared" si="211"/>
        <v xml:space="preserve"> </v>
      </c>
      <c r="O609" s="27">
        <f t="shared" si="205"/>
        <v>0</v>
      </c>
      <c r="P609" s="28" t="str">
        <f t="shared" si="210"/>
        <v>On time</v>
      </c>
      <c r="Q609" s="27">
        <f t="shared" si="206"/>
        <v>0</v>
      </c>
      <c r="R609" s="29" t="s">
        <v>1102</v>
      </c>
      <c r="S609" s="12" t="s">
        <v>1103</v>
      </c>
      <c r="T609" s="35">
        <v>2</v>
      </c>
      <c r="U609" t="s">
        <v>1105</v>
      </c>
      <c r="V609" s="27">
        <v>1</v>
      </c>
      <c r="W609" s="9">
        <v>3268.9</v>
      </c>
      <c r="X609" s="9">
        <f t="shared" si="207"/>
        <v>3268.9</v>
      </c>
      <c r="Z609" s="10">
        <v>46080</v>
      </c>
      <c r="AA609" s="10">
        <v>46101</v>
      </c>
      <c r="AB609" s="10">
        <v>46134</v>
      </c>
      <c r="AC609" s="10">
        <v>46149</v>
      </c>
      <c r="AD609" s="31">
        <f t="shared" ca="1" si="204"/>
        <v>34</v>
      </c>
      <c r="AE609" s="36">
        <v>1</v>
      </c>
      <c r="AF609" t="s">
        <v>1958</v>
      </c>
      <c r="AG609" s="10" t="s">
        <v>78</v>
      </c>
      <c r="AI609" s="9" t="s">
        <v>57</v>
      </c>
      <c r="AL609" s="9" t="s">
        <v>2217</v>
      </c>
      <c r="AM609" s="27" t="str">
        <f t="shared" si="203"/>
        <v>Atrasado</v>
      </c>
      <c r="AN609" s="27" t="str">
        <f t="shared" ca="1" si="213"/>
        <v>Estoque</v>
      </c>
      <c r="AO609" s="27" t="str">
        <f t="shared" ca="1" si="209"/>
        <v/>
      </c>
      <c r="AP609" t="s">
        <v>1957</v>
      </c>
    </row>
    <row r="610" spans="4:42" ht="15" hidden="1" customHeight="1">
      <c r="D610" t="s">
        <v>1106</v>
      </c>
      <c r="E610" s="23" t="s">
        <v>1779</v>
      </c>
      <c r="F610" s="24"/>
      <c r="I610" s="26"/>
      <c r="L610" s="27" t="str">
        <f t="shared" si="212"/>
        <v xml:space="preserve"> </v>
      </c>
      <c r="N610" s="27" t="str">
        <f t="shared" si="211"/>
        <v xml:space="preserve"> </v>
      </c>
      <c r="O610" s="27">
        <f t="shared" si="205"/>
        <v>0</v>
      </c>
      <c r="P610" s="28" t="str">
        <f t="shared" si="210"/>
        <v>On time</v>
      </c>
      <c r="Q610" s="27">
        <f t="shared" si="206"/>
        <v>0</v>
      </c>
      <c r="R610" s="29" t="s">
        <v>1273</v>
      </c>
      <c r="S610" s="12" t="s">
        <v>1274</v>
      </c>
      <c r="T610" s="35">
        <v>1</v>
      </c>
      <c r="U610" t="s">
        <v>1106</v>
      </c>
      <c r="V610" s="27">
        <v>500</v>
      </c>
      <c r="W610" s="9">
        <v>0.65</v>
      </c>
      <c r="X610" s="9">
        <f t="shared" si="207"/>
        <v>325</v>
      </c>
      <c r="Z610" s="10">
        <v>46021</v>
      </c>
      <c r="AA610" s="10">
        <v>46094</v>
      </c>
      <c r="AB610" s="10">
        <v>46157</v>
      </c>
      <c r="AC610" s="10">
        <v>46222</v>
      </c>
      <c r="AD610" s="31">
        <f t="shared" ca="1" si="204"/>
        <v>41</v>
      </c>
      <c r="AE610" s="36" t="s">
        <v>247</v>
      </c>
      <c r="AF610" t="s">
        <v>62</v>
      </c>
      <c r="AG610" s="10" t="s">
        <v>79</v>
      </c>
      <c r="AI610" s="9" t="s">
        <v>53</v>
      </c>
      <c r="AL610" s="9" t="s">
        <v>1319</v>
      </c>
      <c r="AM610" s="27" t="str">
        <f t="shared" ref="AM610" si="214">IF(AB610=0," ",IF(AB610&lt;=AA610+10,"On time","Atrasado"))</f>
        <v>Atrasado</v>
      </c>
      <c r="AN610" s="27" t="str">
        <f t="shared" ca="1" si="213"/>
        <v>Estoque</v>
      </c>
      <c r="AO610" s="27" t="str">
        <f t="shared" ca="1" si="209"/>
        <v/>
      </c>
      <c r="AP610" t="s">
        <v>1318</v>
      </c>
    </row>
    <row r="611" spans="4:42" ht="15" hidden="1" customHeight="1">
      <c r="D611" t="s">
        <v>1107</v>
      </c>
      <c r="E611" s="23" t="s">
        <v>1780</v>
      </c>
      <c r="F611" s="24"/>
      <c r="I611" s="26"/>
      <c r="L611" s="27" t="str">
        <f t="shared" si="212"/>
        <v xml:space="preserve"> </v>
      </c>
      <c r="N611" s="27" t="str">
        <f t="shared" si="211"/>
        <v xml:space="preserve"> </v>
      </c>
      <c r="O611" s="27">
        <f t="shared" si="205"/>
        <v>0</v>
      </c>
      <c r="P611" s="28" t="str">
        <f t="shared" si="210"/>
        <v>On time</v>
      </c>
      <c r="Q611" s="27">
        <f t="shared" si="206"/>
        <v>0</v>
      </c>
      <c r="R611" s="29" t="s">
        <v>1273</v>
      </c>
      <c r="S611" s="12" t="s">
        <v>1274</v>
      </c>
      <c r="T611" s="35">
        <v>2</v>
      </c>
      <c r="U611" t="s">
        <v>1107</v>
      </c>
      <c r="V611" s="27">
        <v>500</v>
      </c>
      <c r="W611" s="9">
        <v>0.68</v>
      </c>
      <c r="X611" s="9">
        <f t="shared" si="207"/>
        <v>340</v>
      </c>
      <c r="Z611" s="10">
        <v>46021</v>
      </c>
      <c r="AA611" s="10">
        <v>46094</v>
      </c>
      <c r="AB611" s="10">
        <v>46157</v>
      </c>
      <c r="AC611" s="10">
        <v>46222</v>
      </c>
      <c r="AD611" s="31">
        <f t="shared" ref="AD611:AD673" ca="1" si="215">TODAY()-AA611</f>
        <v>41</v>
      </c>
      <c r="AE611" s="36" t="s">
        <v>247</v>
      </c>
      <c r="AF611" t="s">
        <v>62</v>
      </c>
      <c r="AG611" s="10" t="s">
        <v>79</v>
      </c>
      <c r="AI611" s="9" t="s">
        <v>53</v>
      </c>
      <c r="AL611" s="9" t="s">
        <v>1319</v>
      </c>
      <c r="AM611" s="27" t="str">
        <f t="shared" ref="AM611:AM673" si="216">IF(AB611=0," ",IF(AB611&lt;=AA611+10,"On time","Atrasado"))</f>
        <v>Atrasado</v>
      </c>
      <c r="AN611" s="27" t="str">
        <f t="shared" ca="1" si="213"/>
        <v>Estoque</v>
      </c>
      <c r="AO611" s="27" t="str">
        <f t="shared" ca="1" si="209"/>
        <v/>
      </c>
      <c r="AP611" t="s">
        <v>1318</v>
      </c>
    </row>
    <row r="612" spans="4:42" ht="15" hidden="1" customHeight="1">
      <c r="D612" t="s">
        <v>1108</v>
      </c>
      <c r="E612" s="23" t="s">
        <v>1781</v>
      </c>
      <c r="F612" s="24"/>
      <c r="I612" s="26"/>
      <c r="L612" s="27" t="str">
        <f t="shared" si="212"/>
        <v xml:space="preserve"> </v>
      </c>
      <c r="N612" s="27" t="str">
        <f t="shared" si="211"/>
        <v xml:space="preserve"> </v>
      </c>
      <c r="O612" s="27">
        <f t="shared" si="205"/>
        <v>0</v>
      </c>
      <c r="P612" s="28" t="str">
        <f t="shared" si="210"/>
        <v>On time</v>
      </c>
      <c r="Q612" s="27">
        <f t="shared" si="206"/>
        <v>0</v>
      </c>
      <c r="R612" s="29" t="s">
        <v>1273</v>
      </c>
      <c r="S612" s="12" t="s">
        <v>1274</v>
      </c>
      <c r="T612" s="35">
        <v>3</v>
      </c>
      <c r="U612" t="s">
        <v>1108</v>
      </c>
      <c r="V612" s="27">
        <v>1000</v>
      </c>
      <c r="W612" s="9">
        <v>0.68</v>
      </c>
      <c r="X612" s="9">
        <f t="shared" si="207"/>
        <v>680</v>
      </c>
      <c r="Z612" s="10">
        <v>46021</v>
      </c>
      <c r="AA612" s="10">
        <v>46094</v>
      </c>
      <c r="AB612" s="10">
        <v>46157</v>
      </c>
      <c r="AC612" s="10">
        <v>46222</v>
      </c>
      <c r="AD612" s="31">
        <f t="shared" ca="1" si="215"/>
        <v>41</v>
      </c>
      <c r="AE612" s="36" t="s">
        <v>247</v>
      </c>
      <c r="AF612" t="s">
        <v>62</v>
      </c>
      <c r="AG612" s="10" t="s">
        <v>79</v>
      </c>
      <c r="AI612" s="9" t="s">
        <v>53</v>
      </c>
      <c r="AL612" s="9" t="s">
        <v>1319</v>
      </c>
      <c r="AM612" s="27" t="str">
        <f t="shared" si="216"/>
        <v>Atrasado</v>
      </c>
      <c r="AN612" s="27" t="str">
        <f t="shared" ca="1" si="213"/>
        <v>Estoque</v>
      </c>
      <c r="AO612" s="27" t="str">
        <f t="shared" ca="1" si="209"/>
        <v/>
      </c>
      <c r="AP612" t="s">
        <v>1318</v>
      </c>
    </row>
    <row r="613" spans="4:42" ht="15" hidden="1" customHeight="1">
      <c r="D613" t="s">
        <v>1109</v>
      </c>
      <c r="E613" s="23" t="s">
        <v>1782</v>
      </c>
      <c r="F613" s="24"/>
      <c r="I613" s="26"/>
      <c r="L613" s="27" t="str">
        <f t="shared" si="212"/>
        <v xml:space="preserve"> </v>
      </c>
      <c r="N613" s="27" t="str">
        <f t="shared" si="211"/>
        <v xml:space="preserve"> </v>
      </c>
      <c r="O613" s="27">
        <f t="shared" si="205"/>
        <v>0</v>
      </c>
      <c r="P613" s="28" t="str">
        <f t="shared" si="210"/>
        <v>On time</v>
      </c>
      <c r="Q613" s="27">
        <f t="shared" si="206"/>
        <v>0</v>
      </c>
      <c r="R613" s="29" t="s">
        <v>1273</v>
      </c>
      <c r="S613" s="12" t="s">
        <v>1274</v>
      </c>
      <c r="T613" s="35">
        <v>4</v>
      </c>
      <c r="U613" t="s">
        <v>1109</v>
      </c>
      <c r="V613" s="27">
        <v>20</v>
      </c>
      <c r="W613" s="9">
        <v>1.52</v>
      </c>
      <c r="X613" s="9">
        <f t="shared" si="207"/>
        <v>30.4</v>
      </c>
      <c r="Z613" s="10">
        <v>46021</v>
      </c>
      <c r="AA613" s="10">
        <v>46094</v>
      </c>
      <c r="AB613" s="10">
        <v>46157</v>
      </c>
      <c r="AC613" s="10">
        <v>46222</v>
      </c>
      <c r="AD613" s="31">
        <f t="shared" ca="1" si="215"/>
        <v>41</v>
      </c>
      <c r="AE613" s="36" t="s">
        <v>247</v>
      </c>
      <c r="AF613" t="s">
        <v>62</v>
      </c>
      <c r="AG613" s="10" t="s">
        <v>79</v>
      </c>
      <c r="AI613" s="9" t="s">
        <v>53</v>
      </c>
      <c r="AL613" s="9" t="s">
        <v>1319</v>
      </c>
      <c r="AM613" s="27" t="str">
        <f t="shared" si="216"/>
        <v>Atrasado</v>
      </c>
      <c r="AN613" s="27" t="str">
        <f t="shared" ca="1" si="213"/>
        <v>Estoque</v>
      </c>
      <c r="AO613" s="27" t="str">
        <f t="shared" ca="1" si="209"/>
        <v/>
      </c>
      <c r="AP613" t="s">
        <v>1318</v>
      </c>
    </row>
    <row r="614" spans="4:42" ht="15" hidden="1" customHeight="1">
      <c r="D614" t="s">
        <v>1110</v>
      </c>
      <c r="E614" s="23" t="s">
        <v>1783</v>
      </c>
      <c r="F614" s="24"/>
      <c r="I614" s="26"/>
      <c r="L614" s="27" t="str">
        <f t="shared" si="212"/>
        <v xml:space="preserve"> </v>
      </c>
      <c r="N614" s="27" t="str">
        <f t="shared" si="211"/>
        <v xml:space="preserve"> </v>
      </c>
      <c r="O614" s="27">
        <f t="shared" si="205"/>
        <v>0</v>
      </c>
      <c r="P614" s="28" t="str">
        <f t="shared" si="210"/>
        <v>On time</v>
      </c>
      <c r="Q614" s="27">
        <f t="shared" si="206"/>
        <v>0</v>
      </c>
      <c r="R614" s="29" t="s">
        <v>1273</v>
      </c>
      <c r="S614" s="12" t="s">
        <v>1274</v>
      </c>
      <c r="T614" s="35">
        <v>5</v>
      </c>
      <c r="U614" t="s">
        <v>1110</v>
      </c>
      <c r="V614" s="27">
        <v>20</v>
      </c>
      <c r="W614" s="9">
        <v>1.52</v>
      </c>
      <c r="X614" s="9">
        <f t="shared" si="207"/>
        <v>30.4</v>
      </c>
      <c r="Z614" s="10">
        <v>46021</v>
      </c>
      <c r="AA614" s="10">
        <v>46094</v>
      </c>
      <c r="AB614" s="10">
        <v>46157</v>
      </c>
      <c r="AC614" s="10">
        <v>46222</v>
      </c>
      <c r="AD614" s="31">
        <f t="shared" ca="1" si="215"/>
        <v>41</v>
      </c>
      <c r="AE614" s="36" t="s">
        <v>247</v>
      </c>
      <c r="AF614" t="s">
        <v>62</v>
      </c>
      <c r="AG614" s="10" t="s">
        <v>79</v>
      </c>
      <c r="AI614" s="9" t="s">
        <v>53</v>
      </c>
      <c r="AL614" s="9" t="s">
        <v>1319</v>
      </c>
      <c r="AM614" s="27" t="str">
        <f t="shared" si="216"/>
        <v>Atrasado</v>
      </c>
      <c r="AN614" s="27" t="str">
        <f t="shared" ca="1" si="213"/>
        <v>Estoque</v>
      </c>
      <c r="AO614" s="27" t="str">
        <f t="shared" ca="1" si="209"/>
        <v/>
      </c>
      <c r="AP614" t="s">
        <v>1318</v>
      </c>
    </row>
    <row r="615" spans="4:42" ht="15" hidden="1" customHeight="1">
      <c r="D615" t="s">
        <v>1111</v>
      </c>
      <c r="E615" s="23" t="s">
        <v>1784</v>
      </c>
      <c r="F615" s="24"/>
      <c r="I615" s="26"/>
      <c r="L615" s="27" t="str">
        <f t="shared" si="212"/>
        <v xml:space="preserve"> </v>
      </c>
      <c r="N615" s="27" t="str">
        <f t="shared" si="211"/>
        <v xml:space="preserve"> </v>
      </c>
      <c r="O615" s="27">
        <f t="shared" si="205"/>
        <v>0</v>
      </c>
      <c r="P615" s="28" t="str">
        <f t="shared" si="210"/>
        <v>On time</v>
      </c>
      <c r="Q615" s="27">
        <f t="shared" si="206"/>
        <v>0</v>
      </c>
      <c r="R615" s="29" t="s">
        <v>1273</v>
      </c>
      <c r="S615" s="12" t="s">
        <v>1274</v>
      </c>
      <c r="T615" s="35">
        <v>6</v>
      </c>
      <c r="U615" t="s">
        <v>1111</v>
      </c>
      <c r="V615" s="27">
        <v>100</v>
      </c>
      <c r="W615" s="9">
        <v>1.1399999999999999</v>
      </c>
      <c r="X615" s="9">
        <f t="shared" si="207"/>
        <v>113.99999999999999</v>
      </c>
      <c r="Z615" s="10">
        <v>46021</v>
      </c>
      <c r="AA615" s="10">
        <v>46094</v>
      </c>
      <c r="AB615" s="10">
        <v>46157</v>
      </c>
      <c r="AC615" s="10">
        <v>46222</v>
      </c>
      <c r="AD615" s="31">
        <f t="shared" ca="1" si="215"/>
        <v>41</v>
      </c>
      <c r="AE615" s="36" t="s">
        <v>247</v>
      </c>
      <c r="AF615" t="s">
        <v>62</v>
      </c>
      <c r="AG615" s="10" t="s">
        <v>79</v>
      </c>
      <c r="AI615" s="9" t="s">
        <v>53</v>
      </c>
      <c r="AL615" s="9" t="s">
        <v>1319</v>
      </c>
      <c r="AM615" s="27" t="str">
        <f t="shared" si="216"/>
        <v>Atrasado</v>
      </c>
      <c r="AN615" s="27" t="str">
        <f t="shared" ca="1" si="213"/>
        <v>Estoque</v>
      </c>
      <c r="AO615" s="27" t="str">
        <f t="shared" ca="1" si="209"/>
        <v/>
      </c>
      <c r="AP615" t="s">
        <v>1318</v>
      </c>
    </row>
    <row r="616" spans="4:42" ht="15" hidden="1" customHeight="1">
      <c r="D616" t="s">
        <v>1112</v>
      </c>
      <c r="E616" s="23" t="s">
        <v>1785</v>
      </c>
      <c r="F616" s="24"/>
      <c r="I616" s="26"/>
      <c r="L616" s="27" t="str">
        <f t="shared" si="212"/>
        <v xml:space="preserve"> </v>
      </c>
      <c r="N616" s="27" t="str">
        <f t="shared" si="211"/>
        <v xml:space="preserve"> </v>
      </c>
      <c r="O616" s="27">
        <f t="shared" si="205"/>
        <v>0</v>
      </c>
      <c r="P616" s="28" t="str">
        <f t="shared" si="210"/>
        <v>On time</v>
      </c>
      <c r="Q616" s="27">
        <f t="shared" si="206"/>
        <v>0</v>
      </c>
      <c r="R616" s="29" t="s">
        <v>1273</v>
      </c>
      <c r="S616" s="12" t="s">
        <v>1274</v>
      </c>
      <c r="T616" s="35">
        <v>7</v>
      </c>
      <c r="U616" t="s">
        <v>1112</v>
      </c>
      <c r="V616" s="27">
        <v>200</v>
      </c>
      <c r="W616" s="9">
        <v>1.1399999999999999</v>
      </c>
      <c r="X616" s="9">
        <f t="shared" si="207"/>
        <v>227.99999999999997</v>
      </c>
      <c r="Z616" s="10">
        <v>46021</v>
      </c>
      <c r="AA616" s="10">
        <v>46094</v>
      </c>
      <c r="AB616" s="10">
        <v>46157</v>
      </c>
      <c r="AC616" s="10">
        <v>46222</v>
      </c>
      <c r="AD616" s="31">
        <f t="shared" ca="1" si="215"/>
        <v>41</v>
      </c>
      <c r="AE616" s="36" t="s">
        <v>247</v>
      </c>
      <c r="AF616" t="s">
        <v>62</v>
      </c>
      <c r="AG616" s="10" t="s">
        <v>79</v>
      </c>
      <c r="AI616" s="9" t="s">
        <v>53</v>
      </c>
      <c r="AL616" s="9" t="s">
        <v>1319</v>
      </c>
      <c r="AM616" s="27" t="str">
        <f t="shared" si="216"/>
        <v>Atrasado</v>
      </c>
      <c r="AN616" s="27" t="str">
        <f t="shared" ca="1" si="213"/>
        <v>Estoque</v>
      </c>
      <c r="AO616" s="27" t="str">
        <f t="shared" ca="1" si="209"/>
        <v/>
      </c>
      <c r="AP616" t="s">
        <v>1318</v>
      </c>
    </row>
    <row r="617" spans="4:42" ht="15" hidden="1" customHeight="1">
      <c r="D617" t="s">
        <v>1113</v>
      </c>
      <c r="E617" s="23" t="s">
        <v>1786</v>
      </c>
      <c r="F617" s="24"/>
      <c r="I617" s="26"/>
      <c r="L617" s="27" t="str">
        <f t="shared" si="212"/>
        <v xml:space="preserve"> </v>
      </c>
      <c r="N617" s="27" t="str">
        <f t="shared" si="211"/>
        <v xml:space="preserve"> </v>
      </c>
      <c r="O617" s="27">
        <f t="shared" si="205"/>
        <v>0</v>
      </c>
      <c r="P617" s="28" t="str">
        <f t="shared" si="210"/>
        <v>On time</v>
      </c>
      <c r="Q617" s="27">
        <f t="shared" si="206"/>
        <v>0</v>
      </c>
      <c r="R617" s="29" t="s">
        <v>1273</v>
      </c>
      <c r="S617" s="12" t="s">
        <v>1274</v>
      </c>
      <c r="T617" s="35">
        <v>8</v>
      </c>
      <c r="U617" t="s">
        <v>1113</v>
      </c>
      <c r="V617" s="27">
        <v>1000</v>
      </c>
      <c r="W617" s="9">
        <v>0.54</v>
      </c>
      <c r="X617" s="9">
        <f t="shared" si="207"/>
        <v>540</v>
      </c>
      <c r="Z617" s="10">
        <v>46021</v>
      </c>
      <c r="AA617" s="10">
        <v>46094</v>
      </c>
      <c r="AB617" s="10">
        <v>46157</v>
      </c>
      <c r="AC617" s="10">
        <v>46222</v>
      </c>
      <c r="AD617" s="31">
        <f t="shared" ca="1" si="215"/>
        <v>41</v>
      </c>
      <c r="AE617" s="36" t="s">
        <v>247</v>
      </c>
      <c r="AF617" t="s">
        <v>62</v>
      </c>
      <c r="AG617" s="10" t="s">
        <v>79</v>
      </c>
      <c r="AI617" s="9" t="s">
        <v>53</v>
      </c>
      <c r="AL617" s="9" t="s">
        <v>1319</v>
      </c>
      <c r="AM617" s="27" t="str">
        <f t="shared" si="216"/>
        <v>Atrasado</v>
      </c>
      <c r="AN617" s="27" t="str">
        <f t="shared" ca="1" si="213"/>
        <v>Estoque</v>
      </c>
      <c r="AO617" s="27" t="str">
        <f t="shared" ca="1" si="209"/>
        <v/>
      </c>
      <c r="AP617" t="s">
        <v>1318</v>
      </c>
    </row>
    <row r="618" spans="4:42" ht="15" hidden="1" customHeight="1">
      <c r="D618" t="s">
        <v>1114</v>
      </c>
      <c r="E618" s="23" t="s">
        <v>1787</v>
      </c>
      <c r="F618" s="24"/>
      <c r="I618" s="26"/>
      <c r="L618" s="27" t="str">
        <f t="shared" si="212"/>
        <v xml:space="preserve"> </v>
      </c>
      <c r="N618" s="27" t="str">
        <f t="shared" si="211"/>
        <v xml:space="preserve"> </v>
      </c>
      <c r="O618" s="27">
        <f t="shared" si="205"/>
        <v>0</v>
      </c>
      <c r="P618" s="28" t="str">
        <f t="shared" si="210"/>
        <v>On time</v>
      </c>
      <c r="Q618" s="27">
        <f t="shared" si="206"/>
        <v>0</v>
      </c>
      <c r="R618" s="29" t="s">
        <v>1273</v>
      </c>
      <c r="S618" s="12" t="s">
        <v>1274</v>
      </c>
      <c r="T618" s="35">
        <v>9</v>
      </c>
      <c r="U618" t="s">
        <v>1114</v>
      </c>
      <c r="V618" s="27">
        <v>800</v>
      </c>
      <c r="W618" s="9">
        <v>0.59</v>
      </c>
      <c r="X618" s="9">
        <f t="shared" si="207"/>
        <v>472</v>
      </c>
      <c r="Z618" s="10">
        <v>46021</v>
      </c>
      <c r="AA618" s="10">
        <v>46094</v>
      </c>
      <c r="AB618" s="10">
        <v>46157</v>
      </c>
      <c r="AC618" s="10">
        <v>46222</v>
      </c>
      <c r="AD618" s="31">
        <f t="shared" ca="1" si="215"/>
        <v>41</v>
      </c>
      <c r="AE618" s="36" t="s">
        <v>247</v>
      </c>
      <c r="AF618" t="s">
        <v>62</v>
      </c>
      <c r="AG618" s="10" t="s">
        <v>79</v>
      </c>
      <c r="AI618" s="9" t="s">
        <v>53</v>
      </c>
      <c r="AL618" s="9" t="s">
        <v>1319</v>
      </c>
      <c r="AM618" s="27" t="str">
        <f t="shared" si="216"/>
        <v>Atrasado</v>
      </c>
      <c r="AN618" s="27" t="str">
        <f t="shared" ca="1" si="213"/>
        <v>Estoque</v>
      </c>
      <c r="AO618" s="27" t="str">
        <f t="shared" ca="1" si="209"/>
        <v/>
      </c>
      <c r="AP618" t="s">
        <v>1318</v>
      </c>
    </row>
    <row r="619" spans="4:42" ht="15" hidden="1" customHeight="1">
      <c r="D619" t="s">
        <v>1115</v>
      </c>
      <c r="E619" s="23" t="s">
        <v>1788</v>
      </c>
      <c r="F619" s="24"/>
      <c r="I619" s="26"/>
      <c r="L619" s="27" t="str">
        <f t="shared" si="212"/>
        <v xml:space="preserve"> </v>
      </c>
      <c r="N619" s="27" t="str">
        <f t="shared" si="211"/>
        <v xml:space="preserve"> </v>
      </c>
      <c r="O619" s="27">
        <f t="shared" si="205"/>
        <v>0</v>
      </c>
      <c r="P619" s="28" t="str">
        <f t="shared" si="210"/>
        <v>On time</v>
      </c>
      <c r="Q619" s="27">
        <f t="shared" si="206"/>
        <v>0</v>
      </c>
      <c r="R619" s="29" t="s">
        <v>1273</v>
      </c>
      <c r="S619" s="12" t="s">
        <v>1274</v>
      </c>
      <c r="T619" s="35">
        <v>10</v>
      </c>
      <c r="U619" t="s">
        <v>1115</v>
      </c>
      <c r="V619" s="27">
        <v>20</v>
      </c>
      <c r="W619" s="9">
        <v>1.97</v>
      </c>
      <c r="X619" s="9">
        <f t="shared" si="207"/>
        <v>39.4</v>
      </c>
      <c r="Z619" s="10">
        <v>46021</v>
      </c>
      <c r="AA619" s="10">
        <v>46094</v>
      </c>
      <c r="AB619" s="10">
        <v>46157</v>
      </c>
      <c r="AC619" s="10">
        <v>46222</v>
      </c>
      <c r="AD619" s="31">
        <f t="shared" ca="1" si="215"/>
        <v>41</v>
      </c>
      <c r="AE619" s="36" t="s">
        <v>247</v>
      </c>
      <c r="AF619" t="s">
        <v>62</v>
      </c>
      <c r="AG619" s="10" t="s">
        <v>79</v>
      </c>
      <c r="AI619" s="9" t="s">
        <v>53</v>
      </c>
      <c r="AL619" s="9" t="s">
        <v>1319</v>
      </c>
      <c r="AM619" s="27" t="str">
        <f t="shared" si="216"/>
        <v>Atrasado</v>
      </c>
      <c r="AN619" s="27" t="str">
        <f t="shared" ca="1" si="213"/>
        <v>Estoque</v>
      </c>
      <c r="AO619" s="27" t="str">
        <f t="shared" ca="1" si="209"/>
        <v/>
      </c>
      <c r="AP619" t="s">
        <v>1318</v>
      </c>
    </row>
    <row r="620" spans="4:42" ht="15" hidden="1" customHeight="1">
      <c r="D620" t="s">
        <v>1116</v>
      </c>
      <c r="E620" s="23" t="s">
        <v>1789</v>
      </c>
      <c r="F620" s="24"/>
      <c r="I620" s="26"/>
      <c r="L620" s="27" t="str">
        <f t="shared" si="212"/>
        <v xml:space="preserve"> </v>
      </c>
      <c r="N620" s="27" t="str">
        <f t="shared" si="211"/>
        <v xml:space="preserve"> </v>
      </c>
      <c r="O620" s="27">
        <f t="shared" si="205"/>
        <v>0</v>
      </c>
      <c r="P620" s="28" t="str">
        <f t="shared" si="210"/>
        <v>On time</v>
      </c>
      <c r="Q620" s="27">
        <f t="shared" si="206"/>
        <v>0</v>
      </c>
      <c r="R620" s="29" t="s">
        <v>1273</v>
      </c>
      <c r="S620" s="12" t="s">
        <v>1274</v>
      </c>
      <c r="T620" s="35">
        <v>11</v>
      </c>
      <c r="U620" t="s">
        <v>1116</v>
      </c>
      <c r="V620" s="27">
        <v>1000</v>
      </c>
      <c r="W620" s="9">
        <v>0.83</v>
      </c>
      <c r="X620" s="9">
        <f t="shared" si="207"/>
        <v>830</v>
      </c>
      <c r="Z620" s="10">
        <v>46021</v>
      </c>
      <c r="AA620" s="10">
        <v>46094</v>
      </c>
      <c r="AB620" s="10">
        <v>46157</v>
      </c>
      <c r="AC620" s="10">
        <v>46222</v>
      </c>
      <c r="AD620" s="31">
        <f t="shared" ca="1" si="215"/>
        <v>41</v>
      </c>
      <c r="AE620" s="36" t="s">
        <v>247</v>
      </c>
      <c r="AF620" t="s">
        <v>62</v>
      </c>
      <c r="AG620" s="10" t="s">
        <v>79</v>
      </c>
      <c r="AI620" s="9" t="s">
        <v>53</v>
      </c>
      <c r="AL620" s="9" t="s">
        <v>1319</v>
      </c>
      <c r="AM620" s="27" t="str">
        <f t="shared" si="216"/>
        <v>Atrasado</v>
      </c>
      <c r="AN620" s="27" t="str">
        <f t="shared" ca="1" si="213"/>
        <v>Estoque</v>
      </c>
      <c r="AO620" s="27" t="str">
        <f t="shared" ca="1" si="209"/>
        <v/>
      </c>
      <c r="AP620" t="s">
        <v>1318</v>
      </c>
    </row>
    <row r="621" spans="4:42" ht="15" hidden="1" customHeight="1">
      <c r="D621" t="s">
        <v>1117</v>
      </c>
      <c r="E621" s="23" t="s">
        <v>1790</v>
      </c>
      <c r="F621" s="24"/>
      <c r="I621" s="26"/>
      <c r="L621" s="27" t="str">
        <f t="shared" si="212"/>
        <v xml:space="preserve"> </v>
      </c>
      <c r="N621" s="27" t="str">
        <f t="shared" si="211"/>
        <v xml:space="preserve"> </v>
      </c>
      <c r="O621" s="27">
        <f t="shared" si="205"/>
        <v>0</v>
      </c>
      <c r="P621" s="28" t="str">
        <f t="shared" si="210"/>
        <v>On time</v>
      </c>
      <c r="Q621" s="27">
        <f t="shared" si="206"/>
        <v>0</v>
      </c>
      <c r="R621" s="29" t="s">
        <v>1273</v>
      </c>
      <c r="S621" s="12" t="s">
        <v>1274</v>
      </c>
      <c r="T621" s="35">
        <v>12</v>
      </c>
      <c r="U621" t="s">
        <v>1117</v>
      </c>
      <c r="V621" s="27">
        <v>100</v>
      </c>
      <c r="W621" s="9">
        <v>1.97</v>
      </c>
      <c r="X621" s="9">
        <f t="shared" si="207"/>
        <v>197</v>
      </c>
      <c r="Z621" s="10">
        <v>46021</v>
      </c>
      <c r="AA621" s="10">
        <v>46094</v>
      </c>
      <c r="AB621" s="10">
        <v>46157</v>
      </c>
      <c r="AC621" s="10">
        <v>46222</v>
      </c>
      <c r="AD621" s="31">
        <f t="shared" ca="1" si="215"/>
        <v>41</v>
      </c>
      <c r="AE621" s="36" t="s">
        <v>247</v>
      </c>
      <c r="AF621" t="s">
        <v>62</v>
      </c>
      <c r="AG621" s="10" t="s">
        <v>79</v>
      </c>
      <c r="AI621" s="9" t="s">
        <v>53</v>
      </c>
      <c r="AL621" s="9" t="s">
        <v>1319</v>
      </c>
      <c r="AM621" s="27" t="str">
        <f t="shared" si="216"/>
        <v>Atrasado</v>
      </c>
      <c r="AN621" s="27" t="str">
        <f t="shared" ca="1" si="213"/>
        <v>Estoque</v>
      </c>
      <c r="AO621" s="27" t="str">
        <f t="shared" ca="1" si="209"/>
        <v/>
      </c>
      <c r="AP621" t="s">
        <v>1318</v>
      </c>
    </row>
    <row r="622" spans="4:42" ht="15" hidden="1" customHeight="1">
      <c r="D622" t="s">
        <v>1118</v>
      </c>
      <c r="E622" s="23" t="s">
        <v>1791</v>
      </c>
      <c r="F622" s="24"/>
      <c r="I622" s="26"/>
      <c r="L622" s="27" t="str">
        <f t="shared" si="212"/>
        <v xml:space="preserve"> </v>
      </c>
      <c r="N622" s="27" t="str">
        <f t="shared" si="211"/>
        <v xml:space="preserve"> </v>
      </c>
      <c r="O622" s="27">
        <f t="shared" si="205"/>
        <v>0</v>
      </c>
      <c r="P622" s="28" t="str">
        <f t="shared" si="210"/>
        <v>On time</v>
      </c>
      <c r="Q622" s="27">
        <f t="shared" si="206"/>
        <v>0</v>
      </c>
      <c r="R622" s="29" t="s">
        <v>1273</v>
      </c>
      <c r="S622" s="12" t="s">
        <v>1274</v>
      </c>
      <c r="T622" s="35">
        <v>13</v>
      </c>
      <c r="U622" t="s">
        <v>1118</v>
      </c>
      <c r="V622" s="27">
        <v>2000</v>
      </c>
      <c r="W622" s="9">
        <v>0.39</v>
      </c>
      <c r="X622" s="9">
        <f t="shared" si="207"/>
        <v>780</v>
      </c>
      <c r="Z622" s="10">
        <v>46021</v>
      </c>
      <c r="AA622" s="10">
        <v>46094</v>
      </c>
      <c r="AB622" s="10">
        <v>46157</v>
      </c>
      <c r="AC622" s="10">
        <v>46222</v>
      </c>
      <c r="AD622" s="31">
        <f t="shared" ca="1" si="215"/>
        <v>41</v>
      </c>
      <c r="AE622" s="36" t="s">
        <v>247</v>
      </c>
      <c r="AF622" t="s">
        <v>62</v>
      </c>
      <c r="AG622" s="10" t="s">
        <v>79</v>
      </c>
      <c r="AI622" s="9" t="s">
        <v>53</v>
      </c>
      <c r="AL622" s="9" t="s">
        <v>1319</v>
      </c>
      <c r="AM622" s="27" t="str">
        <f t="shared" si="216"/>
        <v>Atrasado</v>
      </c>
      <c r="AN622" s="27" t="str">
        <f t="shared" ca="1" si="213"/>
        <v>Estoque</v>
      </c>
      <c r="AO622" s="27" t="str">
        <f t="shared" ca="1" si="209"/>
        <v/>
      </c>
      <c r="AP622" t="s">
        <v>1318</v>
      </c>
    </row>
    <row r="623" spans="4:42" ht="15" hidden="1" customHeight="1">
      <c r="D623" t="s">
        <v>1119</v>
      </c>
      <c r="E623" s="23" t="s">
        <v>1792</v>
      </c>
      <c r="F623" s="24"/>
      <c r="I623" s="26"/>
      <c r="L623" s="27" t="str">
        <f t="shared" si="212"/>
        <v xml:space="preserve"> </v>
      </c>
      <c r="N623" s="27" t="str">
        <f t="shared" si="211"/>
        <v xml:space="preserve"> </v>
      </c>
      <c r="O623" s="27">
        <f t="shared" si="205"/>
        <v>0</v>
      </c>
      <c r="P623" s="28" t="str">
        <f t="shared" si="210"/>
        <v>On time</v>
      </c>
      <c r="Q623" s="27">
        <f t="shared" si="206"/>
        <v>0</v>
      </c>
      <c r="R623" s="29" t="s">
        <v>1273</v>
      </c>
      <c r="S623" s="12" t="s">
        <v>1274</v>
      </c>
      <c r="T623" s="35">
        <v>14</v>
      </c>
      <c r="U623" t="s">
        <v>1119</v>
      </c>
      <c r="V623" s="27">
        <v>500</v>
      </c>
      <c r="W623" s="9">
        <v>1.49</v>
      </c>
      <c r="X623" s="9">
        <f t="shared" si="207"/>
        <v>745</v>
      </c>
      <c r="Z623" s="10">
        <v>46021</v>
      </c>
      <c r="AA623" s="10">
        <v>46094</v>
      </c>
      <c r="AB623" s="10">
        <v>46157</v>
      </c>
      <c r="AC623" s="10">
        <v>46222</v>
      </c>
      <c r="AD623" s="31">
        <f t="shared" ca="1" si="215"/>
        <v>41</v>
      </c>
      <c r="AE623" s="36" t="s">
        <v>247</v>
      </c>
      <c r="AF623" t="s">
        <v>62</v>
      </c>
      <c r="AG623" s="10" t="s">
        <v>79</v>
      </c>
      <c r="AI623" s="9" t="s">
        <v>53</v>
      </c>
      <c r="AL623" s="9" t="s">
        <v>1319</v>
      </c>
      <c r="AM623" s="27" t="str">
        <f t="shared" si="216"/>
        <v>Atrasado</v>
      </c>
      <c r="AN623" s="27" t="str">
        <f t="shared" ca="1" si="213"/>
        <v>Estoque</v>
      </c>
      <c r="AO623" s="27" t="str">
        <f t="shared" ca="1" si="209"/>
        <v/>
      </c>
      <c r="AP623" t="s">
        <v>1318</v>
      </c>
    </row>
    <row r="624" spans="4:42" ht="15" hidden="1" customHeight="1">
      <c r="D624" t="s">
        <v>1120</v>
      </c>
      <c r="E624" s="23" t="s">
        <v>1793</v>
      </c>
      <c r="F624" s="24"/>
      <c r="I624" s="26"/>
      <c r="L624" s="27" t="str">
        <f t="shared" si="212"/>
        <v xml:space="preserve"> </v>
      </c>
      <c r="N624" s="27" t="str">
        <f t="shared" si="211"/>
        <v xml:space="preserve"> </v>
      </c>
      <c r="O624" s="27">
        <f t="shared" si="205"/>
        <v>0</v>
      </c>
      <c r="P624" s="28" t="str">
        <f t="shared" si="210"/>
        <v>On time</v>
      </c>
      <c r="Q624" s="27">
        <f t="shared" si="206"/>
        <v>0</v>
      </c>
      <c r="R624" s="29" t="s">
        <v>1273</v>
      </c>
      <c r="S624" s="12" t="s">
        <v>1274</v>
      </c>
      <c r="T624" s="35">
        <v>15</v>
      </c>
      <c r="U624" t="s">
        <v>1120</v>
      </c>
      <c r="V624" s="27">
        <v>3000</v>
      </c>
      <c r="W624" s="9">
        <v>0.63</v>
      </c>
      <c r="X624" s="9">
        <f t="shared" si="207"/>
        <v>1890</v>
      </c>
      <c r="Z624" s="10">
        <v>46021</v>
      </c>
      <c r="AA624" s="10">
        <v>46094</v>
      </c>
      <c r="AB624" s="10">
        <v>46157</v>
      </c>
      <c r="AC624" s="10">
        <v>46222</v>
      </c>
      <c r="AD624" s="31">
        <f t="shared" ca="1" si="215"/>
        <v>41</v>
      </c>
      <c r="AE624" s="36" t="s">
        <v>247</v>
      </c>
      <c r="AF624" t="s">
        <v>62</v>
      </c>
      <c r="AG624" s="10" t="s">
        <v>79</v>
      </c>
      <c r="AI624" s="9" t="s">
        <v>53</v>
      </c>
      <c r="AL624" s="9" t="s">
        <v>1319</v>
      </c>
      <c r="AM624" s="27" t="str">
        <f t="shared" si="216"/>
        <v>Atrasado</v>
      </c>
      <c r="AN624" s="27" t="str">
        <f t="shared" ca="1" si="213"/>
        <v>Estoque</v>
      </c>
      <c r="AO624" s="27" t="str">
        <f t="shared" ca="1" si="209"/>
        <v/>
      </c>
      <c r="AP624" t="s">
        <v>1318</v>
      </c>
    </row>
    <row r="625" spans="4:42" ht="15" hidden="1" customHeight="1">
      <c r="D625" t="s">
        <v>1121</v>
      </c>
      <c r="E625" s="23" t="s">
        <v>1794</v>
      </c>
      <c r="F625" s="24"/>
      <c r="I625" s="26"/>
      <c r="L625" s="27" t="str">
        <f t="shared" si="212"/>
        <v xml:space="preserve"> </v>
      </c>
      <c r="N625" s="27" t="str">
        <f t="shared" si="211"/>
        <v xml:space="preserve"> </v>
      </c>
      <c r="O625" s="27">
        <f t="shared" si="205"/>
        <v>0</v>
      </c>
      <c r="P625" s="28" t="str">
        <f t="shared" si="210"/>
        <v>On time</v>
      </c>
      <c r="Q625" s="27">
        <f t="shared" si="206"/>
        <v>0</v>
      </c>
      <c r="R625" s="29" t="s">
        <v>1273</v>
      </c>
      <c r="S625" s="12" t="s">
        <v>1274</v>
      </c>
      <c r="T625" s="35">
        <v>16</v>
      </c>
      <c r="U625" t="s">
        <v>1121</v>
      </c>
      <c r="V625" s="27">
        <v>100</v>
      </c>
      <c r="W625" s="9">
        <v>0.68</v>
      </c>
      <c r="X625" s="9">
        <f t="shared" si="207"/>
        <v>68</v>
      </c>
      <c r="Z625" s="10">
        <v>46021</v>
      </c>
      <c r="AA625" s="10">
        <v>46094</v>
      </c>
      <c r="AB625" s="10">
        <v>46157</v>
      </c>
      <c r="AC625" s="10">
        <v>46222</v>
      </c>
      <c r="AD625" s="31">
        <f t="shared" ca="1" si="215"/>
        <v>41</v>
      </c>
      <c r="AE625" s="36" t="s">
        <v>247</v>
      </c>
      <c r="AF625" t="s">
        <v>62</v>
      </c>
      <c r="AG625" s="10" t="s">
        <v>79</v>
      </c>
      <c r="AI625" s="9" t="s">
        <v>53</v>
      </c>
      <c r="AL625" s="9" t="s">
        <v>1319</v>
      </c>
      <c r="AM625" s="27" t="str">
        <f t="shared" si="216"/>
        <v>Atrasado</v>
      </c>
      <c r="AN625" s="27" t="str">
        <f t="shared" ca="1" si="213"/>
        <v>Estoque</v>
      </c>
      <c r="AO625" s="27" t="str">
        <f t="shared" ca="1" si="209"/>
        <v/>
      </c>
      <c r="AP625" t="s">
        <v>1318</v>
      </c>
    </row>
    <row r="626" spans="4:42" ht="15" hidden="1" customHeight="1">
      <c r="D626" t="s">
        <v>1122</v>
      </c>
      <c r="E626" s="23" t="s">
        <v>1795</v>
      </c>
      <c r="F626" s="24"/>
      <c r="I626" s="26"/>
      <c r="L626" s="27" t="str">
        <f t="shared" si="212"/>
        <v xml:space="preserve"> </v>
      </c>
      <c r="N626" s="27" t="str">
        <f t="shared" si="211"/>
        <v xml:space="preserve"> </v>
      </c>
      <c r="O626" s="27">
        <f t="shared" si="205"/>
        <v>0</v>
      </c>
      <c r="P626" s="28" t="str">
        <f t="shared" si="210"/>
        <v>On time</v>
      </c>
      <c r="Q626" s="27">
        <f t="shared" si="206"/>
        <v>0</v>
      </c>
      <c r="R626" s="29" t="s">
        <v>1273</v>
      </c>
      <c r="S626" s="12" t="s">
        <v>1274</v>
      </c>
      <c r="T626" s="35">
        <v>17</v>
      </c>
      <c r="U626" t="s">
        <v>1122</v>
      </c>
      <c r="V626" s="27">
        <v>500</v>
      </c>
      <c r="W626" s="9">
        <v>0.98</v>
      </c>
      <c r="X626" s="9">
        <f t="shared" si="207"/>
        <v>490</v>
      </c>
      <c r="Z626" s="10">
        <v>46021</v>
      </c>
      <c r="AA626" s="10">
        <v>46094</v>
      </c>
      <c r="AB626" s="10">
        <v>46157</v>
      </c>
      <c r="AC626" s="10">
        <v>46222</v>
      </c>
      <c r="AD626" s="31">
        <f t="shared" ca="1" si="215"/>
        <v>41</v>
      </c>
      <c r="AE626" s="36" t="s">
        <v>247</v>
      </c>
      <c r="AF626" t="s">
        <v>62</v>
      </c>
      <c r="AG626" s="10" t="s">
        <v>79</v>
      </c>
      <c r="AI626" s="9" t="s">
        <v>53</v>
      </c>
      <c r="AL626" s="9" t="s">
        <v>1319</v>
      </c>
      <c r="AM626" s="27" t="str">
        <f t="shared" si="216"/>
        <v>Atrasado</v>
      </c>
      <c r="AN626" s="27" t="str">
        <f t="shared" ca="1" si="213"/>
        <v>Estoque</v>
      </c>
      <c r="AO626" s="27" t="str">
        <f t="shared" ca="1" si="209"/>
        <v/>
      </c>
      <c r="AP626" t="s">
        <v>1318</v>
      </c>
    </row>
    <row r="627" spans="4:42" ht="15" hidden="1" customHeight="1">
      <c r="D627" t="s">
        <v>1123</v>
      </c>
      <c r="E627" s="23" t="s">
        <v>1796</v>
      </c>
      <c r="F627" s="24"/>
      <c r="I627" s="26"/>
      <c r="L627" s="27" t="str">
        <f t="shared" si="212"/>
        <v xml:space="preserve"> </v>
      </c>
      <c r="N627" s="27" t="str">
        <f t="shared" si="211"/>
        <v xml:space="preserve"> </v>
      </c>
      <c r="O627" s="27">
        <f t="shared" si="205"/>
        <v>0</v>
      </c>
      <c r="P627" s="28" t="str">
        <f t="shared" si="210"/>
        <v>On time</v>
      </c>
      <c r="Q627" s="27">
        <f t="shared" si="206"/>
        <v>0</v>
      </c>
      <c r="R627" s="29" t="s">
        <v>1273</v>
      </c>
      <c r="S627" s="12" t="s">
        <v>1274</v>
      </c>
      <c r="T627" s="35">
        <v>18</v>
      </c>
      <c r="U627" t="s">
        <v>1123</v>
      </c>
      <c r="V627" s="27">
        <v>100</v>
      </c>
      <c r="W627" s="9">
        <v>1.21</v>
      </c>
      <c r="X627" s="9">
        <f t="shared" si="207"/>
        <v>121</v>
      </c>
      <c r="Z627" s="10">
        <v>46021</v>
      </c>
      <c r="AA627" s="10">
        <v>46094</v>
      </c>
      <c r="AB627" s="10">
        <v>46157</v>
      </c>
      <c r="AC627" s="10">
        <v>46222</v>
      </c>
      <c r="AD627" s="31">
        <f t="shared" ca="1" si="215"/>
        <v>41</v>
      </c>
      <c r="AE627" s="36" t="s">
        <v>247</v>
      </c>
      <c r="AF627" t="s">
        <v>62</v>
      </c>
      <c r="AG627" s="10" t="s">
        <v>79</v>
      </c>
      <c r="AI627" s="9" t="s">
        <v>53</v>
      </c>
      <c r="AL627" s="9" t="s">
        <v>1319</v>
      </c>
      <c r="AM627" s="27" t="str">
        <f t="shared" si="216"/>
        <v>Atrasado</v>
      </c>
      <c r="AN627" s="27" t="str">
        <f t="shared" ca="1" si="213"/>
        <v>Estoque</v>
      </c>
      <c r="AO627" s="27" t="str">
        <f t="shared" ca="1" si="209"/>
        <v/>
      </c>
      <c r="AP627" t="s">
        <v>1318</v>
      </c>
    </row>
    <row r="628" spans="4:42" ht="15" hidden="1" customHeight="1">
      <c r="D628" t="s">
        <v>1124</v>
      </c>
      <c r="E628" s="23" t="s">
        <v>1797</v>
      </c>
      <c r="F628" s="24"/>
      <c r="I628" s="26"/>
      <c r="L628" s="27" t="str">
        <f t="shared" si="212"/>
        <v xml:space="preserve"> </v>
      </c>
      <c r="N628" s="27" t="str">
        <f t="shared" si="211"/>
        <v xml:space="preserve"> </v>
      </c>
      <c r="O628" s="27">
        <f t="shared" si="205"/>
        <v>0</v>
      </c>
      <c r="P628" s="28" t="str">
        <f t="shared" si="210"/>
        <v>On time</v>
      </c>
      <c r="Q628" s="27">
        <f t="shared" si="206"/>
        <v>0</v>
      </c>
      <c r="R628" s="29" t="s">
        <v>1273</v>
      </c>
      <c r="S628" s="12" t="s">
        <v>1274</v>
      </c>
      <c r="T628" s="35">
        <v>19</v>
      </c>
      <c r="U628" t="s">
        <v>1124</v>
      </c>
      <c r="V628" s="27">
        <v>500</v>
      </c>
      <c r="W628" s="9">
        <v>0.68</v>
      </c>
      <c r="X628" s="9">
        <f t="shared" si="207"/>
        <v>340</v>
      </c>
      <c r="Z628" s="10">
        <v>46021</v>
      </c>
      <c r="AA628" s="10">
        <v>46094</v>
      </c>
      <c r="AB628" s="10">
        <v>46157</v>
      </c>
      <c r="AC628" s="10">
        <v>46222</v>
      </c>
      <c r="AD628" s="31">
        <f t="shared" ca="1" si="215"/>
        <v>41</v>
      </c>
      <c r="AE628" s="36" t="s">
        <v>247</v>
      </c>
      <c r="AF628" t="s">
        <v>62</v>
      </c>
      <c r="AG628" s="10" t="s">
        <v>79</v>
      </c>
      <c r="AI628" s="9" t="s">
        <v>53</v>
      </c>
      <c r="AL628" s="9" t="s">
        <v>1319</v>
      </c>
      <c r="AM628" s="27" t="str">
        <f t="shared" si="216"/>
        <v>Atrasado</v>
      </c>
      <c r="AN628" s="27" t="str">
        <f t="shared" ca="1" si="213"/>
        <v>Estoque</v>
      </c>
      <c r="AO628" s="27" t="str">
        <f t="shared" ca="1" si="209"/>
        <v/>
      </c>
      <c r="AP628" t="s">
        <v>1318</v>
      </c>
    </row>
    <row r="629" spans="4:42" ht="15" hidden="1" customHeight="1">
      <c r="D629" t="s">
        <v>1125</v>
      </c>
      <c r="E629" s="23" t="s">
        <v>1798</v>
      </c>
      <c r="F629" s="24"/>
      <c r="I629" s="26"/>
      <c r="L629" s="27" t="str">
        <f t="shared" si="212"/>
        <v xml:space="preserve"> </v>
      </c>
      <c r="N629" s="27" t="str">
        <f t="shared" si="211"/>
        <v xml:space="preserve"> </v>
      </c>
      <c r="O629" s="27">
        <f t="shared" si="205"/>
        <v>0</v>
      </c>
      <c r="P629" s="28" t="str">
        <f t="shared" si="210"/>
        <v>On time</v>
      </c>
      <c r="Q629" s="27">
        <f t="shared" si="206"/>
        <v>0</v>
      </c>
      <c r="R629" s="29" t="s">
        <v>1273</v>
      </c>
      <c r="S629" s="12" t="s">
        <v>1274</v>
      </c>
      <c r="T629" s="35">
        <v>20</v>
      </c>
      <c r="U629" t="s">
        <v>1125</v>
      </c>
      <c r="V629" s="27">
        <v>1500</v>
      </c>
      <c r="W629" s="9">
        <v>0.83</v>
      </c>
      <c r="X629" s="9">
        <f t="shared" si="207"/>
        <v>1245</v>
      </c>
      <c r="Z629" s="10">
        <v>46021</v>
      </c>
      <c r="AA629" s="10">
        <v>46094</v>
      </c>
      <c r="AB629" s="10">
        <v>46157</v>
      </c>
      <c r="AC629" s="10">
        <v>46222</v>
      </c>
      <c r="AD629" s="31">
        <f t="shared" ca="1" si="215"/>
        <v>41</v>
      </c>
      <c r="AE629" s="36" t="s">
        <v>247</v>
      </c>
      <c r="AF629" t="s">
        <v>62</v>
      </c>
      <c r="AG629" s="10" t="s">
        <v>79</v>
      </c>
      <c r="AI629" s="9" t="s">
        <v>53</v>
      </c>
      <c r="AL629" s="9" t="s">
        <v>1319</v>
      </c>
      <c r="AM629" s="27" t="str">
        <f t="shared" si="216"/>
        <v>Atrasado</v>
      </c>
      <c r="AN629" s="27" t="str">
        <f t="shared" ca="1" si="213"/>
        <v>Estoque</v>
      </c>
      <c r="AO629" s="27" t="str">
        <f t="shared" ca="1" si="209"/>
        <v/>
      </c>
      <c r="AP629" t="s">
        <v>1318</v>
      </c>
    </row>
    <row r="630" spans="4:42" ht="15" hidden="1" customHeight="1">
      <c r="D630" t="s">
        <v>1126</v>
      </c>
      <c r="E630" s="23" t="s">
        <v>1799</v>
      </c>
      <c r="F630" s="24"/>
      <c r="I630" s="26"/>
      <c r="L630" s="27" t="str">
        <f t="shared" si="212"/>
        <v xml:space="preserve"> </v>
      </c>
      <c r="N630" s="27" t="str">
        <f t="shared" si="211"/>
        <v xml:space="preserve"> </v>
      </c>
      <c r="O630" s="27">
        <f t="shared" si="205"/>
        <v>0</v>
      </c>
      <c r="P630" s="28" t="str">
        <f t="shared" si="210"/>
        <v>On time</v>
      </c>
      <c r="Q630" s="27">
        <f t="shared" si="206"/>
        <v>0</v>
      </c>
      <c r="R630" s="29" t="s">
        <v>1273</v>
      </c>
      <c r="S630" s="12" t="s">
        <v>1274</v>
      </c>
      <c r="T630" s="35">
        <v>21</v>
      </c>
      <c r="U630" t="s">
        <v>1126</v>
      </c>
      <c r="V630" s="27">
        <v>100</v>
      </c>
      <c r="W630" s="9">
        <v>0.69</v>
      </c>
      <c r="X630" s="9">
        <f t="shared" si="207"/>
        <v>69</v>
      </c>
      <c r="Z630" s="10">
        <v>46021</v>
      </c>
      <c r="AA630" s="10">
        <v>46094</v>
      </c>
      <c r="AB630" s="10">
        <v>46157</v>
      </c>
      <c r="AC630" s="10">
        <v>46222</v>
      </c>
      <c r="AD630" s="31">
        <f t="shared" ca="1" si="215"/>
        <v>41</v>
      </c>
      <c r="AE630" s="36" t="s">
        <v>247</v>
      </c>
      <c r="AF630" t="s">
        <v>62</v>
      </c>
      <c r="AG630" s="10" t="s">
        <v>79</v>
      </c>
      <c r="AI630" s="9" t="s">
        <v>53</v>
      </c>
      <c r="AL630" s="9" t="s">
        <v>1319</v>
      </c>
      <c r="AM630" s="27" t="str">
        <f t="shared" si="216"/>
        <v>Atrasado</v>
      </c>
      <c r="AN630" s="27" t="str">
        <f t="shared" ca="1" si="213"/>
        <v>Estoque</v>
      </c>
      <c r="AO630" s="27" t="str">
        <f t="shared" ca="1" si="209"/>
        <v/>
      </c>
      <c r="AP630" t="s">
        <v>1318</v>
      </c>
    </row>
    <row r="631" spans="4:42" ht="15" hidden="1" customHeight="1">
      <c r="D631" t="s">
        <v>1127</v>
      </c>
      <c r="E631" s="23" t="s">
        <v>1800</v>
      </c>
      <c r="F631" s="24"/>
      <c r="I631" s="26"/>
      <c r="L631" s="27" t="str">
        <f t="shared" si="212"/>
        <v xml:space="preserve"> </v>
      </c>
      <c r="N631" s="27" t="str">
        <f t="shared" si="211"/>
        <v xml:space="preserve"> </v>
      </c>
      <c r="O631" s="27">
        <f t="shared" si="205"/>
        <v>0</v>
      </c>
      <c r="P631" s="28" t="str">
        <f t="shared" si="210"/>
        <v>On time</v>
      </c>
      <c r="Q631" s="27">
        <f t="shared" si="206"/>
        <v>0</v>
      </c>
      <c r="R631" s="29" t="s">
        <v>1273</v>
      </c>
      <c r="S631" s="12" t="s">
        <v>1274</v>
      </c>
      <c r="T631" s="35">
        <v>22</v>
      </c>
      <c r="U631" t="s">
        <v>1127</v>
      </c>
      <c r="V631" s="27">
        <v>700</v>
      </c>
      <c r="W631" s="9">
        <v>1.21</v>
      </c>
      <c r="X631" s="9">
        <f t="shared" si="207"/>
        <v>847</v>
      </c>
      <c r="Z631" s="10">
        <v>46021</v>
      </c>
      <c r="AA631" s="10">
        <v>46094</v>
      </c>
      <c r="AB631" s="10">
        <v>46157</v>
      </c>
      <c r="AC631" s="10">
        <v>46222</v>
      </c>
      <c r="AD631" s="31">
        <f t="shared" ca="1" si="215"/>
        <v>41</v>
      </c>
      <c r="AE631" s="36" t="s">
        <v>247</v>
      </c>
      <c r="AF631" t="s">
        <v>62</v>
      </c>
      <c r="AG631" s="10" t="s">
        <v>79</v>
      </c>
      <c r="AI631" s="9" t="s">
        <v>53</v>
      </c>
      <c r="AL631" s="9" t="s">
        <v>1319</v>
      </c>
      <c r="AM631" s="27" t="str">
        <f t="shared" si="216"/>
        <v>Atrasado</v>
      </c>
      <c r="AN631" s="27" t="str">
        <f t="shared" ca="1" si="213"/>
        <v>Estoque</v>
      </c>
      <c r="AO631" s="27" t="str">
        <f t="shared" ca="1" si="209"/>
        <v/>
      </c>
      <c r="AP631" t="s">
        <v>1318</v>
      </c>
    </row>
    <row r="632" spans="4:42" ht="15" hidden="1" customHeight="1">
      <c r="D632" t="s">
        <v>1128</v>
      </c>
      <c r="E632" s="23" t="s">
        <v>1801</v>
      </c>
      <c r="F632" s="24"/>
      <c r="I632" s="26"/>
      <c r="L632" s="27" t="str">
        <f t="shared" si="212"/>
        <v xml:space="preserve"> </v>
      </c>
      <c r="N632" s="27" t="str">
        <f t="shared" si="211"/>
        <v xml:space="preserve"> </v>
      </c>
      <c r="O632" s="27">
        <f t="shared" ref="O632:O694" si="217">M632-J632</f>
        <v>0</v>
      </c>
      <c r="P632" s="28" t="str">
        <f t="shared" si="210"/>
        <v>On time</v>
      </c>
      <c r="Q632" s="27">
        <f t="shared" ref="Q632:Q694" si="218">I632-J632</f>
        <v>0</v>
      </c>
      <c r="R632" s="29" t="s">
        <v>1273</v>
      </c>
      <c r="S632" s="12" t="s">
        <v>1274</v>
      </c>
      <c r="T632" s="35">
        <v>23</v>
      </c>
      <c r="U632" t="s">
        <v>1128</v>
      </c>
      <c r="V632" s="27">
        <v>200</v>
      </c>
      <c r="W632" s="9">
        <v>1.89</v>
      </c>
      <c r="X632" s="9">
        <f t="shared" si="207"/>
        <v>378</v>
      </c>
      <c r="Z632" s="10">
        <v>46021</v>
      </c>
      <c r="AA632" s="10">
        <v>46094</v>
      </c>
      <c r="AB632" s="10">
        <v>46157</v>
      </c>
      <c r="AC632" s="10">
        <v>46222</v>
      </c>
      <c r="AD632" s="31">
        <f t="shared" ca="1" si="215"/>
        <v>41</v>
      </c>
      <c r="AE632" s="36" t="s">
        <v>247</v>
      </c>
      <c r="AF632" t="s">
        <v>62</v>
      </c>
      <c r="AG632" s="10" t="s">
        <v>79</v>
      </c>
      <c r="AI632" s="9" t="s">
        <v>53</v>
      </c>
      <c r="AL632" s="9" t="s">
        <v>1319</v>
      </c>
      <c r="AM632" s="27" t="str">
        <f t="shared" si="216"/>
        <v>Atrasado</v>
      </c>
      <c r="AN632" s="27" t="str">
        <f t="shared" ca="1" si="213"/>
        <v>Estoque</v>
      </c>
      <c r="AO632" s="27" t="str">
        <f t="shared" ca="1" si="209"/>
        <v/>
      </c>
      <c r="AP632" t="s">
        <v>1318</v>
      </c>
    </row>
    <row r="633" spans="4:42" ht="15" hidden="1" customHeight="1">
      <c r="D633" t="s">
        <v>1129</v>
      </c>
      <c r="E633" s="23" t="s">
        <v>1802</v>
      </c>
      <c r="F633" s="24"/>
      <c r="I633" s="26"/>
      <c r="L633" s="27" t="str">
        <f t="shared" si="212"/>
        <v xml:space="preserve"> </v>
      </c>
      <c r="N633" s="27" t="str">
        <f t="shared" si="211"/>
        <v xml:space="preserve"> </v>
      </c>
      <c r="O633" s="27">
        <f t="shared" si="217"/>
        <v>0</v>
      </c>
      <c r="P633" s="28" t="str">
        <f t="shared" si="210"/>
        <v>On time</v>
      </c>
      <c r="Q633" s="27">
        <f t="shared" si="218"/>
        <v>0</v>
      </c>
      <c r="R633" s="29" t="s">
        <v>1273</v>
      </c>
      <c r="S633" s="12" t="s">
        <v>1274</v>
      </c>
      <c r="T633" s="35">
        <v>24</v>
      </c>
      <c r="U633" t="s">
        <v>1129</v>
      </c>
      <c r="V633" s="27">
        <v>200</v>
      </c>
      <c r="W633" s="9">
        <v>1.21</v>
      </c>
      <c r="X633" s="9">
        <f t="shared" si="207"/>
        <v>242</v>
      </c>
      <c r="Z633" s="10">
        <v>46021</v>
      </c>
      <c r="AA633" s="10">
        <v>46094</v>
      </c>
      <c r="AB633" s="10">
        <v>46157</v>
      </c>
      <c r="AC633" s="10">
        <v>46222</v>
      </c>
      <c r="AD633" s="31">
        <f t="shared" ca="1" si="215"/>
        <v>41</v>
      </c>
      <c r="AE633" s="36" t="s">
        <v>247</v>
      </c>
      <c r="AF633" t="s">
        <v>62</v>
      </c>
      <c r="AG633" s="10" t="s">
        <v>79</v>
      </c>
      <c r="AI633" s="9" t="s">
        <v>53</v>
      </c>
      <c r="AL633" s="9" t="s">
        <v>1319</v>
      </c>
      <c r="AM633" s="27" t="str">
        <f t="shared" si="216"/>
        <v>Atrasado</v>
      </c>
      <c r="AN633" s="27" t="str">
        <f t="shared" ca="1" si="213"/>
        <v>Estoque</v>
      </c>
      <c r="AO633" s="27" t="str">
        <f t="shared" ca="1" si="209"/>
        <v/>
      </c>
      <c r="AP633" t="s">
        <v>1318</v>
      </c>
    </row>
    <row r="634" spans="4:42" ht="15" hidden="1" customHeight="1">
      <c r="D634" t="s">
        <v>1130</v>
      </c>
      <c r="E634" s="23" t="s">
        <v>1803</v>
      </c>
      <c r="F634" s="24"/>
      <c r="I634" s="26"/>
      <c r="L634" s="27" t="str">
        <f t="shared" si="212"/>
        <v xml:space="preserve"> </v>
      </c>
      <c r="N634" s="27" t="str">
        <f t="shared" si="211"/>
        <v xml:space="preserve"> </v>
      </c>
      <c r="O634" s="27">
        <f t="shared" si="217"/>
        <v>0</v>
      </c>
      <c r="P634" s="28" t="str">
        <f t="shared" si="210"/>
        <v>On time</v>
      </c>
      <c r="Q634" s="27">
        <f t="shared" si="218"/>
        <v>0</v>
      </c>
      <c r="R634" s="29" t="s">
        <v>1273</v>
      </c>
      <c r="S634" s="12" t="s">
        <v>1274</v>
      </c>
      <c r="T634" s="35">
        <v>25</v>
      </c>
      <c r="U634" t="s">
        <v>1130</v>
      </c>
      <c r="V634" s="27">
        <v>1000</v>
      </c>
      <c r="W634" s="9">
        <v>0.98</v>
      </c>
      <c r="X634" s="9">
        <f t="shared" si="207"/>
        <v>980</v>
      </c>
      <c r="Z634" s="10">
        <v>46021</v>
      </c>
      <c r="AA634" s="10">
        <v>46094</v>
      </c>
      <c r="AB634" s="10">
        <v>46157</v>
      </c>
      <c r="AC634" s="10">
        <v>46222</v>
      </c>
      <c r="AD634" s="31">
        <f t="shared" ca="1" si="215"/>
        <v>41</v>
      </c>
      <c r="AE634" s="36" t="s">
        <v>247</v>
      </c>
      <c r="AF634" t="s">
        <v>62</v>
      </c>
      <c r="AG634" s="10" t="s">
        <v>79</v>
      </c>
      <c r="AI634" s="9" t="s">
        <v>53</v>
      </c>
      <c r="AL634" s="9" t="s">
        <v>1319</v>
      </c>
      <c r="AM634" s="27" t="str">
        <f t="shared" si="216"/>
        <v>Atrasado</v>
      </c>
      <c r="AN634" s="27" t="str">
        <f t="shared" ca="1" si="213"/>
        <v>Estoque</v>
      </c>
      <c r="AO634" s="27" t="str">
        <f t="shared" ca="1" si="209"/>
        <v/>
      </c>
      <c r="AP634" t="s">
        <v>1318</v>
      </c>
    </row>
    <row r="635" spans="4:42" ht="15" hidden="1" customHeight="1">
      <c r="D635" t="s">
        <v>1131</v>
      </c>
      <c r="E635" s="23" t="s">
        <v>1804</v>
      </c>
      <c r="F635" s="24"/>
      <c r="I635" s="26"/>
      <c r="L635" s="27" t="str">
        <f t="shared" si="212"/>
        <v xml:space="preserve"> </v>
      </c>
      <c r="N635" s="27" t="str">
        <f t="shared" si="211"/>
        <v xml:space="preserve"> </v>
      </c>
      <c r="O635" s="27">
        <f t="shared" si="217"/>
        <v>0</v>
      </c>
      <c r="P635" s="28" t="str">
        <f t="shared" si="210"/>
        <v>On time</v>
      </c>
      <c r="Q635" s="27">
        <f t="shared" si="218"/>
        <v>0</v>
      </c>
      <c r="R635" s="29" t="s">
        <v>1273</v>
      </c>
      <c r="S635" s="12" t="s">
        <v>1274</v>
      </c>
      <c r="T635" s="35">
        <v>26</v>
      </c>
      <c r="U635" t="s">
        <v>1131</v>
      </c>
      <c r="V635" s="27">
        <v>200</v>
      </c>
      <c r="W635" s="9">
        <v>4.47</v>
      </c>
      <c r="X635" s="9">
        <f t="shared" si="207"/>
        <v>894</v>
      </c>
      <c r="Z635" s="10">
        <v>46021</v>
      </c>
      <c r="AA635" s="10">
        <v>46094</v>
      </c>
      <c r="AB635" s="10">
        <v>46157</v>
      </c>
      <c r="AC635" s="10">
        <v>46222</v>
      </c>
      <c r="AD635" s="31">
        <f t="shared" ca="1" si="215"/>
        <v>41</v>
      </c>
      <c r="AE635" s="36" t="s">
        <v>247</v>
      </c>
      <c r="AF635" t="s">
        <v>62</v>
      </c>
      <c r="AG635" s="10" t="s">
        <v>79</v>
      </c>
      <c r="AI635" s="9" t="s">
        <v>53</v>
      </c>
      <c r="AL635" s="9" t="s">
        <v>1319</v>
      </c>
      <c r="AM635" s="27" t="str">
        <f t="shared" si="216"/>
        <v>Atrasado</v>
      </c>
      <c r="AN635" s="27" t="str">
        <f t="shared" ca="1" si="213"/>
        <v>Estoque</v>
      </c>
      <c r="AO635" s="27" t="str">
        <f t="shared" ca="1" si="209"/>
        <v/>
      </c>
      <c r="AP635" t="s">
        <v>1318</v>
      </c>
    </row>
    <row r="636" spans="4:42" ht="15" hidden="1" customHeight="1">
      <c r="D636" t="s">
        <v>1132</v>
      </c>
      <c r="E636" s="23" t="s">
        <v>1805</v>
      </c>
      <c r="F636" s="24"/>
      <c r="I636" s="26"/>
      <c r="L636" s="27" t="str">
        <f t="shared" si="212"/>
        <v xml:space="preserve"> </v>
      </c>
      <c r="N636" s="27" t="str">
        <f t="shared" si="211"/>
        <v xml:space="preserve"> </v>
      </c>
      <c r="O636" s="27">
        <f t="shared" si="217"/>
        <v>0</v>
      </c>
      <c r="P636" s="28" t="str">
        <f t="shared" si="210"/>
        <v>On time</v>
      </c>
      <c r="Q636" s="27">
        <f t="shared" si="218"/>
        <v>0</v>
      </c>
      <c r="R636" s="29" t="s">
        <v>1273</v>
      </c>
      <c r="S636" s="12" t="s">
        <v>1274</v>
      </c>
      <c r="T636" s="35">
        <v>27</v>
      </c>
      <c r="U636" t="s">
        <v>1132</v>
      </c>
      <c r="V636" s="27">
        <v>1000</v>
      </c>
      <c r="W636" s="9">
        <v>1.29</v>
      </c>
      <c r="X636" s="9">
        <f t="shared" si="207"/>
        <v>1290</v>
      </c>
      <c r="Z636" s="10">
        <v>46021</v>
      </c>
      <c r="AA636" s="10">
        <v>46094</v>
      </c>
      <c r="AB636" s="10">
        <v>46157</v>
      </c>
      <c r="AC636" s="10">
        <v>46222</v>
      </c>
      <c r="AD636" s="31">
        <f t="shared" ca="1" si="215"/>
        <v>41</v>
      </c>
      <c r="AE636" s="36" t="s">
        <v>247</v>
      </c>
      <c r="AF636" t="s">
        <v>62</v>
      </c>
      <c r="AG636" s="10" t="s">
        <v>79</v>
      </c>
      <c r="AI636" s="9" t="s">
        <v>53</v>
      </c>
      <c r="AL636" s="9" t="s">
        <v>1319</v>
      </c>
      <c r="AM636" s="27" t="str">
        <f t="shared" si="216"/>
        <v>Atrasado</v>
      </c>
      <c r="AN636" s="27" t="str">
        <f t="shared" ca="1" si="213"/>
        <v>Estoque</v>
      </c>
      <c r="AO636" s="27" t="str">
        <f t="shared" ca="1" si="209"/>
        <v/>
      </c>
      <c r="AP636" t="s">
        <v>1318</v>
      </c>
    </row>
    <row r="637" spans="4:42" ht="15" hidden="1" customHeight="1">
      <c r="D637" t="s">
        <v>1133</v>
      </c>
      <c r="E637" s="23" t="s">
        <v>1806</v>
      </c>
      <c r="F637" s="24"/>
      <c r="I637" s="26"/>
      <c r="L637" s="27" t="str">
        <f t="shared" si="212"/>
        <v xml:space="preserve"> </v>
      </c>
      <c r="N637" s="27" t="str">
        <f t="shared" si="211"/>
        <v xml:space="preserve"> </v>
      </c>
      <c r="O637" s="27">
        <f t="shared" si="217"/>
        <v>0</v>
      </c>
      <c r="P637" s="28" t="str">
        <f t="shared" si="210"/>
        <v>On time</v>
      </c>
      <c r="Q637" s="27">
        <f t="shared" si="218"/>
        <v>0</v>
      </c>
      <c r="R637" s="29" t="s">
        <v>1273</v>
      </c>
      <c r="S637" s="12" t="s">
        <v>1274</v>
      </c>
      <c r="T637" s="35">
        <v>28</v>
      </c>
      <c r="U637" t="s">
        <v>1133</v>
      </c>
      <c r="V637" s="27">
        <v>3000</v>
      </c>
      <c r="W637" s="9">
        <v>1.29</v>
      </c>
      <c r="X637" s="9">
        <f t="shared" si="207"/>
        <v>3870</v>
      </c>
      <c r="Z637" s="10">
        <v>46021</v>
      </c>
      <c r="AA637" s="10">
        <v>46094</v>
      </c>
      <c r="AB637" s="10">
        <v>46157</v>
      </c>
      <c r="AC637" s="10">
        <v>46222</v>
      </c>
      <c r="AD637" s="31">
        <f t="shared" ca="1" si="215"/>
        <v>41</v>
      </c>
      <c r="AE637" s="36" t="s">
        <v>247</v>
      </c>
      <c r="AF637" t="s">
        <v>62</v>
      </c>
      <c r="AG637" s="10" t="s">
        <v>79</v>
      </c>
      <c r="AI637" s="9" t="s">
        <v>53</v>
      </c>
      <c r="AL637" s="9" t="s">
        <v>1319</v>
      </c>
      <c r="AM637" s="27" t="str">
        <f t="shared" si="216"/>
        <v>Atrasado</v>
      </c>
      <c r="AN637" s="27" t="str">
        <f t="shared" ca="1" si="213"/>
        <v>Estoque</v>
      </c>
      <c r="AO637" s="27" t="str">
        <f t="shared" ca="1" si="209"/>
        <v/>
      </c>
      <c r="AP637" t="s">
        <v>1318</v>
      </c>
    </row>
    <row r="638" spans="4:42" ht="15" hidden="1" customHeight="1">
      <c r="D638" t="s">
        <v>1134</v>
      </c>
      <c r="E638" s="23" t="s">
        <v>1807</v>
      </c>
      <c r="F638" s="24"/>
      <c r="I638" s="26"/>
      <c r="L638" s="27" t="str">
        <f t="shared" si="212"/>
        <v xml:space="preserve"> </v>
      </c>
      <c r="N638" s="27" t="str">
        <f t="shared" si="211"/>
        <v xml:space="preserve"> </v>
      </c>
      <c r="O638" s="27">
        <f t="shared" si="217"/>
        <v>0</v>
      </c>
      <c r="P638" s="28" t="str">
        <f t="shared" si="210"/>
        <v>On time</v>
      </c>
      <c r="Q638" s="27">
        <f t="shared" si="218"/>
        <v>0</v>
      </c>
      <c r="R638" s="29" t="s">
        <v>1273</v>
      </c>
      <c r="S638" s="12" t="s">
        <v>1274</v>
      </c>
      <c r="T638" s="35">
        <v>29</v>
      </c>
      <c r="U638" t="s">
        <v>1134</v>
      </c>
      <c r="V638" s="27">
        <v>500</v>
      </c>
      <c r="W638" s="9">
        <v>3.64</v>
      </c>
      <c r="X638" s="9">
        <f t="shared" si="207"/>
        <v>1820</v>
      </c>
      <c r="Z638" s="10">
        <v>46021</v>
      </c>
      <c r="AA638" s="10">
        <v>46094</v>
      </c>
      <c r="AB638" s="10">
        <v>46157</v>
      </c>
      <c r="AC638" s="10">
        <v>46222</v>
      </c>
      <c r="AD638" s="31">
        <f t="shared" ca="1" si="215"/>
        <v>41</v>
      </c>
      <c r="AE638" s="36" t="s">
        <v>247</v>
      </c>
      <c r="AF638" t="s">
        <v>62</v>
      </c>
      <c r="AG638" s="10" t="s">
        <v>79</v>
      </c>
      <c r="AI638" s="9" t="s">
        <v>53</v>
      </c>
      <c r="AL638" s="9" t="s">
        <v>1319</v>
      </c>
      <c r="AM638" s="27" t="str">
        <f t="shared" si="216"/>
        <v>Atrasado</v>
      </c>
      <c r="AN638" s="27" t="str">
        <f t="shared" ca="1" si="213"/>
        <v>Estoque</v>
      </c>
      <c r="AO638" s="27" t="str">
        <f t="shared" ca="1" si="209"/>
        <v/>
      </c>
      <c r="AP638" t="s">
        <v>1318</v>
      </c>
    </row>
    <row r="639" spans="4:42" ht="15" hidden="1" customHeight="1">
      <c r="D639" t="s">
        <v>1135</v>
      </c>
      <c r="E639" s="23" t="s">
        <v>1808</v>
      </c>
      <c r="F639" s="24"/>
      <c r="I639" s="26"/>
      <c r="L639" s="27" t="str">
        <f t="shared" si="212"/>
        <v xml:space="preserve"> </v>
      </c>
      <c r="N639" s="27" t="str">
        <f t="shared" si="211"/>
        <v xml:space="preserve"> </v>
      </c>
      <c r="O639" s="27">
        <f t="shared" si="217"/>
        <v>0</v>
      </c>
      <c r="P639" s="28" t="str">
        <f t="shared" si="210"/>
        <v>On time</v>
      </c>
      <c r="Q639" s="27">
        <f t="shared" si="218"/>
        <v>0</v>
      </c>
      <c r="R639" s="29" t="s">
        <v>1273</v>
      </c>
      <c r="S639" s="12" t="s">
        <v>1274</v>
      </c>
      <c r="T639" s="35">
        <v>30</v>
      </c>
      <c r="U639" t="s">
        <v>1135</v>
      </c>
      <c r="V639" s="27">
        <v>2000</v>
      </c>
      <c r="W639" s="9">
        <v>0.83</v>
      </c>
      <c r="X639" s="9">
        <f t="shared" ref="X639:X701" si="219">W639*V639</f>
        <v>1660</v>
      </c>
      <c r="Z639" s="10">
        <v>46021</v>
      </c>
      <c r="AA639" s="10">
        <v>46094</v>
      </c>
      <c r="AB639" s="10">
        <v>46157</v>
      </c>
      <c r="AC639" s="10">
        <v>46222</v>
      </c>
      <c r="AD639" s="31">
        <f t="shared" ca="1" si="215"/>
        <v>41</v>
      </c>
      <c r="AE639" s="36" t="s">
        <v>247</v>
      </c>
      <c r="AF639" t="s">
        <v>62</v>
      </c>
      <c r="AG639" s="10" t="s">
        <v>79</v>
      </c>
      <c r="AI639" s="9" t="s">
        <v>53</v>
      </c>
      <c r="AL639" s="9" t="s">
        <v>1319</v>
      </c>
      <c r="AM639" s="27" t="str">
        <f t="shared" si="216"/>
        <v>Atrasado</v>
      </c>
      <c r="AN639" s="27" t="str">
        <f t="shared" ca="1" si="213"/>
        <v>Estoque</v>
      </c>
      <c r="AO639" s="27" t="str">
        <f t="shared" ca="1" si="209"/>
        <v/>
      </c>
      <c r="AP639" t="s">
        <v>1318</v>
      </c>
    </row>
    <row r="640" spans="4:42" ht="15" hidden="1" customHeight="1">
      <c r="D640" t="s">
        <v>1136</v>
      </c>
      <c r="E640" s="23" t="s">
        <v>1809</v>
      </c>
      <c r="F640" s="24"/>
      <c r="I640" s="26"/>
      <c r="L640" s="27" t="str">
        <f t="shared" si="212"/>
        <v xml:space="preserve"> </v>
      </c>
      <c r="N640" s="27" t="str">
        <f t="shared" si="211"/>
        <v xml:space="preserve"> </v>
      </c>
      <c r="O640" s="27">
        <f t="shared" si="217"/>
        <v>0</v>
      </c>
      <c r="P640" s="28" t="str">
        <f t="shared" si="210"/>
        <v>On time</v>
      </c>
      <c r="Q640" s="27">
        <f t="shared" si="218"/>
        <v>0</v>
      </c>
      <c r="R640" s="29" t="s">
        <v>1273</v>
      </c>
      <c r="S640" s="12" t="s">
        <v>1274</v>
      </c>
      <c r="T640" s="35">
        <v>31</v>
      </c>
      <c r="U640" t="s">
        <v>1136</v>
      </c>
      <c r="V640" s="27">
        <v>1000</v>
      </c>
      <c r="W640" s="9">
        <v>2.27</v>
      </c>
      <c r="X640" s="9">
        <f t="shared" si="219"/>
        <v>2270</v>
      </c>
      <c r="Z640" s="10">
        <v>46021</v>
      </c>
      <c r="AA640" s="10">
        <v>46094</v>
      </c>
      <c r="AB640" s="10">
        <v>46157</v>
      </c>
      <c r="AC640" s="10">
        <v>46222</v>
      </c>
      <c r="AD640" s="31">
        <f t="shared" ca="1" si="215"/>
        <v>41</v>
      </c>
      <c r="AE640" s="36" t="s">
        <v>247</v>
      </c>
      <c r="AF640" t="s">
        <v>62</v>
      </c>
      <c r="AG640" s="10" t="s">
        <v>79</v>
      </c>
      <c r="AI640" s="9" t="s">
        <v>53</v>
      </c>
      <c r="AL640" s="9" t="s">
        <v>1319</v>
      </c>
      <c r="AM640" s="27" t="str">
        <f t="shared" si="216"/>
        <v>Atrasado</v>
      </c>
      <c r="AN640" s="27" t="str">
        <f t="shared" ca="1" si="213"/>
        <v>Estoque</v>
      </c>
      <c r="AO640" s="27" t="str">
        <f t="shared" ca="1" si="209"/>
        <v/>
      </c>
      <c r="AP640" t="s">
        <v>1318</v>
      </c>
    </row>
    <row r="641" spans="1:42" ht="15" hidden="1" customHeight="1">
      <c r="D641" t="s">
        <v>1137</v>
      </c>
      <c r="E641" s="23" t="s">
        <v>1810</v>
      </c>
      <c r="F641" s="24"/>
      <c r="I641" s="26"/>
      <c r="L641" s="27" t="str">
        <f t="shared" si="212"/>
        <v xml:space="preserve"> </v>
      </c>
      <c r="N641" s="27" t="str">
        <f t="shared" si="211"/>
        <v xml:space="preserve"> </v>
      </c>
      <c r="O641" s="27">
        <f t="shared" si="217"/>
        <v>0</v>
      </c>
      <c r="P641" s="28" t="str">
        <f t="shared" si="210"/>
        <v>On time</v>
      </c>
      <c r="Q641" s="27">
        <f t="shared" si="218"/>
        <v>0</v>
      </c>
      <c r="R641" s="29" t="s">
        <v>1273</v>
      </c>
      <c r="S641" s="12" t="s">
        <v>1274</v>
      </c>
      <c r="T641" s="35">
        <v>32</v>
      </c>
      <c r="U641" t="s">
        <v>1137</v>
      </c>
      <c r="V641" s="27">
        <v>20</v>
      </c>
      <c r="W641" s="9">
        <v>2.8</v>
      </c>
      <c r="X641" s="9">
        <f t="shared" si="219"/>
        <v>56</v>
      </c>
      <c r="Z641" s="10">
        <v>46021</v>
      </c>
      <c r="AA641" s="10">
        <v>46094</v>
      </c>
      <c r="AB641" s="10">
        <v>46157</v>
      </c>
      <c r="AC641" s="10">
        <v>46222</v>
      </c>
      <c r="AD641" s="31">
        <f t="shared" ca="1" si="215"/>
        <v>41</v>
      </c>
      <c r="AE641" s="36" t="s">
        <v>247</v>
      </c>
      <c r="AF641" t="s">
        <v>62</v>
      </c>
      <c r="AG641" s="10" t="s">
        <v>79</v>
      </c>
      <c r="AI641" s="9" t="s">
        <v>53</v>
      </c>
      <c r="AL641" s="9" t="s">
        <v>1319</v>
      </c>
      <c r="AM641" s="27" t="str">
        <f t="shared" si="216"/>
        <v>Atrasado</v>
      </c>
      <c r="AN641" s="27" t="str">
        <f t="shared" ca="1" si="213"/>
        <v>Estoque</v>
      </c>
      <c r="AO641" s="27" t="str">
        <f t="shared" ca="1" si="209"/>
        <v/>
      </c>
      <c r="AP641" t="s">
        <v>1318</v>
      </c>
    </row>
    <row r="642" spans="1:42" ht="15" hidden="1" customHeight="1">
      <c r="D642" t="s">
        <v>1138</v>
      </c>
      <c r="E642" s="23" t="s">
        <v>1811</v>
      </c>
      <c r="F642" s="24"/>
      <c r="I642" s="26"/>
      <c r="L642" s="27" t="str">
        <f t="shared" si="212"/>
        <v xml:space="preserve"> </v>
      </c>
      <c r="N642" s="27" t="str">
        <f t="shared" si="211"/>
        <v xml:space="preserve"> </v>
      </c>
      <c r="O642" s="27">
        <f t="shared" si="217"/>
        <v>0</v>
      </c>
      <c r="P642" s="28" t="str">
        <f t="shared" si="210"/>
        <v>On time</v>
      </c>
      <c r="Q642" s="27">
        <f t="shared" si="218"/>
        <v>0</v>
      </c>
      <c r="R642" s="29" t="s">
        <v>1273</v>
      </c>
      <c r="S642" s="12" t="s">
        <v>1274</v>
      </c>
      <c r="T642" s="35">
        <v>33</v>
      </c>
      <c r="U642" t="s">
        <v>1138</v>
      </c>
      <c r="V642" s="27">
        <v>3000</v>
      </c>
      <c r="W642" s="9">
        <v>0.98</v>
      </c>
      <c r="X642" s="9">
        <f t="shared" si="219"/>
        <v>2940</v>
      </c>
      <c r="Z642" s="10">
        <v>46021</v>
      </c>
      <c r="AA642" s="10">
        <v>46094</v>
      </c>
      <c r="AB642" s="10">
        <v>46157</v>
      </c>
      <c r="AC642" s="10">
        <v>46222</v>
      </c>
      <c r="AD642" s="31">
        <f t="shared" ca="1" si="215"/>
        <v>41</v>
      </c>
      <c r="AE642" s="36" t="s">
        <v>247</v>
      </c>
      <c r="AF642" t="s">
        <v>62</v>
      </c>
      <c r="AG642" s="10" t="s">
        <v>79</v>
      </c>
      <c r="AI642" s="9" t="s">
        <v>53</v>
      </c>
      <c r="AL642" s="9" t="s">
        <v>1319</v>
      </c>
      <c r="AM642" s="27" t="str">
        <f t="shared" si="216"/>
        <v>Atrasado</v>
      </c>
      <c r="AN642" s="27" t="str">
        <f t="shared" ca="1" si="213"/>
        <v>Estoque</v>
      </c>
      <c r="AO642" s="27" t="str">
        <f t="shared" ca="1" si="209"/>
        <v/>
      </c>
      <c r="AP642" t="s">
        <v>1318</v>
      </c>
    </row>
    <row r="643" spans="1:42" ht="15" hidden="1" customHeight="1">
      <c r="D643" t="s">
        <v>1139</v>
      </c>
      <c r="E643" s="23" t="s">
        <v>1812</v>
      </c>
      <c r="F643" s="24"/>
      <c r="I643" s="26"/>
      <c r="L643" s="27" t="str">
        <f t="shared" si="212"/>
        <v xml:space="preserve"> </v>
      </c>
      <c r="N643" s="27" t="str">
        <f t="shared" si="211"/>
        <v xml:space="preserve"> </v>
      </c>
      <c r="O643" s="27">
        <f t="shared" si="217"/>
        <v>0</v>
      </c>
      <c r="P643" s="28" t="str">
        <f t="shared" si="210"/>
        <v>On time</v>
      </c>
      <c r="Q643" s="27">
        <f t="shared" si="218"/>
        <v>0</v>
      </c>
      <c r="R643" s="29" t="s">
        <v>1273</v>
      </c>
      <c r="S643" s="12" t="s">
        <v>1274</v>
      </c>
      <c r="T643" s="35">
        <v>34</v>
      </c>
      <c r="U643" t="s">
        <v>1139</v>
      </c>
      <c r="V643" s="27">
        <v>200</v>
      </c>
      <c r="W643" s="9">
        <v>2.65</v>
      </c>
      <c r="X643" s="9">
        <f t="shared" si="219"/>
        <v>530</v>
      </c>
      <c r="Z643" s="10">
        <v>46021</v>
      </c>
      <c r="AA643" s="10">
        <v>46094</v>
      </c>
      <c r="AB643" s="10">
        <v>46157</v>
      </c>
      <c r="AC643" s="10">
        <v>46222</v>
      </c>
      <c r="AD643" s="31">
        <f t="shared" ca="1" si="215"/>
        <v>41</v>
      </c>
      <c r="AE643" s="36" t="s">
        <v>247</v>
      </c>
      <c r="AF643" t="s">
        <v>62</v>
      </c>
      <c r="AG643" s="10" t="s">
        <v>79</v>
      </c>
      <c r="AI643" s="9" t="s">
        <v>53</v>
      </c>
      <c r="AL643" s="9" t="s">
        <v>1319</v>
      </c>
      <c r="AM643" s="27" t="str">
        <f t="shared" si="216"/>
        <v>Atrasado</v>
      </c>
      <c r="AN643" s="27" t="str">
        <f t="shared" ca="1" si="213"/>
        <v>Estoque</v>
      </c>
      <c r="AO643" s="27" t="str">
        <f t="shared" ca="1" si="209"/>
        <v/>
      </c>
      <c r="AP643" t="s">
        <v>1318</v>
      </c>
    </row>
    <row r="644" spans="1:42" ht="15" hidden="1" customHeight="1">
      <c r="D644" t="s">
        <v>1140</v>
      </c>
      <c r="E644" s="23" t="s">
        <v>1813</v>
      </c>
      <c r="F644" s="24"/>
      <c r="I644" s="26"/>
      <c r="L644" s="27" t="str">
        <f t="shared" si="212"/>
        <v xml:space="preserve"> </v>
      </c>
      <c r="N644" s="27" t="str">
        <f t="shared" si="211"/>
        <v xml:space="preserve"> </v>
      </c>
      <c r="O644" s="27">
        <f t="shared" si="217"/>
        <v>0</v>
      </c>
      <c r="P644" s="28" t="str">
        <f t="shared" si="210"/>
        <v>On time</v>
      </c>
      <c r="Q644" s="27">
        <f t="shared" si="218"/>
        <v>0</v>
      </c>
      <c r="R644" s="29" t="s">
        <v>1273</v>
      </c>
      <c r="S644" s="12" t="s">
        <v>1274</v>
      </c>
      <c r="T644" s="35">
        <v>35</v>
      </c>
      <c r="U644" t="s">
        <v>1140</v>
      </c>
      <c r="V644" s="27">
        <v>200</v>
      </c>
      <c r="W644" s="9">
        <v>1.29</v>
      </c>
      <c r="X644" s="9">
        <f t="shared" si="219"/>
        <v>258</v>
      </c>
      <c r="Z644" s="10">
        <v>46021</v>
      </c>
      <c r="AA644" s="10">
        <v>46094</v>
      </c>
      <c r="AB644" s="10">
        <v>46157</v>
      </c>
      <c r="AC644" s="10">
        <v>46222</v>
      </c>
      <c r="AD644" s="31">
        <f t="shared" ca="1" si="215"/>
        <v>41</v>
      </c>
      <c r="AE644" s="36" t="s">
        <v>247</v>
      </c>
      <c r="AF644" t="s">
        <v>62</v>
      </c>
      <c r="AG644" s="10" t="s">
        <v>79</v>
      </c>
      <c r="AI644" s="9" t="s">
        <v>53</v>
      </c>
      <c r="AL644" s="9" t="s">
        <v>1319</v>
      </c>
      <c r="AM644" s="27" t="str">
        <f t="shared" si="216"/>
        <v>Atrasado</v>
      </c>
      <c r="AN644" s="27" t="str">
        <f t="shared" ca="1" si="213"/>
        <v>Estoque</v>
      </c>
      <c r="AO644" s="27" t="str">
        <f t="shared" ca="1" si="209"/>
        <v/>
      </c>
      <c r="AP644" t="s">
        <v>1318</v>
      </c>
    </row>
    <row r="645" spans="1:42" ht="15" hidden="1" customHeight="1">
      <c r="D645" t="s">
        <v>1141</v>
      </c>
      <c r="E645" s="23" t="s">
        <v>1814</v>
      </c>
      <c r="F645" s="24"/>
      <c r="I645" s="26"/>
      <c r="L645" s="27" t="str">
        <f t="shared" si="212"/>
        <v xml:space="preserve"> </v>
      </c>
      <c r="N645" s="27" t="str">
        <f t="shared" si="211"/>
        <v xml:space="preserve"> </v>
      </c>
      <c r="O645" s="27">
        <f t="shared" si="217"/>
        <v>0</v>
      </c>
      <c r="P645" s="28" t="str">
        <f t="shared" si="210"/>
        <v>On time</v>
      </c>
      <c r="Q645" s="27">
        <f t="shared" si="218"/>
        <v>0</v>
      </c>
      <c r="R645" s="29" t="s">
        <v>1273</v>
      </c>
      <c r="S645" s="12" t="s">
        <v>1274</v>
      </c>
      <c r="T645" s="35">
        <v>36</v>
      </c>
      <c r="U645" t="s">
        <v>1141</v>
      </c>
      <c r="V645" s="27">
        <v>100</v>
      </c>
      <c r="W645" s="9">
        <v>6.21</v>
      </c>
      <c r="X645" s="9">
        <f t="shared" si="219"/>
        <v>621</v>
      </c>
      <c r="Z645" s="10">
        <v>46021</v>
      </c>
      <c r="AA645" s="10">
        <v>46094</v>
      </c>
      <c r="AB645" s="10">
        <v>46157</v>
      </c>
      <c r="AC645" s="10">
        <v>46222</v>
      </c>
      <c r="AD645" s="31">
        <f t="shared" ca="1" si="215"/>
        <v>41</v>
      </c>
      <c r="AE645" s="36" t="s">
        <v>247</v>
      </c>
      <c r="AF645" t="s">
        <v>62</v>
      </c>
      <c r="AG645" s="10" t="s">
        <v>79</v>
      </c>
      <c r="AI645" s="9" t="s">
        <v>53</v>
      </c>
      <c r="AL645" s="9" t="s">
        <v>1319</v>
      </c>
      <c r="AM645" s="27" t="str">
        <f t="shared" si="216"/>
        <v>Atrasado</v>
      </c>
      <c r="AN645" s="27" t="str">
        <f t="shared" ca="1" si="213"/>
        <v>Estoque</v>
      </c>
      <c r="AO645" s="27" t="str">
        <f t="shared" ca="1" si="209"/>
        <v/>
      </c>
      <c r="AP645" t="s">
        <v>1318</v>
      </c>
    </row>
    <row r="646" spans="1:42" ht="15" hidden="1" customHeight="1">
      <c r="D646" t="s">
        <v>1142</v>
      </c>
      <c r="E646" s="23" t="s">
        <v>1815</v>
      </c>
      <c r="F646" s="24"/>
      <c r="I646" s="26"/>
      <c r="L646" s="27" t="str">
        <f t="shared" si="212"/>
        <v xml:space="preserve"> </v>
      </c>
      <c r="N646" s="27" t="str">
        <f t="shared" si="211"/>
        <v xml:space="preserve"> </v>
      </c>
      <c r="O646" s="27">
        <f t="shared" si="217"/>
        <v>0</v>
      </c>
      <c r="P646" s="28" t="str">
        <f t="shared" si="210"/>
        <v>On time</v>
      </c>
      <c r="Q646" s="27">
        <f t="shared" si="218"/>
        <v>0</v>
      </c>
      <c r="R646" s="29" t="s">
        <v>1273</v>
      </c>
      <c r="S646" s="12" t="s">
        <v>1274</v>
      </c>
      <c r="T646" s="35">
        <v>37</v>
      </c>
      <c r="U646" t="s">
        <v>1142</v>
      </c>
      <c r="V646" s="27">
        <v>300</v>
      </c>
      <c r="W646" s="9">
        <v>2.0499999999999998</v>
      </c>
      <c r="X646" s="9">
        <f t="shared" si="219"/>
        <v>615</v>
      </c>
      <c r="Z646" s="10">
        <v>46021</v>
      </c>
      <c r="AA646" s="10">
        <v>46094</v>
      </c>
      <c r="AB646" s="10">
        <v>46157</v>
      </c>
      <c r="AC646" s="10">
        <v>46222</v>
      </c>
      <c r="AD646" s="31">
        <f t="shared" ca="1" si="215"/>
        <v>41</v>
      </c>
      <c r="AE646" s="36" t="s">
        <v>247</v>
      </c>
      <c r="AF646" t="s">
        <v>62</v>
      </c>
      <c r="AG646" s="10" t="s">
        <v>79</v>
      </c>
      <c r="AI646" s="9" t="s">
        <v>53</v>
      </c>
      <c r="AL646" s="9" t="s">
        <v>1319</v>
      </c>
      <c r="AM646" s="27" t="str">
        <f t="shared" si="216"/>
        <v>Atrasado</v>
      </c>
      <c r="AN646" s="27" t="str">
        <f t="shared" ca="1" si="213"/>
        <v>Estoque</v>
      </c>
      <c r="AO646" s="27" t="str">
        <f t="shared" ca="1" si="209"/>
        <v/>
      </c>
      <c r="AP646" t="s">
        <v>1318</v>
      </c>
    </row>
    <row r="647" spans="1:42" ht="15" hidden="1" customHeight="1">
      <c r="D647" t="s">
        <v>1143</v>
      </c>
      <c r="E647" s="23" t="s">
        <v>1816</v>
      </c>
      <c r="F647" s="24"/>
      <c r="I647" s="26"/>
      <c r="L647" s="27" t="str">
        <f t="shared" si="212"/>
        <v xml:space="preserve"> </v>
      </c>
      <c r="N647" s="27" t="str">
        <f t="shared" si="211"/>
        <v xml:space="preserve"> </v>
      </c>
      <c r="O647" s="27">
        <f t="shared" si="217"/>
        <v>0</v>
      </c>
      <c r="P647" s="28" t="str">
        <f t="shared" si="210"/>
        <v>On time</v>
      </c>
      <c r="Q647" s="27">
        <f t="shared" si="218"/>
        <v>0</v>
      </c>
      <c r="R647" s="29" t="s">
        <v>1273</v>
      </c>
      <c r="S647" s="12" t="s">
        <v>1274</v>
      </c>
      <c r="T647" s="35">
        <v>38</v>
      </c>
      <c r="U647" t="s">
        <v>1143</v>
      </c>
      <c r="V647" s="27">
        <v>1000</v>
      </c>
      <c r="W647" s="9">
        <v>1.97</v>
      </c>
      <c r="X647" s="9">
        <f t="shared" si="219"/>
        <v>1970</v>
      </c>
      <c r="Z647" s="10">
        <v>46021</v>
      </c>
      <c r="AA647" s="10">
        <v>46094</v>
      </c>
      <c r="AB647" s="10">
        <v>46157</v>
      </c>
      <c r="AC647" s="10">
        <v>46222</v>
      </c>
      <c r="AD647" s="31">
        <f t="shared" ca="1" si="215"/>
        <v>41</v>
      </c>
      <c r="AE647" s="36" t="s">
        <v>247</v>
      </c>
      <c r="AF647" t="s">
        <v>62</v>
      </c>
      <c r="AG647" s="10" t="s">
        <v>79</v>
      </c>
      <c r="AI647" s="9" t="s">
        <v>53</v>
      </c>
      <c r="AL647" s="9" t="s">
        <v>1319</v>
      </c>
      <c r="AM647" s="27" t="str">
        <f t="shared" si="216"/>
        <v>Atrasado</v>
      </c>
      <c r="AN647" s="27" t="str">
        <f t="shared" ca="1" si="213"/>
        <v>Estoque</v>
      </c>
      <c r="AO647" s="27" t="str">
        <f t="shared" ca="1" si="209"/>
        <v/>
      </c>
      <c r="AP647" t="s">
        <v>1318</v>
      </c>
    </row>
    <row r="648" spans="1:42" ht="15" hidden="1" customHeight="1">
      <c r="D648" t="s">
        <v>1144</v>
      </c>
      <c r="E648" s="23" t="s">
        <v>1817</v>
      </c>
      <c r="F648" s="24"/>
      <c r="I648" s="26"/>
      <c r="L648" s="27" t="str">
        <f t="shared" si="212"/>
        <v xml:space="preserve"> </v>
      </c>
      <c r="N648" s="27" t="str">
        <f t="shared" si="211"/>
        <v xml:space="preserve"> </v>
      </c>
      <c r="O648" s="27">
        <f t="shared" si="217"/>
        <v>0</v>
      </c>
      <c r="P648" s="28" t="str">
        <f t="shared" si="210"/>
        <v>On time</v>
      </c>
      <c r="Q648" s="27">
        <f t="shared" si="218"/>
        <v>0</v>
      </c>
      <c r="R648" s="29" t="s">
        <v>1273</v>
      </c>
      <c r="S648" s="12" t="s">
        <v>1274</v>
      </c>
      <c r="T648" s="35">
        <v>39</v>
      </c>
      <c r="U648" t="s">
        <v>1144</v>
      </c>
      <c r="V648" s="27">
        <v>300</v>
      </c>
      <c r="W648" s="9">
        <v>4.3899999999999997</v>
      </c>
      <c r="X648" s="9">
        <f t="shared" si="219"/>
        <v>1317</v>
      </c>
      <c r="Z648" s="10">
        <v>46021</v>
      </c>
      <c r="AA648" s="10">
        <v>46094</v>
      </c>
      <c r="AB648" s="10">
        <v>46157</v>
      </c>
      <c r="AC648" s="10">
        <v>46222</v>
      </c>
      <c r="AD648" s="31">
        <f t="shared" ca="1" si="215"/>
        <v>41</v>
      </c>
      <c r="AE648" s="36" t="s">
        <v>247</v>
      </c>
      <c r="AF648" t="s">
        <v>62</v>
      </c>
      <c r="AG648" s="10" t="s">
        <v>79</v>
      </c>
      <c r="AI648" s="9" t="s">
        <v>53</v>
      </c>
      <c r="AL648" s="9" t="s">
        <v>1319</v>
      </c>
      <c r="AM648" s="27" t="str">
        <f t="shared" si="216"/>
        <v>Atrasado</v>
      </c>
      <c r="AN648" s="27" t="str">
        <f t="shared" ca="1" si="213"/>
        <v>Estoque</v>
      </c>
      <c r="AO648" s="27" t="str">
        <f t="shared" ref="AO648:AO710" ca="1" si="220">IF(AN648="Chegou","Chegou HCI",IF(AND(AJ648&lt;&gt;"",AK648&lt;&gt;""),IF(TODAY()&gt;=AJ648,"Embarcado","Ag. embarque"),IF(AND(AJ648&lt;&gt;"",AK648=""),"Ag. booking","")))</f>
        <v/>
      </c>
      <c r="AP648" t="s">
        <v>1318</v>
      </c>
    </row>
    <row r="649" spans="1:42" ht="15" hidden="1" customHeight="1">
      <c r="D649" t="s">
        <v>1145</v>
      </c>
      <c r="E649" s="23" t="s">
        <v>1818</v>
      </c>
      <c r="F649" s="24"/>
      <c r="I649" s="26"/>
      <c r="L649" s="27" t="str">
        <f t="shared" si="212"/>
        <v xml:space="preserve"> </v>
      </c>
      <c r="N649" s="27" t="str">
        <f t="shared" si="211"/>
        <v xml:space="preserve"> </v>
      </c>
      <c r="O649" s="27">
        <f t="shared" si="217"/>
        <v>0</v>
      </c>
      <c r="P649" s="28" t="str">
        <f t="shared" ref="P649:P711" si="221">IF(Z649=0," ",IF(M649&gt;=Z649+6,"Atrasado","On time"))</f>
        <v>On time</v>
      </c>
      <c r="Q649" s="27">
        <f t="shared" si="218"/>
        <v>0</v>
      </c>
      <c r="R649" s="29" t="s">
        <v>1273</v>
      </c>
      <c r="S649" s="12" t="s">
        <v>1274</v>
      </c>
      <c r="T649" s="35">
        <v>40</v>
      </c>
      <c r="U649" t="s">
        <v>1145</v>
      </c>
      <c r="V649" s="27">
        <v>2000</v>
      </c>
      <c r="W649" s="9">
        <v>1.29</v>
      </c>
      <c r="X649" s="9">
        <f t="shared" si="219"/>
        <v>2580</v>
      </c>
      <c r="Z649" s="10">
        <v>46021</v>
      </c>
      <c r="AA649" s="10">
        <v>46094</v>
      </c>
      <c r="AB649" s="10">
        <v>46157</v>
      </c>
      <c r="AC649" s="10">
        <v>46222</v>
      </c>
      <c r="AD649" s="31">
        <f t="shared" ca="1" si="215"/>
        <v>41</v>
      </c>
      <c r="AE649" s="36" t="s">
        <v>247</v>
      </c>
      <c r="AF649" t="s">
        <v>62</v>
      </c>
      <c r="AG649" s="10" t="s">
        <v>79</v>
      </c>
      <c r="AI649" s="9" t="s">
        <v>53</v>
      </c>
      <c r="AL649" s="9" t="s">
        <v>1319</v>
      </c>
      <c r="AM649" s="27" t="str">
        <f t="shared" si="216"/>
        <v>Atrasado</v>
      </c>
      <c r="AN649" s="27" t="str">
        <f t="shared" ca="1" si="213"/>
        <v>Estoque</v>
      </c>
      <c r="AO649" s="27" t="str">
        <f t="shared" ca="1" si="220"/>
        <v/>
      </c>
      <c r="AP649" t="s">
        <v>1318</v>
      </c>
    </row>
    <row r="650" spans="1:42" ht="15" hidden="1" customHeight="1">
      <c r="A650">
        <v>502969</v>
      </c>
      <c r="B650" s="34" t="s">
        <v>1275</v>
      </c>
      <c r="C650" t="s">
        <v>626</v>
      </c>
      <c r="D650" t="s">
        <v>1146</v>
      </c>
      <c r="E650" s="23" t="s">
        <v>1277</v>
      </c>
      <c r="F650" s="24">
        <v>20</v>
      </c>
      <c r="G650" s="25">
        <v>30.16</v>
      </c>
      <c r="H650" s="25">
        <f>G650*F650</f>
        <v>603.20000000000005</v>
      </c>
      <c r="I650" s="26">
        <v>45975</v>
      </c>
      <c r="J650" s="10">
        <v>45946</v>
      </c>
      <c r="K650" s="10">
        <v>45946</v>
      </c>
      <c r="L650" s="27" t="str">
        <f t="shared" si="212"/>
        <v>On time</v>
      </c>
      <c r="M650" s="58">
        <v>46021</v>
      </c>
      <c r="N650" s="27" t="str">
        <f t="shared" si="211"/>
        <v>Atrasado</v>
      </c>
      <c r="O650" s="27">
        <f t="shared" si="217"/>
        <v>75</v>
      </c>
      <c r="P650" s="28" t="str">
        <f t="shared" si="221"/>
        <v>On time</v>
      </c>
      <c r="Q650" s="27">
        <f t="shared" si="218"/>
        <v>29</v>
      </c>
      <c r="R650" s="29" t="s">
        <v>1273</v>
      </c>
      <c r="S650" s="12" t="s">
        <v>1274</v>
      </c>
      <c r="T650" s="35">
        <v>41</v>
      </c>
      <c r="U650" t="s">
        <v>1146</v>
      </c>
      <c r="V650" s="27">
        <v>500</v>
      </c>
      <c r="W650" s="9">
        <v>2.5</v>
      </c>
      <c r="X650" s="9">
        <f t="shared" si="219"/>
        <v>1250</v>
      </c>
      <c r="Y650">
        <v>1.22</v>
      </c>
      <c r="Z650" s="10">
        <v>46021</v>
      </c>
      <c r="AA650" s="10">
        <v>46094</v>
      </c>
      <c r="AB650" s="10">
        <v>46157</v>
      </c>
      <c r="AC650" s="10">
        <v>46222</v>
      </c>
      <c r="AD650" s="31">
        <f t="shared" ca="1" si="215"/>
        <v>41</v>
      </c>
      <c r="AE650" s="36" t="s">
        <v>247</v>
      </c>
      <c r="AF650" t="s">
        <v>62</v>
      </c>
      <c r="AG650" s="10" t="s">
        <v>79</v>
      </c>
      <c r="AI650" s="9" t="s">
        <v>53</v>
      </c>
      <c r="AL650" s="9" t="s">
        <v>2059</v>
      </c>
      <c r="AM650" s="27" t="str">
        <f t="shared" si="216"/>
        <v>Atrasado</v>
      </c>
      <c r="AN650" s="27" t="str">
        <f t="shared" ca="1" si="213"/>
        <v>Atrasado</v>
      </c>
      <c r="AO650" s="27" t="str">
        <f t="shared" ca="1" si="220"/>
        <v/>
      </c>
      <c r="AP650" t="s">
        <v>1318</v>
      </c>
    </row>
    <row r="651" spans="1:42" ht="15" hidden="1" customHeight="1">
      <c r="D651" t="s">
        <v>1147</v>
      </c>
      <c r="E651" s="23" t="s">
        <v>1819</v>
      </c>
      <c r="F651" s="24"/>
      <c r="I651" s="26"/>
      <c r="L651" s="27" t="str">
        <f t="shared" si="212"/>
        <v xml:space="preserve"> </v>
      </c>
      <c r="N651" s="27" t="str">
        <f t="shared" si="211"/>
        <v xml:space="preserve"> </v>
      </c>
      <c r="O651" s="27">
        <f t="shared" si="217"/>
        <v>0</v>
      </c>
      <c r="P651" s="28" t="str">
        <f t="shared" si="221"/>
        <v>On time</v>
      </c>
      <c r="Q651" s="27">
        <f t="shared" si="218"/>
        <v>0</v>
      </c>
      <c r="R651" s="29" t="s">
        <v>1273</v>
      </c>
      <c r="S651" s="12" t="s">
        <v>1274</v>
      </c>
      <c r="T651" s="35">
        <v>42</v>
      </c>
      <c r="U651" t="s">
        <v>1147</v>
      </c>
      <c r="V651" s="27">
        <v>200</v>
      </c>
      <c r="W651" s="9">
        <v>2.8</v>
      </c>
      <c r="X651" s="9">
        <f t="shared" si="219"/>
        <v>560</v>
      </c>
      <c r="Z651" s="10">
        <v>46021</v>
      </c>
      <c r="AA651" s="10">
        <v>46094</v>
      </c>
      <c r="AB651" s="10">
        <v>46157</v>
      </c>
      <c r="AC651" s="10">
        <v>46222</v>
      </c>
      <c r="AD651" s="31">
        <f t="shared" ca="1" si="215"/>
        <v>41</v>
      </c>
      <c r="AE651" s="36" t="s">
        <v>247</v>
      </c>
      <c r="AF651" t="s">
        <v>62</v>
      </c>
      <c r="AG651" s="10" t="s">
        <v>79</v>
      </c>
      <c r="AI651" s="9" t="s">
        <v>53</v>
      </c>
      <c r="AL651" s="9" t="s">
        <v>1319</v>
      </c>
      <c r="AM651" s="27" t="str">
        <f t="shared" si="216"/>
        <v>Atrasado</v>
      </c>
      <c r="AN651" s="27" t="str">
        <f t="shared" ca="1" si="213"/>
        <v>Estoque</v>
      </c>
      <c r="AO651" s="27" t="str">
        <f t="shared" ca="1" si="220"/>
        <v/>
      </c>
      <c r="AP651" t="s">
        <v>1318</v>
      </c>
    </row>
    <row r="652" spans="1:42" ht="15" hidden="1" customHeight="1">
      <c r="D652" t="s">
        <v>1148</v>
      </c>
      <c r="E652" s="23" t="s">
        <v>1820</v>
      </c>
      <c r="F652" s="24"/>
      <c r="I652" s="26"/>
      <c r="L652" s="27" t="str">
        <f t="shared" si="212"/>
        <v xml:space="preserve"> </v>
      </c>
      <c r="N652" s="27" t="str">
        <f t="shared" si="211"/>
        <v xml:space="preserve"> </v>
      </c>
      <c r="O652" s="27">
        <f t="shared" si="217"/>
        <v>0</v>
      </c>
      <c r="P652" s="28" t="str">
        <f t="shared" si="221"/>
        <v>On time</v>
      </c>
      <c r="Q652" s="27">
        <f t="shared" si="218"/>
        <v>0</v>
      </c>
      <c r="R652" s="29" t="s">
        <v>1273</v>
      </c>
      <c r="S652" s="12" t="s">
        <v>1274</v>
      </c>
      <c r="T652" s="35">
        <v>43</v>
      </c>
      <c r="U652" t="s">
        <v>1148</v>
      </c>
      <c r="V652" s="27">
        <v>500</v>
      </c>
      <c r="W652" s="9">
        <v>0.65</v>
      </c>
      <c r="X652" s="9">
        <f t="shared" si="219"/>
        <v>325</v>
      </c>
      <c r="Z652" s="10">
        <v>46021</v>
      </c>
      <c r="AA652" s="10">
        <v>46094</v>
      </c>
      <c r="AB652" s="10">
        <v>46157</v>
      </c>
      <c r="AC652" s="10">
        <v>46222</v>
      </c>
      <c r="AD652" s="31">
        <f t="shared" ca="1" si="215"/>
        <v>41</v>
      </c>
      <c r="AE652" s="36" t="s">
        <v>247</v>
      </c>
      <c r="AF652" t="s">
        <v>62</v>
      </c>
      <c r="AG652" s="10" t="s">
        <v>79</v>
      </c>
      <c r="AI652" s="9" t="s">
        <v>53</v>
      </c>
      <c r="AL652" s="9" t="s">
        <v>1319</v>
      </c>
      <c r="AM652" s="27" t="str">
        <f t="shared" si="216"/>
        <v>Atrasado</v>
      </c>
      <c r="AN652" s="27" t="str">
        <f t="shared" ca="1" si="213"/>
        <v>Estoque</v>
      </c>
      <c r="AO652" s="27" t="str">
        <f t="shared" ca="1" si="220"/>
        <v/>
      </c>
      <c r="AP652" t="s">
        <v>1318</v>
      </c>
    </row>
    <row r="653" spans="1:42" ht="15" hidden="1" customHeight="1">
      <c r="D653" t="s">
        <v>1149</v>
      </c>
      <c r="E653" s="23" t="s">
        <v>1821</v>
      </c>
      <c r="F653" s="24"/>
      <c r="I653" s="26"/>
      <c r="L653" s="27" t="str">
        <f t="shared" si="212"/>
        <v xml:space="preserve"> </v>
      </c>
      <c r="N653" s="27" t="str">
        <f t="shared" si="211"/>
        <v xml:space="preserve"> </v>
      </c>
      <c r="O653" s="27">
        <f t="shared" si="217"/>
        <v>0</v>
      </c>
      <c r="P653" s="28" t="str">
        <f t="shared" si="221"/>
        <v>On time</v>
      </c>
      <c r="Q653" s="27">
        <f t="shared" si="218"/>
        <v>0</v>
      </c>
      <c r="R653" s="29" t="s">
        <v>1273</v>
      </c>
      <c r="S653" s="12" t="s">
        <v>1274</v>
      </c>
      <c r="T653" s="35">
        <v>44</v>
      </c>
      <c r="U653" t="s">
        <v>1149</v>
      </c>
      <c r="V653" s="27">
        <v>200</v>
      </c>
      <c r="W653" s="9">
        <v>2.12</v>
      </c>
      <c r="X653" s="9">
        <f t="shared" si="219"/>
        <v>424</v>
      </c>
      <c r="Z653" s="10">
        <v>46021</v>
      </c>
      <c r="AA653" s="10">
        <v>46094</v>
      </c>
      <c r="AB653" s="10">
        <v>46157</v>
      </c>
      <c r="AC653" s="10">
        <v>46222</v>
      </c>
      <c r="AD653" s="31">
        <f t="shared" ca="1" si="215"/>
        <v>41</v>
      </c>
      <c r="AE653" s="36" t="s">
        <v>247</v>
      </c>
      <c r="AF653" t="s">
        <v>62</v>
      </c>
      <c r="AG653" s="10" t="s">
        <v>79</v>
      </c>
      <c r="AI653" s="9" t="s">
        <v>53</v>
      </c>
      <c r="AL653" s="9" t="s">
        <v>1319</v>
      </c>
      <c r="AM653" s="27" t="str">
        <f t="shared" si="216"/>
        <v>Atrasado</v>
      </c>
      <c r="AN653" s="27" t="str">
        <f t="shared" ca="1" si="213"/>
        <v>Estoque</v>
      </c>
      <c r="AO653" s="27" t="str">
        <f t="shared" ca="1" si="220"/>
        <v/>
      </c>
      <c r="AP653" t="s">
        <v>1318</v>
      </c>
    </row>
    <row r="654" spans="1:42" ht="15" hidden="1" customHeight="1">
      <c r="D654" t="s">
        <v>1150</v>
      </c>
      <c r="E654" s="23" t="s">
        <v>1822</v>
      </c>
      <c r="F654" s="24"/>
      <c r="I654" s="26"/>
      <c r="L654" s="27" t="str">
        <f t="shared" si="212"/>
        <v xml:space="preserve"> </v>
      </c>
      <c r="N654" s="27" t="str">
        <f t="shared" ref="N654:N717" si="222">IF(J654=0," ",IF(M654&lt;=J654+6,"On time","Atrasado"))</f>
        <v xml:space="preserve"> </v>
      </c>
      <c r="O654" s="27">
        <f t="shared" si="217"/>
        <v>0</v>
      </c>
      <c r="P654" s="28" t="str">
        <f t="shared" si="221"/>
        <v>On time</v>
      </c>
      <c r="Q654" s="27">
        <f t="shared" si="218"/>
        <v>0</v>
      </c>
      <c r="R654" s="29" t="s">
        <v>1273</v>
      </c>
      <c r="S654" s="12" t="s">
        <v>1274</v>
      </c>
      <c r="T654" s="35">
        <v>45</v>
      </c>
      <c r="U654" t="s">
        <v>1150</v>
      </c>
      <c r="V654" s="27">
        <v>500</v>
      </c>
      <c r="W654" s="9">
        <v>0.76</v>
      </c>
      <c r="X654" s="9">
        <f t="shared" si="219"/>
        <v>380</v>
      </c>
      <c r="Z654" s="10">
        <v>46021</v>
      </c>
      <c r="AA654" s="10">
        <v>46094</v>
      </c>
      <c r="AB654" s="10">
        <v>46157</v>
      </c>
      <c r="AC654" s="10">
        <v>46222</v>
      </c>
      <c r="AD654" s="31">
        <f t="shared" ca="1" si="215"/>
        <v>41</v>
      </c>
      <c r="AE654" s="36" t="s">
        <v>247</v>
      </c>
      <c r="AF654" t="s">
        <v>62</v>
      </c>
      <c r="AG654" s="10" t="s">
        <v>79</v>
      </c>
      <c r="AI654" s="9" t="s">
        <v>53</v>
      </c>
      <c r="AL654" s="9" t="s">
        <v>1319</v>
      </c>
      <c r="AM654" s="27" t="str">
        <f t="shared" si="216"/>
        <v>Atrasado</v>
      </c>
      <c r="AN654" s="27" t="str">
        <f t="shared" ca="1" si="213"/>
        <v>Estoque</v>
      </c>
      <c r="AO654" s="27" t="str">
        <f t="shared" ca="1" si="220"/>
        <v/>
      </c>
      <c r="AP654" t="s">
        <v>1318</v>
      </c>
    </row>
    <row r="655" spans="1:42" ht="15" hidden="1" customHeight="1">
      <c r="D655" t="s">
        <v>1151</v>
      </c>
      <c r="E655" s="23" t="s">
        <v>1823</v>
      </c>
      <c r="F655" s="24"/>
      <c r="I655" s="26"/>
      <c r="L655" s="27" t="str">
        <f t="shared" ref="L655:L718" si="223">IF(J655=0," ",IF(K655&lt;=J655+6,"On time","Atrasado"))</f>
        <v xml:space="preserve"> </v>
      </c>
      <c r="N655" s="27" t="str">
        <f t="shared" si="222"/>
        <v xml:space="preserve"> </v>
      </c>
      <c r="O655" s="27">
        <f t="shared" si="217"/>
        <v>0</v>
      </c>
      <c r="P655" s="28" t="str">
        <f t="shared" si="221"/>
        <v>On time</v>
      </c>
      <c r="Q655" s="27">
        <f t="shared" si="218"/>
        <v>0</v>
      </c>
      <c r="R655" s="29" t="s">
        <v>1273</v>
      </c>
      <c r="S655" s="12" t="s">
        <v>1274</v>
      </c>
      <c r="T655" s="35">
        <v>46</v>
      </c>
      <c r="U655" t="s">
        <v>1151</v>
      </c>
      <c r="V655" s="27">
        <v>1000</v>
      </c>
      <c r="W655" s="9">
        <v>0.76</v>
      </c>
      <c r="X655" s="9">
        <f t="shared" si="219"/>
        <v>760</v>
      </c>
      <c r="Z655" s="10">
        <v>46021</v>
      </c>
      <c r="AA655" s="10">
        <v>46094</v>
      </c>
      <c r="AB655" s="10">
        <v>46157</v>
      </c>
      <c r="AC655" s="10">
        <v>46222</v>
      </c>
      <c r="AD655" s="31">
        <f t="shared" ca="1" si="215"/>
        <v>41</v>
      </c>
      <c r="AE655" s="36" t="s">
        <v>247</v>
      </c>
      <c r="AF655" t="s">
        <v>62</v>
      </c>
      <c r="AG655" s="10" t="s">
        <v>79</v>
      </c>
      <c r="AI655" s="9" t="s">
        <v>53</v>
      </c>
      <c r="AL655" s="9" t="s">
        <v>1319</v>
      </c>
      <c r="AM655" s="27" t="str">
        <f t="shared" si="216"/>
        <v>Atrasado</v>
      </c>
      <c r="AN655" s="27" t="str">
        <f t="shared" ca="1" si="213"/>
        <v>Estoque</v>
      </c>
      <c r="AO655" s="27" t="str">
        <f t="shared" ca="1" si="220"/>
        <v/>
      </c>
      <c r="AP655" t="s">
        <v>1318</v>
      </c>
    </row>
    <row r="656" spans="1:42" ht="15" hidden="1" customHeight="1">
      <c r="D656" t="s">
        <v>1152</v>
      </c>
      <c r="E656" s="23" t="s">
        <v>1824</v>
      </c>
      <c r="F656" s="24"/>
      <c r="I656" s="26"/>
      <c r="L656" s="27" t="str">
        <f t="shared" si="223"/>
        <v xml:space="preserve"> </v>
      </c>
      <c r="N656" s="27" t="str">
        <f t="shared" si="222"/>
        <v xml:space="preserve"> </v>
      </c>
      <c r="O656" s="27">
        <f t="shared" si="217"/>
        <v>0</v>
      </c>
      <c r="P656" s="28" t="str">
        <f t="shared" si="221"/>
        <v>On time</v>
      </c>
      <c r="Q656" s="27">
        <f t="shared" si="218"/>
        <v>0</v>
      </c>
      <c r="R656" s="29" t="s">
        <v>1273</v>
      </c>
      <c r="S656" s="12" t="s">
        <v>1274</v>
      </c>
      <c r="T656" s="35">
        <v>47</v>
      </c>
      <c r="U656" t="s">
        <v>1152</v>
      </c>
      <c r="V656" s="27">
        <v>150</v>
      </c>
      <c r="W656" s="9">
        <v>1.97</v>
      </c>
      <c r="X656" s="9">
        <f t="shared" si="219"/>
        <v>295.5</v>
      </c>
      <c r="Z656" s="10">
        <v>46021</v>
      </c>
      <c r="AA656" s="10">
        <v>46094</v>
      </c>
      <c r="AB656" s="10">
        <v>46157</v>
      </c>
      <c r="AC656" s="10">
        <v>46222</v>
      </c>
      <c r="AD656" s="31">
        <f t="shared" ca="1" si="215"/>
        <v>41</v>
      </c>
      <c r="AE656" s="36" t="s">
        <v>247</v>
      </c>
      <c r="AF656" t="s">
        <v>62</v>
      </c>
      <c r="AG656" s="10" t="s">
        <v>79</v>
      </c>
      <c r="AI656" s="9" t="s">
        <v>53</v>
      </c>
      <c r="AL656" s="9" t="s">
        <v>1319</v>
      </c>
      <c r="AM656" s="27" t="str">
        <f t="shared" si="216"/>
        <v>Atrasado</v>
      </c>
      <c r="AN656" s="27" t="str">
        <f t="shared" ca="1" si="213"/>
        <v>Estoque</v>
      </c>
      <c r="AO656" s="27" t="str">
        <f t="shared" ca="1" si="220"/>
        <v/>
      </c>
      <c r="AP656" t="s">
        <v>1318</v>
      </c>
    </row>
    <row r="657" spans="4:42" ht="15" hidden="1" customHeight="1">
      <c r="D657" t="s">
        <v>1153</v>
      </c>
      <c r="E657" s="23" t="s">
        <v>1825</v>
      </c>
      <c r="F657" s="24"/>
      <c r="I657" s="26"/>
      <c r="L657" s="27" t="str">
        <f t="shared" si="223"/>
        <v xml:space="preserve"> </v>
      </c>
      <c r="N657" s="27" t="str">
        <f t="shared" si="222"/>
        <v xml:space="preserve"> </v>
      </c>
      <c r="O657" s="27">
        <f t="shared" si="217"/>
        <v>0</v>
      </c>
      <c r="P657" s="28" t="str">
        <f t="shared" si="221"/>
        <v>On time</v>
      </c>
      <c r="Q657" s="27">
        <f t="shared" si="218"/>
        <v>0</v>
      </c>
      <c r="R657" s="29" t="s">
        <v>1273</v>
      </c>
      <c r="S657" s="12" t="s">
        <v>1274</v>
      </c>
      <c r="T657" s="35">
        <v>48</v>
      </c>
      <c r="U657" t="s">
        <v>1153</v>
      </c>
      <c r="V657" s="27">
        <v>500</v>
      </c>
      <c r="W657" s="9">
        <v>4.32</v>
      </c>
      <c r="X657" s="9">
        <f t="shared" si="219"/>
        <v>2160</v>
      </c>
      <c r="Z657" s="10">
        <v>46021</v>
      </c>
      <c r="AA657" s="10">
        <v>46094</v>
      </c>
      <c r="AB657" s="10">
        <v>46157</v>
      </c>
      <c r="AC657" s="10">
        <v>46222</v>
      </c>
      <c r="AD657" s="31">
        <f t="shared" ca="1" si="215"/>
        <v>41</v>
      </c>
      <c r="AE657" s="36" t="s">
        <v>247</v>
      </c>
      <c r="AF657" t="s">
        <v>62</v>
      </c>
      <c r="AG657" s="10" t="s">
        <v>79</v>
      </c>
      <c r="AI657" s="9" t="s">
        <v>53</v>
      </c>
      <c r="AL657" s="9" t="s">
        <v>1319</v>
      </c>
      <c r="AM657" s="27" t="str">
        <f t="shared" si="216"/>
        <v>Atrasado</v>
      </c>
      <c r="AN657" s="27" t="str">
        <f t="shared" ca="1" si="213"/>
        <v>Estoque</v>
      </c>
      <c r="AO657" s="27" t="str">
        <f t="shared" ca="1" si="220"/>
        <v/>
      </c>
      <c r="AP657" t="s">
        <v>1318</v>
      </c>
    </row>
    <row r="658" spans="4:42" ht="15" hidden="1" customHeight="1">
      <c r="D658" t="s">
        <v>1154</v>
      </c>
      <c r="E658" s="23" t="s">
        <v>1826</v>
      </c>
      <c r="F658" s="24"/>
      <c r="I658" s="26"/>
      <c r="L658" s="27" t="str">
        <f t="shared" si="223"/>
        <v xml:space="preserve"> </v>
      </c>
      <c r="N658" s="27" t="str">
        <f t="shared" si="222"/>
        <v xml:space="preserve"> </v>
      </c>
      <c r="O658" s="27">
        <f t="shared" si="217"/>
        <v>0</v>
      </c>
      <c r="P658" s="28" t="str">
        <f t="shared" si="221"/>
        <v>On time</v>
      </c>
      <c r="Q658" s="27">
        <f t="shared" si="218"/>
        <v>0</v>
      </c>
      <c r="R658" s="29" t="s">
        <v>1273</v>
      </c>
      <c r="S658" s="12" t="s">
        <v>1274</v>
      </c>
      <c r="T658" s="35">
        <v>49</v>
      </c>
      <c r="U658" t="s">
        <v>1154</v>
      </c>
      <c r="V658" s="27">
        <v>2000</v>
      </c>
      <c r="W658" s="9">
        <v>0.45</v>
      </c>
      <c r="X658" s="9">
        <f t="shared" si="219"/>
        <v>900</v>
      </c>
      <c r="Z658" s="10">
        <v>46021</v>
      </c>
      <c r="AA658" s="10">
        <v>46094</v>
      </c>
      <c r="AB658" s="10">
        <v>46157</v>
      </c>
      <c r="AC658" s="10">
        <v>46222</v>
      </c>
      <c r="AD658" s="31">
        <f t="shared" ca="1" si="215"/>
        <v>41</v>
      </c>
      <c r="AE658" s="36" t="s">
        <v>247</v>
      </c>
      <c r="AF658" t="s">
        <v>62</v>
      </c>
      <c r="AG658" s="10" t="s">
        <v>79</v>
      </c>
      <c r="AI658" s="9" t="s">
        <v>53</v>
      </c>
      <c r="AL658" s="9" t="s">
        <v>1319</v>
      </c>
      <c r="AM658" s="27" t="str">
        <f t="shared" si="216"/>
        <v>Atrasado</v>
      </c>
      <c r="AN658" s="27" t="str">
        <f t="shared" ca="1" si="213"/>
        <v>Estoque</v>
      </c>
      <c r="AO658" s="27" t="str">
        <f t="shared" ca="1" si="220"/>
        <v/>
      </c>
      <c r="AP658" t="s">
        <v>1318</v>
      </c>
    </row>
    <row r="659" spans="4:42" ht="15" hidden="1" customHeight="1">
      <c r="D659" t="s">
        <v>1155</v>
      </c>
      <c r="E659" s="23" t="s">
        <v>1827</v>
      </c>
      <c r="F659" s="24"/>
      <c r="I659" s="26"/>
      <c r="L659" s="27" t="str">
        <f t="shared" si="223"/>
        <v xml:space="preserve"> </v>
      </c>
      <c r="N659" s="27" t="str">
        <f t="shared" si="222"/>
        <v xml:space="preserve"> </v>
      </c>
      <c r="O659" s="27">
        <f t="shared" si="217"/>
        <v>0</v>
      </c>
      <c r="P659" s="28" t="str">
        <f t="shared" si="221"/>
        <v>On time</v>
      </c>
      <c r="Q659" s="27">
        <f t="shared" si="218"/>
        <v>0</v>
      </c>
      <c r="R659" s="29" t="s">
        <v>1273</v>
      </c>
      <c r="S659" s="12" t="s">
        <v>1274</v>
      </c>
      <c r="T659" s="35">
        <v>50</v>
      </c>
      <c r="U659" t="s">
        <v>1155</v>
      </c>
      <c r="V659" s="27">
        <v>300</v>
      </c>
      <c r="W659" s="9">
        <v>0.61</v>
      </c>
      <c r="X659" s="9">
        <f t="shared" si="219"/>
        <v>183</v>
      </c>
      <c r="Z659" s="10">
        <v>46021</v>
      </c>
      <c r="AA659" s="10">
        <v>46094</v>
      </c>
      <c r="AB659" s="10">
        <v>46157</v>
      </c>
      <c r="AC659" s="10">
        <v>46222</v>
      </c>
      <c r="AD659" s="31">
        <f t="shared" ca="1" si="215"/>
        <v>41</v>
      </c>
      <c r="AE659" s="36" t="s">
        <v>247</v>
      </c>
      <c r="AF659" t="s">
        <v>62</v>
      </c>
      <c r="AG659" s="10" t="s">
        <v>79</v>
      </c>
      <c r="AI659" s="9" t="s">
        <v>53</v>
      </c>
      <c r="AL659" s="9" t="s">
        <v>1319</v>
      </c>
      <c r="AM659" s="27" t="str">
        <f t="shared" si="216"/>
        <v>Atrasado</v>
      </c>
      <c r="AN659" s="27" t="str">
        <f t="shared" ca="1" si="213"/>
        <v>Estoque</v>
      </c>
      <c r="AO659" s="27" t="str">
        <f t="shared" ca="1" si="220"/>
        <v/>
      </c>
      <c r="AP659" t="s">
        <v>1318</v>
      </c>
    </row>
    <row r="660" spans="4:42" ht="15" hidden="1" customHeight="1">
      <c r="D660" t="s">
        <v>1156</v>
      </c>
      <c r="E660" s="23" t="s">
        <v>1828</v>
      </c>
      <c r="F660" s="24"/>
      <c r="I660" s="26"/>
      <c r="L660" s="27" t="str">
        <f t="shared" si="223"/>
        <v xml:space="preserve"> </v>
      </c>
      <c r="N660" s="27" t="str">
        <f t="shared" si="222"/>
        <v xml:space="preserve"> </v>
      </c>
      <c r="O660" s="27">
        <f t="shared" si="217"/>
        <v>0</v>
      </c>
      <c r="P660" s="28" t="str">
        <f t="shared" si="221"/>
        <v>On time</v>
      </c>
      <c r="Q660" s="27">
        <f t="shared" si="218"/>
        <v>0</v>
      </c>
      <c r="R660" s="29" t="s">
        <v>1273</v>
      </c>
      <c r="S660" s="12" t="s">
        <v>1274</v>
      </c>
      <c r="T660" s="35">
        <v>51</v>
      </c>
      <c r="U660" t="s">
        <v>1156</v>
      </c>
      <c r="V660" s="27">
        <v>500</v>
      </c>
      <c r="W660" s="9">
        <v>1.52</v>
      </c>
      <c r="X660" s="9">
        <f t="shared" si="219"/>
        <v>760</v>
      </c>
      <c r="Z660" s="10">
        <v>46021</v>
      </c>
      <c r="AA660" s="10">
        <v>46094</v>
      </c>
      <c r="AB660" s="10">
        <v>46157</v>
      </c>
      <c r="AC660" s="10">
        <v>46222</v>
      </c>
      <c r="AD660" s="31">
        <f t="shared" ca="1" si="215"/>
        <v>41</v>
      </c>
      <c r="AE660" s="36" t="s">
        <v>247</v>
      </c>
      <c r="AF660" t="s">
        <v>62</v>
      </c>
      <c r="AG660" s="10" t="s">
        <v>79</v>
      </c>
      <c r="AI660" s="9" t="s">
        <v>53</v>
      </c>
      <c r="AL660" s="9" t="s">
        <v>1319</v>
      </c>
      <c r="AM660" s="27" t="str">
        <f t="shared" si="216"/>
        <v>Atrasado</v>
      </c>
      <c r="AN660" s="27" t="str">
        <f t="shared" ca="1" si="213"/>
        <v>Estoque</v>
      </c>
      <c r="AO660" s="27" t="str">
        <f t="shared" ca="1" si="220"/>
        <v/>
      </c>
      <c r="AP660" t="s">
        <v>1318</v>
      </c>
    </row>
    <row r="661" spans="4:42" ht="15" hidden="1" customHeight="1">
      <c r="D661" t="s">
        <v>1157</v>
      </c>
      <c r="E661" s="23" t="s">
        <v>1829</v>
      </c>
      <c r="F661" s="24"/>
      <c r="I661" s="26"/>
      <c r="L661" s="27" t="str">
        <f t="shared" si="223"/>
        <v xml:space="preserve"> </v>
      </c>
      <c r="N661" s="27" t="str">
        <f t="shared" si="222"/>
        <v xml:space="preserve"> </v>
      </c>
      <c r="O661" s="27">
        <f t="shared" si="217"/>
        <v>0</v>
      </c>
      <c r="P661" s="28" t="str">
        <f t="shared" si="221"/>
        <v>On time</v>
      </c>
      <c r="Q661" s="27">
        <f t="shared" si="218"/>
        <v>0</v>
      </c>
      <c r="R661" s="29" t="s">
        <v>1273</v>
      </c>
      <c r="S661" s="12" t="s">
        <v>1274</v>
      </c>
      <c r="T661" s="35">
        <v>52</v>
      </c>
      <c r="U661" t="s">
        <v>1157</v>
      </c>
      <c r="V661" s="27">
        <v>1000</v>
      </c>
      <c r="W661" s="9">
        <v>0.53</v>
      </c>
      <c r="X661" s="9">
        <f t="shared" si="219"/>
        <v>530</v>
      </c>
      <c r="Z661" s="10">
        <v>46021</v>
      </c>
      <c r="AA661" s="10">
        <v>46094</v>
      </c>
      <c r="AB661" s="10">
        <v>46157</v>
      </c>
      <c r="AC661" s="10">
        <v>46222</v>
      </c>
      <c r="AD661" s="31">
        <f t="shared" ca="1" si="215"/>
        <v>41</v>
      </c>
      <c r="AE661" s="36" t="s">
        <v>247</v>
      </c>
      <c r="AF661" t="s">
        <v>62</v>
      </c>
      <c r="AG661" s="10" t="s">
        <v>79</v>
      </c>
      <c r="AI661" s="9" t="s">
        <v>53</v>
      </c>
      <c r="AL661" s="9" t="s">
        <v>1319</v>
      </c>
      <c r="AM661" s="27" t="str">
        <f t="shared" si="216"/>
        <v>Atrasado</v>
      </c>
      <c r="AN661" s="27" t="str">
        <f t="shared" ref="AN661:AN724" ca="1" si="224">IF(AND(AC661&lt;&gt;"",AC661&lt;=TODAY()),"Chegou",IF(A661="","Estoque",IF(OR(AC661="",I661=""),"",IF(I661-AC661&lt;=0,"Atrasado",IF(I661-AC661&lt;=9,"Crítico",IF(I661-AC661&lt;=20,"Verificar aéreo",IF(I661-AC661&lt;=25,"Alerta","No prazo")        ))))))</f>
        <v>Estoque</v>
      </c>
      <c r="AO661" s="27" t="str">
        <f t="shared" ca="1" si="220"/>
        <v/>
      </c>
      <c r="AP661" t="s">
        <v>1318</v>
      </c>
    </row>
    <row r="662" spans="4:42" ht="15" hidden="1" customHeight="1">
      <c r="D662" t="s">
        <v>1158</v>
      </c>
      <c r="E662" s="23" t="s">
        <v>1830</v>
      </c>
      <c r="F662" s="24"/>
      <c r="I662" s="26"/>
      <c r="L662" s="27" t="str">
        <f t="shared" si="223"/>
        <v xml:space="preserve"> </v>
      </c>
      <c r="N662" s="27" t="str">
        <f t="shared" si="222"/>
        <v xml:space="preserve"> </v>
      </c>
      <c r="O662" s="27">
        <f t="shared" si="217"/>
        <v>0</v>
      </c>
      <c r="P662" s="28" t="str">
        <f t="shared" si="221"/>
        <v>On time</v>
      </c>
      <c r="Q662" s="27">
        <f t="shared" si="218"/>
        <v>0</v>
      </c>
      <c r="R662" s="29" t="s">
        <v>1273</v>
      </c>
      <c r="S662" s="12" t="s">
        <v>1274</v>
      </c>
      <c r="T662" s="35">
        <v>53</v>
      </c>
      <c r="U662" t="s">
        <v>1158</v>
      </c>
      <c r="V662" s="27">
        <v>1500</v>
      </c>
      <c r="W662" s="9">
        <v>0.76</v>
      </c>
      <c r="X662" s="9">
        <f t="shared" si="219"/>
        <v>1140</v>
      </c>
      <c r="Z662" s="10">
        <v>46021</v>
      </c>
      <c r="AA662" s="10">
        <v>46094</v>
      </c>
      <c r="AB662" s="10">
        <v>46157</v>
      </c>
      <c r="AC662" s="10">
        <v>46222</v>
      </c>
      <c r="AD662" s="31">
        <f t="shared" ca="1" si="215"/>
        <v>41</v>
      </c>
      <c r="AE662" s="36" t="s">
        <v>247</v>
      </c>
      <c r="AF662" t="s">
        <v>62</v>
      </c>
      <c r="AG662" s="10" t="s">
        <v>79</v>
      </c>
      <c r="AI662" s="9" t="s">
        <v>53</v>
      </c>
      <c r="AL662" s="9" t="s">
        <v>1319</v>
      </c>
      <c r="AM662" s="27" t="str">
        <f t="shared" si="216"/>
        <v>Atrasado</v>
      </c>
      <c r="AN662" s="27" t="str">
        <f t="shared" ca="1" si="224"/>
        <v>Estoque</v>
      </c>
      <c r="AO662" s="27" t="str">
        <f t="shared" ca="1" si="220"/>
        <v/>
      </c>
      <c r="AP662" t="s">
        <v>1318</v>
      </c>
    </row>
    <row r="663" spans="4:42" ht="15" hidden="1" customHeight="1">
      <c r="D663" t="s">
        <v>1159</v>
      </c>
      <c r="E663" s="23" t="s">
        <v>1831</v>
      </c>
      <c r="F663" s="24"/>
      <c r="I663" s="26"/>
      <c r="L663" s="27" t="str">
        <f t="shared" si="223"/>
        <v xml:space="preserve"> </v>
      </c>
      <c r="N663" s="27" t="str">
        <f t="shared" si="222"/>
        <v xml:space="preserve"> </v>
      </c>
      <c r="O663" s="27">
        <f t="shared" si="217"/>
        <v>0</v>
      </c>
      <c r="P663" s="28" t="str">
        <f t="shared" si="221"/>
        <v>On time</v>
      </c>
      <c r="Q663" s="27">
        <f t="shared" si="218"/>
        <v>0</v>
      </c>
      <c r="R663" s="29" t="s">
        <v>1273</v>
      </c>
      <c r="S663" s="12" t="s">
        <v>1274</v>
      </c>
      <c r="T663" s="35">
        <v>54</v>
      </c>
      <c r="U663" t="s">
        <v>1159</v>
      </c>
      <c r="V663" s="27">
        <v>1000</v>
      </c>
      <c r="W663" s="9">
        <v>1.74</v>
      </c>
      <c r="X663" s="9">
        <f t="shared" si="219"/>
        <v>1740</v>
      </c>
      <c r="Z663" s="10">
        <v>46021</v>
      </c>
      <c r="AA663" s="10">
        <v>46094</v>
      </c>
      <c r="AB663" s="10">
        <v>46157</v>
      </c>
      <c r="AC663" s="10">
        <v>46222</v>
      </c>
      <c r="AD663" s="31">
        <f t="shared" ca="1" si="215"/>
        <v>41</v>
      </c>
      <c r="AE663" s="36" t="s">
        <v>247</v>
      </c>
      <c r="AF663" t="s">
        <v>62</v>
      </c>
      <c r="AG663" s="10" t="s">
        <v>79</v>
      </c>
      <c r="AI663" s="9" t="s">
        <v>53</v>
      </c>
      <c r="AL663" s="9" t="s">
        <v>1319</v>
      </c>
      <c r="AM663" s="27" t="str">
        <f t="shared" si="216"/>
        <v>Atrasado</v>
      </c>
      <c r="AN663" s="27" t="str">
        <f t="shared" ca="1" si="224"/>
        <v>Estoque</v>
      </c>
      <c r="AO663" s="27" t="str">
        <f t="shared" ca="1" si="220"/>
        <v/>
      </c>
      <c r="AP663" t="s">
        <v>1318</v>
      </c>
    </row>
    <row r="664" spans="4:42" ht="15" hidden="1" customHeight="1">
      <c r="D664" t="s">
        <v>1160</v>
      </c>
      <c r="E664" s="23" t="s">
        <v>1832</v>
      </c>
      <c r="F664" s="24"/>
      <c r="I664" s="26"/>
      <c r="L664" s="27" t="str">
        <f t="shared" si="223"/>
        <v xml:space="preserve"> </v>
      </c>
      <c r="N664" s="27" t="str">
        <f t="shared" si="222"/>
        <v xml:space="preserve"> </v>
      </c>
      <c r="O664" s="27">
        <f t="shared" si="217"/>
        <v>0</v>
      </c>
      <c r="P664" s="28" t="str">
        <f t="shared" si="221"/>
        <v>On time</v>
      </c>
      <c r="Q664" s="27">
        <f t="shared" si="218"/>
        <v>0</v>
      </c>
      <c r="R664" s="29" t="s">
        <v>1273</v>
      </c>
      <c r="S664" s="12" t="s">
        <v>1274</v>
      </c>
      <c r="T664" s="35">
        <v>55</v>
      </c>
      <c r="U664" t="s">
        <v>1160</v>
      </c>
      <c r="V664" s="27">
        <v>2000</v>
      </c>
      <c r="W664" s="9">
        <v>0.48</v>
      </c>
      <c r="X664" s="9">
        <f t="shared" si="219"/>
        <v>960</v>
      </c>
      <c r="Z664" s="10">
        <v>46021</v>
      </c>
      <c r="AA664" s="10">
        <v>46094</v>
      </c>
      <c r="AB664" s="10">
        <v>46157</v>
      </c>
      <c r="AC664" s="10">
        <v>46222</v>
      </c>
      <c r="AD664" s="31">
        <f t="shared" ca="1" si="215"/>
        <v>41</v>
      </c>
      <c r="AE664" s="36" t="s">
        <v>247</v>
      </c>
      <c r="AF664" t="s">
        <v>62</v>
      </c>
      <c r="AG664" s="10" t="s">
        <v>79</v>
      </c>
      <c r="AI664" s="9" t="s">
        <v>53</v>
      </c>
      <c r="AL664" s="9" t="s">
        <v>1319</v>
      </c>
      <c r="AM664" s="27" t="str">
        <f t="shared" si="216"/>
        <v>Atrasado</v>
      </c>
      <c r="AN664" s="27" t="str">
        <f t="shared" ca="1" si="224"/>
        <v>Estoque</v>
      </c>
      <c r="AO664" s="27" t="str">
        <f t="shared" ca="1" si="220"/>
        <v/>
      </c>
      <c r="AP664" t="s">
        <v>1318</v>
      </c>
    </row>
    <row r="665" spans="4:42" ht="15" hidden="1" customHeight="1">
      <c r="D665" t="s">
        <v>1161</v>
      </c>
      <c r="E665" s="23" t="s">
        <v>1833</v>
      </c>
      <c r="F665" s="24"/>
      <c r="I665" s="26"/>
      <c r="L665" s="27" t="str">
        <f t="shared" si="223"/>
        <v xml:space="preserve"> </v>
      </c>
      <c r="N665" s="27" t="str">
        <f t="shared" si="222"/>
        <v xml:space="preserve"> </v>
      </c>
      <c r="O665" s="27">
        <f t="shared" si="217"/>
        <v>0</v>
      </c>
      <c r="P665" s="28" t="str">
        <f t="shared" si="221"/>
        <v>On time</v>
      </c>
      <c r="Q665" s="27">
        <f t="shared" si="218"/>
        <v>0</v>
      </c>
      <c r="R665" s="29" t="s">
        <v>1273</v>
      </c>
      <c r="S665" s="12" t="s">
        <v>1274</v>
      </c>
      <c r="T665" s="35">
        <v>56</v>
      </c>
      <c r="U665" t="s">
        <v>1161</v>
      </c>
      <c r="V665" s="27">
        <v>1000</v>
      </c>
      <c r="W665" s="9">
        <v>1.06</v>
      </c>
      <c r="X665" s="9">
        <f t="shared" si="219"/>
        <v>1060</v>
      </c>
      <c r="Z665" s="10">
        <v>46021</v>
      </c>
      <c r="AA665" s="10">
        <v>46094</v>
      </c>
      <c r="AB665" s="10">
        <v>46157</v>
      </c>
      <c r="AC665" s="10">
        <v>46222</v>
      </c>
      <c r="AD665" s="31">
        <f t="shared" ca="1" si="215"/>
        <v>41</v>
      </c>
      <c r="AE665" s="36" t="s">
        <v>247</v>
      </c>
      <c r="AF665" t="s">
        <v>62</v>
      </c>
      <c r="AG665" s="10" t="s">
        <v>79</v>
      </c>
      <c r="AI665" s="9" t="s">
        <v>53</v>
      </c>
      <c r="AL665" s="9" t="s">
        <v>1319</v>
      </c>
      <c r="AM665" s="27" t="str">
        <f t="shared" si="216"/>
        <v>Atrasado</v>
      </c>
      <c r="AN665" s="27" t="str">
        <f t="shared" ca="1" si="224"/>
        <v>Estoque</v>
      </c>
      <c r="AO665" s="27" t="str">
        <f t="shared" ca="1" si="220"/>
        <v/>
      </c>
      <c r="AP665" t="s">
        <v>1318</v>
      </c>
    </row>
    <row r="666" spans="4:42" ht="15" hidden="1" customHeight="1">
      <c r="D666" t="s">
        <v>1162</v>
      </c>
      <c r="E666" s="23" t="s">
        <v>1834</v>
      </c>
      <c r="F666" s="24"/>
      <c r="I666" s="26"/>
      <c r="L666" s="27" t="str">
        <f t="shared" si="223"/>
        <v xml:space="preserve"> </v>
      </c>
      <c r="N666" s="27" t="str">
        <f t="shared" si="222"/>
        <v xml:space="preserve"> </v>
      </c>
      <c r="O666" s="27">
        <f t="shared" si="217"/>
        <v>0</v>
      </c>
      <c r="P666" s="28" t="str">
        <f t="shared" si="221"/>
        <v>On time</v>
      </c>
      <c r="Q666" s="27">
        <f t="shared" si="218"/>
        <v>0</v>
      </c>
      <c r="R666" s="29" t="s">
        <v>1273</v>
      </c>
      <c r="S666" s="12" t="s">
        <v>1274</v>
      </c>
      <c r="T666" s="35">
        <v>57</v>
      </c>
      <c r="U666" t="s">
        <v>1162</v>
      </c>
      <c r="V666" s="27">
        <v>1000</v>
      </c>
      <c r="W666" s="9">
        <v>0.61</v>
      </c>
      <c r="X666" s="9">
        <f t="shared" si="219"/>
        <v>610</v>
      </c>
      <c r="Z666" s="10">
        <v>46021</v>
      </c>
      <c r="AA666" s="10">
        <v>46094</v>
      </c>
      <c r="AB666" s="10">
        <v>46157</v>
      </c>
      <c r="AC666" s="10">
        <v>46222</v>
      </c>
      <c r="AD666" s="31">
        <f t="shared" ca="1" si="215"/>
        <v>41</v>
      </c>
      <c r="AE666" s="36" t="s">
        <v>247</v>
      </c>
      <c r="AF666" t="s">
        <v>62</v>
      </c>
      <c r="AG666" s="10" t="s">
        <v>79</v>
      </c>
      <c r="AI666" s="9" t="s">
        <v>53</v>
      </c>
      <c r="AL666" s="9" t="s">
        <v>1319</v>
      </c>
      <c r="AM666" s="27" t="str">
        <f t="shared" si="216"/>
        <v>Atrasado</v>
      </c>
      <c r="AN666" s="27" t="str">
        <f t="shared" ca="1" si="224"/>
        <v>Estoque</v>
      </c>
      <c r="AO666" s="27" t="str">
        <f t="shared" ca="1" si="220"/>
        <v/>
      </c>
      <c r="AP666" t="s">
        <v>1318</v>
      </c>
    </row>
    <row r="667" spans="4:42" ht="15" hidden="1" customHeight="1">
      <c r="D667" t="s">
        <v>1163</v>
      </c>
      <c r="E667" s="23" t="s">
        <v>1835</v>
      </c>
      <c r="F667" s="24"/>
      <c r="I667" s="26"/>
      <c r="L667" s="27" t="str">
        <f t="shared" si="223"/>
        <v xml:space="preserve"> </v>
      </c>
      <c r="N667" s="27" t="str">
        <f t="shared" si="222"/>
        <v xml:space="preserve"> </v>
      </c>
      <c r="O667" s="27">
        <f t="shared" si="217"/>
        <v>0</v>
      </c>
      <c r="P667" s="28" t="str">
        <f t="shared" si="221"/>
        <v>On time</v>
      </c>
      <c r="Q667" s="27">
        <f t="shared" si="218"/>
        <v>0</v>
      </c>
      <c r="R667" s="29" t="s">
        <v>1273</v>
      </c>
      <c r="S667" s="12" t="s">
        <v>1274</v>
      </c>
      <c r="T667" s="35">
        <v>58</v>
      </c>
      <c r="U667" t="s">
        <v>1163</v>
      </c>
      <c r="V667" s="27">
        <v>100</v>
      </c>
      <c r="W667" s="9">
        <v>0.98</v>
      </c>
      <c r="X667" s="9">
        <f t="shared" si="219"/>
        <v>98</v>
      </c>
      <c r="Z667" s="10">
        <v>46021</v>
      </c>
      <c r="AA667" s="10">
        <v>46094</v>
      </c>
      <c r="AB667" s="10">
        <v>46157</v>
      </c>
      <c r="AC667" s="10">
        <v>46222</v>
      </c>
      <c r="AD667" s="31">
        <f t="shared" ca="1" si="215"/>
        <v>41</v>
      </c>
      <c r="AE667" s="36" t="s">
        <v>247</v>
      </c>
      <c r="AF667" t="s">
        <v>62</v>
      </c>
      <c r="AG667" s="10" t="s">
        <v>79</v>
      </c>
      <c r="AI667" s="9" t="s">
        <v>53</v>
      </c>
      <c r="AL667" s="9" t="s">
        <v>1319</v>
      </c>
      <c r="AM667" s="27" t="str">
        <f t="shared" si="216"/>
        <v>Atrasado</v>
      </c>
      <c r="AN667" s="27" t="str">
        <f t="shared" ca="1" si="224"/>
        <v>Estoque</v>
      </c>
      <c r="AO667" s="27" t="str">
        <f t="shared" ca="1" si="220"/>
        <v/>
      </c>
      <c r="AP667" t="s">
        <v>1318</v>
      </c>
    </row>
    <row r="668" spans="4:42" ht="15" hidden="1" customHeight="1">
      <c r="D668" t="s">
        <v>1164</v>
      </c>
      <c r="E668" s="23" t="s">
        <v>1836</v>
      </c>
      <c r="F668" s="24"/>
      <c r="I668" s="26"/>
      <c r="L668" s="27" t="str">
        <f t="shared" si="223"/>
        <v xml:space="preserve"> </v>
      </c>
      <c r="N668" s="27" t="str">
        <f t="shared" si="222"/>
        <v xml:space="preserve"> </v>
      </c>
      <c r="O668" s="27">
        <f t="shared" si="217"/>
        <v>0</v>
      </c>
      <c r="P668" s="28" t="str">
        <f t="shared" si="221"/>
        <v>On time</v>
      </c>
      <c r="Q668" s="27">
        <f t="shared" si="218"/>
        <v>0</v>
      </c>
      <c r="R668" s="29" t="s">
        <v>1273</v>
      </c>
      <c r="S668" s="12" t="s">
        <v>1274</v>
      </c>
      <c r="T668" s="35">
        <v>59</v>
      </c>
      <c r="U668" t="s">
        <v>1164</v>
      </c>
      <c r="V668" s="27">
        <v>50</v>
      </c>
      <c r="W668" s="9">
        <v>3.41</v>
      </c>
      <c r="X668" s="9">
        <f t="shared" si="219"/>
        <v>170.5</v>
      </c>
      <c r="Z668" s="10">
        <v>46021</v>
      </c>
      <c r="AA668" s="10">
        <v>46094</v>
      </c>
      <c r="AB668" s="10">
        <v>46157</v>
      </c>
      <c r="AC668" s="10">
        <v>46222</v>
      </c>
      <c r="AD668" s="31">
        <f t="shared" ca="1" si="215"/>
        <v>41</v>
      </c>
      <c r="AE668" s="36" t="s">
        <v>247</v>
      </c>
      <c r="AF668" t="s">
        <v>62</v>
      </c>
      <c r="AG668" s="10" t="s">
        <v>79</v>
      </c>
      <c r="AI668" s="9" t="s">
        <v>53</v>
      </c>
      <c r="AL668" s="9" t="s">
        <v>1319</v>
      </c>
      <c r="AM668" s="27" t="str">
        <f t="shared" si="216"/>
        <v>Atrasado</v>
      </c>
      <c r="AN668" s="27" t="str">
        <f t="shared" ca="1" si="224"/>
        <v>Estoque</v>
      </c>
      <c r="AO668" s="27" t="str">
        <f t="shared" ca="1" si="220"/>
        <v/>
      </c>
      <c r="AP668" t="s">
        <v>1318</v>
      </c>
    </row>
    <row r="669" spans="4:42" ht="15" hidden="1" customHeight="1">
      <c r="D669" t="s">
        <v>1165</v>
      </c>
      <c r="E669" s="23" t="s">
        <v>1837</v>
      </c>
      <c r="F669" s="24"/>
      <c r="I669" s="26"/>
      <c r="L669" s="27" t="str">
        <f t="shared" si="223"/>
        <v xml:space="preserve"> </v>
      </c>
      <c r="N669" s="27" t="str">
        <f t="shared" si="222"/>
        <v xml:space="preserve"> </v>
      </c>
      <c r="O669" s="27">
        <f t="shared" si="217"/>
        <v>0</v>
      </c>
      <c r="P669" s="28" t="str">
        <f t="shared" si="221"/>
        <v>On time</v>
      </c>
      <c r="Q669" s="27">
        <f t="shared" si="218"/>
        <v>0</v>
      </c>
      <c r="R669" s="29" t="s">
        <v>1273</v>
      </c>
      <c r="S669" s="12" t="s">
        <v>1274</v>
      </c>
      <c r="T669" s="35">
        <v>60</v>
      </c>
      <c r="U669" t="s">
        <v>1165</v>
      </c>
      <c r="V669" s="27">
        <v>100</v>
      </c>
      <c r="W669" s="9">
        <v>1.06</v>
      </c>
      <c r="X669" s="9">
        <f t="shared" si="219"/>
        <v>106</v>
      </c>
      <c r="Z669" s="10">
        <v>46021</v>
      </c>
      <c r="AA669" s="10">
        <v>46094</v>
      </c>
      <c r="AB669" s="10">
        <v>46157</v>
      </c>
      <c r="AC669" s="10">
        <v>46222</v>
      </c>
      <c r="AD669" s="31">
        <f t="shared" ca="1" si="215"/>
        <v>41</v>
      </c>
      <c r="AE669" s="36" t="s">
        <v>247</v>
      </c>
      <c r="AF669" t="s">
        <v>62</v>
      </c>
      <c r="AG669" s="10" t="s">
        <v>79</v>
      </c>
      <c r="AI669" s="9" t="s">
        <v>53</v>
      </c>
      <c r="AL669" s="9" t="s">
        <v>1319</v>
      </c>
      <c r="AM669" s="27" t="str">
        <f t="shared" si="216"/>
        <v>Atrasado</v>
      </c>
      <c r="AN669" s="27" t="str">
        <f t="shared" ca="1" si="224"/>
        <v>Estoque</v>
      </c>
      <c r="AO669" s="27" t="str">
        <f t="shared" ca="1" si="220"/>
        <v/>
      </c>
      <c r="AP669" t="s">
        <v>1318</v>
      </c>
    </row>
    <row r="670" spans="4:42" ht="15" hidden="1" customHeight="1">
      <c r="D670" t="s">
        <v>1166</v>
      </c>
      <c r="E670" s="23" t="s">
        <v>1838</v>
      </c>
      <c r="F670" s="24"/>
      <c r="I670" s="26"/>
      <c r="L670" s="27" t="str">
        <f t="shared" si="223"/>
        <v xml:space="preserve"> </v>
      </c>
      <c r="N670" s="27" t="str">
        <f t="shared" si="222"/>
        <v xml:space="preserve"> </v>
      </c>
      <c r="O670" s="27">
        <f t="shared" si="217"/>
        <v>0</v>
      </c>
      <c r="P670" s="28" t="str">
        <f t="shared" si="221"/>
        <v>On time</v>
      </c>
      <c r="Q670" s="27">
        <f t="shared" si="218"/>
        <v>0</v>
      </c>
      <c r="R670" s="29" t="s">
        <v>1273</v>
      </c>
      <c r="S670" s="12" t="s">
        <v>1274</v>
      </c>
      <c r="T670" s="35">
        <v>61</v>
      </c>
      <c r="U670" t="s">
        <v>1166</v>
      </c>
      <c r="V670" s="27">
        <v>300</v>
      </c>
      <c r="W670" s="9">
        <v>1.36</v>
      </c>
      <c r="X670" s="9">
        <f t="shared" si="219"/>
        <v>408.00000000000006</v>
      </c>
      <c r="Z670" s="10">
        <v>46021</v>
      </c>
      <c r="AA670" s="10">
        <v>46094</v>
      </c>
      <c r="AB670" s="10">
        <v>46157</v>
      </c>
      <c r="AC670" s="10">
        <v>46222</v>
      </c>
      <c r="AD670" s="31">
        <f t="shared" ca="1" si="215"/>
        <v>41</v>
      </c>
      <c r="AE670" s="36" t="s">
        <v>247</v>
      </c>
      <c r="AF670" t="s">
        <v>62</v>
      </c>
      <c r="AG670" s="10" t="s">
        <v>79</v>
      </c>
      <c r="AI670" s="9" t="s">
        <v>53</v>
      </c>
      <c r="AL670" s="9" t="s">
        <v>1319</v>
      </c>
      <c r="AM670" s="27" t="str">
        <f t="shared" si="216"/>
        <v>Atrasado</v>
      </c>
      <c r="AN670" s="27" t="str">
        <f t="shared" ca="1" si="224"/>
        <v>Estoque</v>
      </c>
      <c r="AO670" s="27" t="str">
        <f t="shared" ca="1" si="220"/>
        <v/>
      </c>
      <c r="AP670" t="s">
        <v>1318</v>
      </c>
    </row>
    <row r="671" spans="4:42" ht="15" hidden="1" customHeight="1">
      <c r="D671" t="s">
        <v>1167</v>
      </c>
      <c r="E671" s="23" t="s">
        <v>1839</v>
      </c>
      <c r="F671" s="24"/>
      <c r="I671" s="26"/>
      <c r="L671" s="27" t="str">
        <f t="shared" si="223"/>
        <v xml:space="preserve"> </v>
      </c>
      <c r="N671" s="27" t="str">
        <f t="shared" si="222"/>
        <v xml:space="preserve"> </v>
      </c>
      <c r="O671" s="27">
        <f t="shared" si="217"/>
        <v>0</v>
      </c>
      <c r="P671" s="28" t="str">
        <f t="shared" si="221"/>
        <v>On time</v>
      </c>
      <c r="Q671" s="27">
        <f t="shared" si="218"/>
        <v>0</v>
      </c>
      <c r="R671" s="29" t="s">
        <v>1273</v>
      </c>
      <c r="S671" s="12" t="s">
        <v>1274</v>
      </c>
      <c r="T671" s="35">
        <v>62</v>
      </c>
      <c r="U671" t="s">
        <v>1167</v>
      </c>
      <c r="V671" s="27">
        <v>500</v>
      </c>
      <c r="W671" s="9">
        <v>0.68</v>
      </c>
      <c r="X671" s="9">
        <f t="shared" si="219"/>
        <v>340</v>
      </c>
      <c r="Z671" s="10">
        <v>46021</v>
      </c>
      <c r="AA671" s="10">
        <v>46094</v>
      </c>
      <c r="AB671" s="10">
        <v>46157</v>
      </c>
      <c r="AC671" s="10">
        <v>46222</v>
      </c>
      <c r="AD671" s="31">
        <f t="shared" ca="1" si="215"/>
        <v>41</v>
      </c>
      <c r="AE671" s="36" t="s">
        <v>247</v>
      </c>
      <c r="AF671" t="s">
        <v>62</v>
      </c>
      <c r="AG671" s="10" t="s">
        <v>79</v>
      </c>
      <c r="AI671" s="9" t="s">
        <v>53</v>
      </c>
      <c r="AL671" s="9" t="s">
        <v>1319</v>
      </c>
      <c r="AM671" s="27" t="str">
        <f t="shared" si="216"/>
        <v>Atrasado</v>
      </c>
      <c r="AN671" s="27" t="str">
        <f t="shared" ca="1" si="224"/>
        <v>Estoque</v>
      </c>
      <c r="AO671" s="27" t="str">
        <f t="shared" ca="1" si="220"/>
        <v/>
      </c>
      <c r="AP671" t="s">
        <v>1318</v>
      </c>
    </row>
    <row r="672" spans="4:42" ht="15" hidden="1" customHeight="1">
      <c r="D672" t="s">
        <v>1168</v>
      </c>
      <c r="E672" s="23" t="s">
        <v>1840</v>
      </c>
      <c r="F672" s="24"/>
      <c r="I672" s="26"/>
      <c r="L672" s="27" t="str">
        <f t="shared" si="223"/>
        <v xml:space="preserve"> </v>
      </c>
      <c r="N672" s="27" t="str">
        <f t="shared" si="222"/>
        <v xml:space="preserve"> </v>
      </c>
      <c r="O672" s="27">
        <f t="shared" si="217"/>
        <v>0</v>
      </c>
      <c r="P672" s="28" t="str">
        <f t="shared" si="221"/>
        <v>On time</v>
      </c>
      <c r="Q672" s="27">
        <f t="shared" si="218"/>
        <v>0</v>
      </c>
      <c r="R672" s="29" t="s">
        <v>1273</v>
      </c>
      <c r="S672" s="12" t="s">
        <v>1274</v>
      </c>
      <c r="T672" s="35">
        <v>63</v>
      </c>
      <c r="U672" t="s">
        <v>1168</v>
      </c>
      <c r="V672" s="27">
        <v>100</v>
      </c>
      <c r="W672" s="9">
        <v>2.42</v>
      </c>
      <c r="X672" s="9">
        <f t="shared" si="219"/>
        <v>242</v>
      </c>
      <c r="Z672" s="10">
        <v>46021</v>
      </c>
      <c r="AA672" s="10">
        <v>46094</v>
      </c>
      <c r="AB672" s="10">
        <v>46157</v>
      </c>
      <c r="AC672" s="10">
        <v>46222</v>
      </c>
      <c r="AD672" s="31">
        <f t="shared" ca="1" si="215"/>
        <v>41</v>
      </c>
      <c r="AE672" s="36" t="s">
        <v>247</v>
      </c>
      <c r="AF672" t="s">
        <v>62</v>
      </c>
      <c r="AG672" s="10" t="s">
        <v>79</v>
      </c>
      <c r="AI672" s="9" t="s">
        <v>53</v>
      </c>
      <c r="AL672" s="9" t="s">
        <v>1319</v>
      </c>
      <c r="AM672" s="27" t="str">
        <f t="shared" si="216"/>
        <v>Atrasado</v>
      </c>
      <c r="AN672" s="27" t="str">
        <f t="shared" ca="1" si="224"/>
        <v>Estoque</v>
      </c>
      <c r="AO672" s="27" t="str">
        <f t="shared" ca="1" si="220"/>
        <v/>
      </c>
      <c r="AP672" t="s">
        <v>1318</v>
      </c>
    </row>
    <row r="673" spans="4:42" ht="15" hidden="1" customHeight="1">
      <c r="D673" t="s">
        <v>1169</v>
      </c>
      <c r="E673" s="23" t="s">
        <v>1841</v>
      </c>
      <c r="F673" s="24"/>
      <c r="I673" s="26"/>
      <c r="L673" s="27" t="str">
        <f t="shared" si="223"/>
        <v xml:space="preserve"> </v>
      </c>
      <c r="N673" s="27" t="str">
        <f t="shared" si="222"/>
        <v xml:space="preserve"> </v>
      </c>
      <c r="O673" s="27">
        <f t="shared" si="217"/>
        <v>0</v>
      </c>
      <c r="P673" s="28" t="str">
        <f t="shared" si="221"/>
        <v>On time</v>
      </c>
      <c r="Q673" s="27">
        <f t="shared" si="218"/>
        <v>0</v>
      </c>
      <c r="R673" s="29" t="s">
        <v>1273</v>
      </c>
      <c r="S673" s="12" t="s">
        <v>1274</v>
      </c>
      <c r="T673" s="35">
        <v>64</v>
      </c>
      <c r="U673" t="s">
        <v>1169</v>
      </c>
      <c r="V673" s="27">
        <v>500</v>
      </c>
      <c r="W673" s="9">
        <v>0.76</v>
      </c>
      <c r="X673" s="9">
        <f t="shared" si="219"/>
        <v>380</v>
      </c>
      <c r="Z673" s="10">
        <v>46021</v>
      </c>
      <c r="AA673" s="10">
        <v>46094</v>
      </c>
      <c r="AB673" s="10">
        <v>46157</v>
      </c>
      <c r="AC673" s="10">
        <v>46222</v>
      </c>
      <c r="AD673" s="31">
        <f t="shared" ca="1" si="215"/>
        <v>41</v>
      </c>
      <c r="AE673" s="36" t="s">
        <v>247</v>
      </c>
      <c r="AF673" t="s">
        <v>62</v>
      </c>
      <c r="AG673" s="10" t="s">
        <v>79</v>
      </c>
      <c r="AI673" s="9" t="s">
        <v>53</v>
      </c>
      <c r="AL673" s="9" t="s">
        <v>1319</v>
      </c>
      <c r="AM673" s="27" t="str">
        <f t="shared" si="216"/>
        <v>Atrasado</v>
      </c>
      <c r="AN673" s="27" t="str">
        <f t="shared" ca="1" si="224"/>
        <v>Estoque</v>
      </c>
      <c r="AO673" s="27" t="str">
        <f t="shared" ca="1" si="220"/>
        <v/>
      </c>
      <c r="AP673" t="s">
        <v>1318</v>
      </c>
    </row>
    <row r="674" spans="4:42" ht="15" hidden="1" customHeight="1">
      <c r="D674" t="s">
        <v>1170</v>
      </c>
      <c r="E674" s="23" t="s">
        <v>1842</v>
      </c>
      <c r="F674" s="24"/>
      <c r="I674" s="26"/>
      <c r="L674" s="27" t="str">
        <f t="shared" si="223"/>
        <v xml:space="preserve"> </v>
      </c>
      <c r="N674" s="27" t="str">
        <f t="shared" si="222"/>
        <v xml:space="preserve"> </v>
      </c>
      <c r="O674" s="27">
        <f t="shared" si="217"/>
        <v>0</v>
      </c>
      <c r="P674" s="28" t="str">
        <f t="shared" si="221"/>
        <v>On time</v>
      </c>
      <c r="Q674" s="27">
        <f t="shared" si="218"/>
        <v>0</v>
      </c>
      <c r="R674" s="29" t="s">
        <v>1273</v>
      </c>
      <c r="S674" s="12" t="s">
        <v>1274</v>
      </c>
      <c r="T674" s="35">
        <v>65</v>
      </c>
      <c r="U674" t="s">
        <v>1170</v>
      </c>
      <c r="V674" s="27">
        <v>20</v>
      </c>
      <c r="W674" s="9">
        <v>1.1399999999999999</v>
      </c>
      <c r="X674" s="9">
        <f t="shared" si="219"/>
        <v>22.799999999999997</v>
      </c>
      <c r="Z674" s="10">
        <v>46021</v>
      </c>
      <c r="AA674" s="10">
        <v>46094</v>
      </c>
      <c r="AB674" s="10">
        <v>46157</v>
      </c>
      <c r="AC674" s="10">
        <v>46222</v>
      </c>
      <c r="AD674" s="31">
        <f t="shared" ref="AD674:AD737" ca="1" si="225">TODAY()-AA674</f>
        <v>41</v>
      </c>
      <c r="AE674" s="36" t="s">
        <v>247</v>
      </c>
      <c r="AF674" t="s">
        <v>62</v>
      </c>
      <c r="AG674" s="10" t="s">
        <v>79</v>
      </c>
      <c r="AI674" s="9" t="s">
        <v>53</v>
      </c>
      <c r="AL674" s="9" t="s">
        <v>1319</v>
      </c>
      <c r="AM674" s="27" t="str">
        <f t="shared" ref="AM674:AM737" si="226">IF(AB674=0," ",IF(AB674&lt;=AA674+10,"On time","Atrasado"))</f>
        <v>Atrasado</v>
      </c>
      <c r="AN674" s="27" t="str">
        <f t="shared" ca="1" si="224"/>
        <v>Estoque</v>
      </c>
      <c r="AO674" s="27" t="str">
        <f t="shared" ca="1" si="220"/>
        <v/>
      </c>
      <c r="AP674" t="s">
        <v>1318</v>
      </c>
    </row>
    <row r="675" spans="4:42" ht="15" hidden="1" customHeight="1">
      <c r="D675" t="s">
        <v>1171</v>
      </c>
      <c r="E675" s="23" t="s">
        <v>1843</v>
      </c>
      <c r="F675" s="24"/>
      <c r="I675" s="26"/>
      <c r="L675" s="27" t="str">
        <f t="shared" si="223"/>
        <v xml:space="preserve"> </v>
      </c>
      <c r="N675" s="27" t="str">
        <f t="shared" si="222"/>
        <v xml:space="preserve"> </v>
      </c>
      <c r="O675" s="27">
        <f t="shared" si="217"/>
        <v>0</v>
      </c>
      <c r="P675" s="28" t="str">
        <f t="shared" si="221"/>
        <v>On time</v>
      </c>
      <c r="Q675" s="27">
        <f t="shared" si="218"/>
        <v>0</v>
      </c>
      <c r="R675" s="29" t="s">
        <v>1273</v>
      </c>
      <c r="S675" s="12" t="s">
        <v>1274</v>
      </c>
      <c r="T675" s="35">
        <v>66</v>
      </c>
      <c r="U675" t="s">
        <v>1171</v>
      </c>
      <c r="V675" s="27">
        <v>1000</v>
      </c>
      <c r="W675" s="9">
        <v>0.98</v>
      </c>
      <c r="X675" s="9">
        <f t="shared" si="219"/>
        <v>980</v>
      </c>
      <c r="Z675" s="10">
        <v>46021</v>
      </c>
      <c r="AA675" s="10">
        <v>46094</v>
      </c>
      <c r="AB675" s="10">
        <v>46157</v>
      </c>
      <c r="AC675" s="10">
        <v>46222</v>
      </c>
      <c r="AD675" s="31">
        <f t="shared" ca="1" si="225"/>
        <v>41</v>
      </c>
      <c r="AE675" s="36" t="s">
        <v>247</v>
      </c>
      <c r="AF675" t="s">
        <v>62</v>
      </c>
      <c r="AG675" s="10" t="s">
        <v>79</v>
      </c>
      <c r="AI675" s="9" t="s">
        <v>53</v>
      </c>
      <c r="AL675" s="9" t="s">
        <v>1319</v>
      </c>
      <c r="AM675" s="27" t="str">
        <f t="shared" si="226"/>
        <v>Atrasado</v>
      </c>
      <c r="AN675" s="27" t="str">
        <f t="shared" ca="1" si="224"/>
        <v>Estoque</v>
      </c>
      <c r="AO675" s="27" t="str">
        <f t="shared" ca="1" si="220"/>
        <v/>
      </c>
      <c r="AP675" t="s">
        <v>1318</v>
      </c>
    </row>
    <row r="676" spans="4:42" ht="15" hidden="1" customHeight="1">
      <c r="D676" t="s">
        <v>1172</v>
      </c>
      <c r="E676" s="23" t="s">
        <v>1844</v>
      </c>
      <c r="F676" s="24"/>
      <c r="I676" s="26"/>
      <c r="L676" s="27" t="str">
        <f t="shared" si="223"/>
        <v xml:space="preserve"> </v>
      </c>
      <c r="N676" s="27" t="str">
        <f t="shared" si="222"/>
        <v xml:space="preserve"> </v>
      </c>
      <c r="O676" s="27">
        <f t="shared" si="217"/>
        <v>0</v>
      </c>
      <c r="P676" s="28" t="str">
        <f t="shared" si="221"/>
        <v>On time</v>
      </c>
      <c r="Q676" s="27">
        <f t="shared" si="218"/>
        <v>0</v>
      </c>
      <c r="R676" s="29" t="s">
        <v>1273</v>
      </c>
      <c r="S676" s="12" t="s">
        <v>1274</v>
      </c>
      <c r="T676" s="35">
        <v>67</v>
      </c>
      <c r="U676" t="s">
        <v>1172</v>
      </c>
      <c r="V676" s="27">
        <v>2000</v>
      </c>
      <c r="W676" s="9">
        <v>0.68</v>
      </c>
      <c r="X676" s="9">
        <f t="shared" si="219"/>
        <v>1360</v>
      </c>
      <c r="Z676" s="10">
        <v>46021</v>
      </c>
      <c r="AA676" s="10">
        <v>46094</v>
      </c>
      <c r="AB676" s="10">
        <v>46157</v>
      </c>
      <c r="AC676" s="10">
        <v>46222</v>
      </c>
      <c r="AD676" s="31">
        <f t="shared" ca="1" si="225"/>
        <v>41</v>
      </c>
      <c r="AE676" s="36" t="s">
        <v>247</v>
      </c>
      <c r="AF676" t="s">
        <v>62</v>
      </c>
      <c r="AG676" s="10" t="s">
        <v>79</v>
      </c>
      <c r="AI676" s="9" t="s">
        <v>53</v>
      </c>
      <c r="AL676" s="9" t="s">
        <v>1319</v>
      </c>
      <c r="AM676" s="27" t="str">
        <f t="shared" si="226"/>
        <v>Atrasado</v>
      </c>
      <c r="AN676" s="27" t="str">
        <f t="shared" ca="1" si="224"/>
        <v>Estoque</v>
      </c>
      <c r="AO676" s="27" t="str">
        <f t="shared" ca="1" si="220"/>
        <v/>
      </c>
      <c r="AP676" t="s">
        <v>1318</v>
      </c>
    </row>
    <row r="677" spans="4:42" ht="15" hidden="1" customHeight="1">
      <c r="D677" t="s">
        <v>1173</v>
      </c>
      <c r="E677" s="23" t="s">
        <v>1845</v>
      </c>
      <c r="F677" s="24"/>
      <c r="I677" s="26"/>
      <c r="L677" s="27" t="str">
        <f t="shared" si="223"/>
        <v xml:space="preserve"> </v>
      </c>
      <c r="N677" s="27" t="str">
        <f t="shared" si="222"/>
        <v xml:space="preserve"> </v>
      </c>
      <c r="O677" s="27">
        <f t="shared" si="217"/>
        <v>0</v>
      </c>
      <c r="P677" s="28" t="str">
        <f t="shared" si="221"/>
        <v>On time</v>
      </c>
      <c r="Q677" s="27">
        <f t="shared" si="218"/>
        <v>0</v>
      </c>
      <c r="R677" s="29" t="s">
        <v>1273</v>
      </c>
      <c r="S677" s="12" t="s">
        <v>1274</v>
      </c>
      <c r="T677" s="35">
        <v>68</v>
      </c>
      <c r="U677" t="s">
        <v>1173</v>
      </c>
      <c r="V677" s="27">
        <v>200</v>
      </c>
      <c r="W677" s="9">
        <v>1.21</v>
      </c>
      <c r="X677" s="9">
        <f t="shared" si="219"/>
        <v>242</v>
      </c>
      <c r="Z677" s="10">
        <v>46021</v>
      </c>
      <c r="AA677" s="10">
        <v>46094</v>
      </c>
      <c r="AB677" s="10">
        <v>46157</v>
      </c>
      <c r="AC677" s="10">
        <v>46222</v>
      </c>
      <c r="AD677" s="31">
        <f t="shared" ca="1" si="225"/>
        <v>41</v>
      </c>
      <c r="AE677" s="36" t="s">
        <v>247</v>
      </c>
      <c r="AF677" t="s">
        <v>62</v>
      </c>
      <c r="AG677" s="10" t="s">
        <v>79</v>
      </c>
      <c r="AI677" s="9" t="s">
        <v>53</v>
      </c>
      <c r="AL677" s="9" t="s">
        <v>1319</v>
      </c>
      <c r="AM677" s="27" t="str">
        <f t="shared" si="226"/>
        <v>Atrasado</v>
      </c>
      <c r="AN677" s="27" t="str">
        <f t="shared" ca="1" si="224"/>
        <v>Estoque</v>
      </c>
      <c r="AO677" s="27" t="str">
        <f t="shared" ca="1" si="220"/>
        <v/>
      </c>
      <c r="AP677" t="s">
        <v>1318</v>
      </c>
    </row>
    <row r="678" spans="4:42" ht="15" hidden="1" customHeight="1">
      <c r="D678" t="s">
        <v>1174</v>
      </c>
      <c r="E678" s="23" t="s">
        <v>1846</v>
      </c>
      <c r="F678" s="24"/>
      <c r="I678" s="26"/>
      <c r="L678" s="27" t="str">
        <f t="shared" si="223"/>
        <v xml:space="preserve"> </v>
      </c>
      <c r="N678" s="27" t="str">
        <f t="shared" si="222"/>
        <v xml:space="preserve"> </v>
      </c>
      <c r="O678" s="27">
        <f t="shared" si="217"/>
        <v>0</v>
      </c>
      <c r="P678" s="28" t="str">
        <f t="shared" si="221"/>
        <v>On time</v>
      </c>
      <c r="Q678" s="27">
        <f t="shared" si="218"/>
        <v>0</v>
      </c>
      <c r="R678" s="29" t="s">
        <v>1273</v>
      </c>
      <c r="S678" s="12" t="s">
        <v>1274</v>
      </c>
      <c r="T678" s="35">
        <v>69</v>
      </c>
      <c r="U678" t="s">
        <v>1174</v>
      </c>
      <c r="V678" s="27">
        <v>1000</v>
      </c>
      <c r="W678" s="9">
        <v>0.74</v>
      </c>
      <c r="X678" s="9">
        <f t="shared" si="219"/>
        <v>740</v>
      </c>
      <c r="Z678" s="10">
        <v>46021</v>
      </c>
      <c r="AA678" s="10">
        <v>46094</v>
      </c>
      <c r="AB678" s="10">
        <v>46157</v>
      </c>
      <c r="AC678" s="10">
        <v>46222</v>
      </c>
      <c r="AD678" s="31">
        <f t="shared" ca="1" si="225"/>
        <v>41</v>
      </c>
      <c r="AE678" s="36" t="s">
        <v>247</v>
      </c>
      <c r="AF678" t="s">
        <v>62</v>
      </c>
      <c r="AG678" s="10" t="s">
        <v>79</v>
      </c>
      <c r="AI678" s="9" t="s">
        <v>53</v>
      </c>
      <c r="AL678" s="9" t="s">
        <v>1319</v>
      </c>
      <c r="AM678" s="27" t="str">
        <f t="shared" si="226"/>
        <v>Atrasado</v>
      </c>
      <c r="AN678" s="27" t="str">
        <f t="shared" ca="1" si="224"/>
        <v>Estoque</v>
      </c>
      <c r="AO678" s="27" t="str">
        <f t="shared" ca="1" si="220"/>
        <v/>
      </c>
      <c r="AP678" t="s">
        <v>1318</v>
      </c>
    </row>
    <row r="679" spans="4:42" ht="15" hidden="1" customHeight="1">
      <c r="D679" t="s">
        <v>1175</v>
      </c>
      <c r="E679" s="23" t="s">
        <v>1847</v>
      </c>
      <c r="F679" s="24"/>
      <c r="I679" s="26"/>
      <c r="L679" s="27" t="str">
        <f t="shared" si="223"/>
        <v xml:space="preserve"> </v>
      </c>
      <c r="N679" s="27" t="str">
        <f t="shared" si="222"/>
        <v xml:space="preserve"> </v>
      </c>
      <c r="O679" s="27">
        <f t="shared" si="217"/>
        <v>0</v>
      </c>
      <c r="P679" s="28" t="str">
        <f t="shared" si="221"/>
        <v>On time</v>
      </c>
      <c r="Q679" s="27">
        <f t="shared" si="218"/>
        <v>0</v>
      </c>
      <c r="R679" s="29" t="s">
        <v>1273</v>
      </c>
      <c r="S679" s="12" t="s">
        <v>1274</v>
      </c>
      <c r="T679" s="35">
        <v>70</v>
      </c>
      <c r="U679" t="s">
        <v>1175</v>
      </c>
      <c r="V679" s="27">
        <v>100</v>
      </c>
      <c r="W679" s="9">
        <v>0.74</v>
      </c>
      <c r="X679" s="9">
        <f t="shared" si="219"/>
        <v>74</v>
      </c>
      <c r="Z679" s="10">
        <v>46021</v>
      </c>
      <c r="AA679" s="10">
        <v>46094</v>
      </c>
      <c r="AB679" s="10">
        <v>46157</v>
      </c>
      <c r="AC679" s="10">
        <v>46222</v>
      </c>
      <c r="AD679" s="31">
        <f t="shared" ca="1" si="225"/>
        <v>41</v>
      </c>
      <c r="AE679" s="36" t="s">
        <v>247</v>
      </c>
      <c r="AF679" t="s">
        <v>62</v>
      </c>
      <c r="AG679" s="10" t="s">
        <v>79</v>
      </c>
      <c r="AI679" s="9" t="s">
        <v>53</v>
      </c>
      <c r="AL679" s="9" t="s">
        <v>1319</v>
      </c>
      <c r="AM679" s="27" t="str">
        <f t="shared" si="226"/>
        <v>Atrasado</v>
      </c>
      <c r="AN679" s="27" t="str">
        <f t="shared" ca="1" si="224"/>
        <v>Estoque</v>
      </c>
      <c r="AO679" s="27" t="str">
        <f t="shared" ca="1" si="220"/>
        <v/>
      </c>
      <c r="AP679" t="s">
        <v>1318</v>
      </c>
    </row>
    <row r="680" spans="4:42" ht="15" hidden="1" customHeight="1">
      <c r="D680" t="s">
        <v>1176</v>
      </c>
      <c r="E680" s="23" t="s">
        <v>1848</v>
      </c>
      <c r="F680" s="24"/>
      <c r="I680" s="26"/>
      <c r="L680" s="27" t="str">
        <f t="shared" si="223"/>
        <v xml:space="preserve"> </v>
      </c>
      <c r="N680" s="27" t="str">
        <f t="shared" si="222"/>
        <v xml:space="preserve"> </v>
      </c>
      <c r="O680" s="27">
        <f t="shared" si="217"/>
        <v>0</v>
      </c>
      <c r="P680" s="28" t="str">
        <f t="shared" si="221"/>
        <v>On time</v>
      </c>
      <c r="Q680" s="27">
        <f t="shared" si="218"/>
        <v>0</v>
      </c>
      <c r="R680" s="29" t="s">
        <v>1273</v>
      </c>
      <c r="S680" s="12" t="s">
        <v>1274</v>
      </c>
      <c r="T680" s="35">
        <v>71</v>
      </c>
      <c r="U680" t="s">
        <v>1176</v>
      </c>
      <c r="V680" s="27">
        <v>50</v>
      </c>
      <c r="W680" s="9">
        <v>1.67</v>
      </c>
      <c r="X680" s="9">
        <f t="shared" si="219"/>
        <v>83.5</v>
      </c>
      <c r="Z680" s="10">
        <v>46021</v>
      </c>
      <c r="AA680" s="10">
        <v>46094</v>
      </c>
      <c r="AB680" s="10">
        <v>46157</v>
      </c>
      <c r="AC680" s="10">
        <v>46222</v>
      </c>
      <c r="AD680" s="31">
        <f t="shared" ca="1" si="225"/>
        <v>41</v>
      </c>
      <c r="AE680" s="36" t="s">
        <v>247</v>
      </c>
      <c r="AF680" t="s">
        <v>62</v>
      </c>
      <c r="AG680" s="10" t="s">
        <v>79</v>
      </c>
      <c r="AI680" s="9" t="s">
        <v>53</v>
      </c>
      <c r="AL680" s="9" t="s">
        <v>1319</v>
      </c>
      <c r="AM680" s="27" t="str">
        <f t="shared" si="226"/>
        <v>Atrasado</v>
      </c>
      <c r="AN680" s="27" t="str">
        <f t="shared" ca="1" si="224"/>
        <v>Estoque</v>
      </c>
      <c r="AO680" s="27" t="str">
        <f t="shared" ca="1" si="220"/>
        <v/>
      </c>
      <c r="AP680" t="s">
        <v>1318</v>
      </c>
    </row>
    <row r="681" spans="4:42" ht="15" hidden="1" customHeight="1">
      <c r="D681" t="s">
        <v>1177</v>
      </c>
      <c r="E681" s="23" t="s">
        <v>1849</v>
      </c>
      <c r="F681" s="24"/>
      <c r="I681" s="26"/>
      <c r="L681" s="27" t="str">
        <f t="shared" si="223"/>
        <v xml:space="preserve"> </v>
      </c>
      <c r="N681" s="27" t="str">
        <f t="shared" si="222"/>
        <v xml:space="preserve"> </v>
      </c>
      <c r="O681" s="27">
        <f t="shared" si="217"/>
        <v>0</v>
      </c>
      <c r="P681" s="28" t="str">
        <f t="shared" si="221"/>
        <v>On time</v>
      </c>
      <c r="Q681" s="27">
        <f t="shared" si="218"/>
        <v>0</v>
      </c>
      <c r="R681" s="29" t="s">
        <v>1273</v>
      </c>
      <c r="S681" s="12" t="s">
        <v>1274</v>
      </c>
      <c r="T681" s="35">
        <v>72</v>
      </c>
      <c r="U681" t="s">
        <v>1177</v>
      </c>
      <c r="V681" s="27">
        <v>50</v>
      </c>
      <c r="W681" s="9">
        <v>0.74</v>
      </c>
      <c r="X681" s="9">
        <f t="shared" si="219"/>
        <v>37</v>
      </c>
      <c r="Z681" s="10">
        <v>46021</v>
      </c>
      <c r="AA681" s="10">
        <v>46094</v>
      </c>
      <c r="AB681" s="10">
        <v>46157</v>
      </c>
      <c r="AC681" s="10">
        <v>46222</v>
      </c>
      <c r="AD681" s="31">
        <f t="shared" ca="1" si="225"/>
        <v>41</v>
      </c>
      <c r="AE681" s="36" t="s">
        <v>247</v>
      </c>
      <c r="AF681" t="s">
        <v>62</v>
      </c>
      <c r="AG681" s="10" t="s">
        <v>79</v>
      </c>
      <c r="AI681" s="9" t="s">
        <v>53</v>
      </c>
      <c r="AL681" s="9" t="s">
        <v>1319</v>
      </c>
      <c r="AM681" s="27" t="str">
        <f t="shared" si="226"/>
        <v>Atrasado</v>
      </c>
      <c r="AN681" s="27" t="str">
        <f t="shared" ca="1" si="224"/>
        <v>Estoque</v>
      </c>
      <c r="AO681" s="27" t="str">
        <f t="shared" ca="1" si="220"/>
        <v/>
      </c>
      <c r="AP681" t="s">
        <v>1318</v>
      </c>
    </row>
    <row r="682" spans="4:42" ht="15" hidden="1" customHeight="1">
      <c r="D682" t="s">
        <v>1178</v>
      </c>
      <c r="E682" s="23" t="s">
        <v>1850</v>
      </c>
      <c r="F682" s="24"/>
      <c r="I682" s="26"/>
      <c r="L682" s="27" t="str">
        <f t="shared" si="223"/>
        <v xml:space="preserve"> </v>
      </c>
      <c r="N682" s="27" t="str">
        <f t="shared" si="222"/>
        <v xml:space="preserve"> </v>
      </c>
      <c r="O682" s="27">
        <f t="shared" si="217"/>
        <v>0</v>
      </c>
      <c r="P682" s="28" t="str">
        <f t="shared" si="221"/>
        <v>On time</v>
      </c>
      <c r="Q682" s="27">
        <f t="shared" si="218"/>
        <v>0</v>
      </c>
      <c r="R682" s="29" t="s">
        <v>1273</v>
      </c>
      <c r="S682" s="12" t="s">
        <v>1274</v>
      </c>
      <c r="T682" s="35">
        <v>73</v>
      </c>
      <c r="U682" t="s">
        <v>1178</v>
      </c>
      <c r="V682" s="27">
        <v>500</v>
      </c>
      <c r="W682" s="9">
        <v>0.53</v>
      </c>
      <c r="X682" s="9">
        <f t="shared" si="219"/>
        <v>265</v>
      </c>
      <c r="Z682" s="10">
        <v>46021</v>
      </c>
      <c r="AA682" s="10">
        <v>46094</v>
      </c>
      <c r="AB682" s="10">
        <v>46157</v>
      </c>
      <c r="AC682" s="10">
        <v>46222</v>
      </c>
      <c r="AD682" s="31">
        <f t="shared" ca="1" si="225"/>
        <v>41</v>
      </c>
      <c r="AE682" s="36" t="s">
        <v>247</v>
      </c>
      <c r="AF682" t="s">
        <v>62</v>
      </c>
      <c r="AG682" s="10" t="s">
        <v>79</v>
      </c>
      <c r="AI682" s="9" t="s">
        <v>53</v>
      </c>
      <c r="AL682" s="9" t="s">
        <v>1319</v>
      </c>
      <c r="AM682" s="27" t="str">
        <f t="shared" si="226"/>
        <v>Atrasado</v>
      </c>
      <c r="AN682" s="27" t="str">
        <f t="shared" ca="1" si="224"/>
        <v>Estoque</v>
      </c>
      <c r="AO682" s="27" t="str">
        <f t="shared" ca="1" si="220"/>
        <v/>
      </c>
      <c r="AP682" t="s">
        <v>1318</v>
      </c>
    </row>
    <row r="683" spans="4:42" ht="15" hidden="1" customHeight="1">
      <c r="D683" t="s">
        <v>1179</v>
      </c>
      <c r="E683" s="23" t="s">
        <v>1851</v>
      </c>
      <c r="F683" s="24"/>
      <c r="I683" s="26"/>
      <c r="L683" s="27" t="str">
        <f t="shared" si="223"/>
        <v xml:space="preserve"> </v>
      </c>
      <c r="N683" s="27" t="str">
        <f t="shared" si="222"/>
        <v xml:space="preserve"> </v>
      </c>
      <c r="O683" s="27">
        <f t="shared" si="217"/>
        <v>0</v>
      </c>
      <c r="P683" s="28" t="str">
        <f t="shared" si="221"/>
        <v>On time</v>
      </c>
      <c r="Q683" s="27">
        <f t="shared" si="218"/>
        <v>0</v>
      </c>
      <c r="R683" s="29" t="s">
        <v>1273</v>
      </c>
      <c r="S683" s="12" t="s">
        <v>1274</v>
      </c>
      <c r="T683" s="35">
        <v>74</v>
      </c>
      <c r="U683" t="s">
        <v>1179</v>
      </c>
      <c r="V683" s="27">
        <v>500</v>
      </c>
      <c r="W683" s="9">
        <v>1.29</v>
      </c>
      <c r="X683" s="9">
        <f t="shared" si="219"/>
        <v>645</v>
      </c>
      <c r="Z683" s="10">
        <v>46021</v>
      </c>
      <c r="AA683" s="10">
        <v>46094</v>
      </c>
      <c r="AB683" s="10">
        <v>46157</v>
      </c>
      <c r="AC683" s="10">
        <v>46222</v>
      </c>
      <c r="AD683" s="31">
        <f t="shared" ca="1" si="225"/>
        <v>41</v>
      </c>
      <c r="AE683" s="36" t="s">
        <v>247</v>
      </c>
      <c r="AF683" t="s">
        <v>62</v>
      </c>
      <c r="AG683" s="10" t="s">
        <v>79</v>
      </c>
      <c r="AI683" s="9" t="s">
        <v>53</v>
      </c>
      <c r="AL683" s="9" t="s">
        <v>1319</v>
      </c>
      <c r="AM683" s="27" t="str">
        <f t="shared" si="226"/>
        <v>Atrasado</v>
      </c>
      <c r="AN683" s="27" t="str">
        <f t="shared" ca="1" si="224"/>
        <v>Estoque</v>
      </c>
      <c r="AO683" s="27" t="str">
        <f t="shared" ca="1" si="220"/>
        <v/>
      </c>
      <c r="AP683" t="s">
        <v>1318</v>
      </c>
    </row>
    <row r="684" spans="4:42" ht="15" hidden="1" customHeight="1">
      <c r="D684" t="s">
        <v>1180</v>
      </c>
      <c r="E684" s="23" t="s">
        <v>1852</v>
      </c>
      <c r="F684" s="24"/>
      <c r="I684" s="26"/>
      <c r="L684" s="27" t="str">
        <f t="shared" si="223"/>
        <v xml:space="preserve"> </v>
      </c>
      <c r="N684" s="27" t="str">
        <f t="shared" si="222"/>
        <v xml:space="preserve"> </v>
      </c>
      <c r="O684" s="27">
        <f t="shared" si="217"/>
        <v>0</v>
      </c>
      <c r="P684" s="28" t="str">
        <f t="shared" si="221"/>
        <v>On time</v>
      </c>
      <c r="Q684" s="27">
        <f t="shared" si="218"/>
        <v>0</v>
      </c>
      <c r="R684" s="29" t="s">
        <v>1273</v>
      </c>
      <c r="S684" s="12" t="s">
        <v>1274</v>
      </c>
      <c r="T684" s="35">
        <v>75</v>
      </c>
      <c r="U684" t="s">
        <v>1180</v>
      </c>
      <c r="V684" s="27">
        <v>2000</v>
      </c>
      <c r="W684" s="9">
        <v>0.37</v>
      </c>
      <c r="X684" s="9">
        <f t="shared" si="219"/>
        <v>740</v>
      </c>
      <c r="Z684" s="10">
        <v>46021</v>
      </c>
      <c r="AA684" s="10">
        <v>46094</v>
      </c>
      <c r="AB684" s="10">
        <v>46157</v>
      </c>
      <c r="AC684" s="10">
        <v>46222</v>
      </c>
      <c r="AD684" s="31">
        <f t="shared" ca="1" si="225"/>
        <v>41</v>
      </c>
      <c r="AE684" s="36" t="s">
        <v>247</v>
      </c>
      <c r="AF684" t="s">
        <v>62</v>
      </c>
      <c r="AG684" s="10" t="s">
        <v>79</v>
      </c>
      <c r="AI684" s="9" t="s">
        <v>53</v>
      </c>
      <c r="AL684" s="9" t="s">
        <v>1319</v>
      </c>
      <c r="AM684" s="27" t="str">
        <f t="shared" si="226"/>
        <v>Atrasado</v>
      </c>
      <c r="AN684" s="27" t="str">
        <f t="shared" ca="1" si="224"/>
        <v>Estoque</v>
      </c>
      <c r="AO684" s="27" t="str">
        <f t="shared" ca="1" si="220"/>
        <v/>
      </c>
      <c r="AP684" t="s">
        <v>1318</v>
      </c>
    </row>
    <row r="685" spans="4:42" ht="15" hidden="1" customHeight="1">
      <c r="D685" t="s">
        <v>1181</v>
      </c>
      <c r="E685" s="23" t="s">
        <v>1853</v>
      </c>
      <c r="F685" s="24"/>
      <c r="I685" s="26"/>
      <c r="L685" s="27" t="str">
        <f t="shared" si="223"/>
        <v xml:space="preserve"> </v>
      </c>
      <c r="N685" s="27" t="str">
        <f t="shared" si="222"/>
        <v xml:space="preserve"> </v>
      </c>
      <c r="O685" s="27">
        <f t="shared" si="217"/>
        <v>0</v>
      </c>
      <c r="P685" s="28" t="str">
        <f t="shared" si="221"/>
        <v>On time</v>
      </c>
      <c r="Q685" s="27">
        <f t="shared" si="218"/>
        <v>0</v>
      </c>
      <c r="R685" s="29" t="s">
        <v>1273</v>
      </c>
      <c r="S685" s="12" t="s">
        <v>1274</v>
      </c>
      <c r="T685" s="35">
        <v>76</v>
      </c>
      <c r="U685" t="s">
        <v>1181</v>
      </c>
      <c r="V685" s="27">
        <v>50</v>
      </c>
      <c r="W685" s="9">
        <v>0.37</v>
      </c>
      <c r="X685" s="9">
        <f t="shared" si="219"/>
        <v>18.5</v>
      </c>
      <c r="Z685" s="10">
        <v>46021</v>
      </c>
      <c r="AA685" s="10">
        <v>46094</v>
      </c>
      <c r="AB685" s="10">
        <v>46157</v>
      </c>
      <c r="AC685" s="10">
        <v>46222</v>
      </c>
      <c r="AD685" s="31">
        <f t="shared" ca="1" si="225"/>
        <v>41</v>
      </c>
      <c r="AE685" s="36" t="s">
        <v>247</v>
      </c>
      <c r="AF685" t="s">
        <v>62</v>
      </c>
      <c r="AG685" s="10" t="s">
        <v>79</v>
      </c>
      <c r="AI685" s="9" t="s">
        <v>53</v>
      </c>
      <c r="AL685" s="9" t="s">
        <v>1319</v>
      </c>
      <c r="AM685" s="27" t="str">
        <f t="shared" si="226"/>
        <v>Atrasado</v>
      </c>
      <c r="AN685" s="27" t="str">
        <f t="shared" ca="1" si="224"/>
        <v>Estoque</v>
      </c>
      <c r="AO685" s="27" t="str">
        <f t="shared" ca="1" si="220"/>
        <v/>
      </c>
      <c r="AP685" t="s">
        <v>1318</v>
      </c>
    </row>
    <row r="686" spans="4:42" ht="15" hidden="1" customHeight="1">
      <c r="D686" t="s">
        <v>1182</v>
      </c>
      <c r="E686" s="23" t="s">
        <v>1854</v>
      </c>
      <c r="F686" s="24"/>
      <c r="I686" s="26"/>
      <c r="L686" s="27" t="str">
        <f t="shared" si="223"/>
        <v xml:space="preserve"> </v>
      </c>
      <c r="N686" s="27" t="str">
        <f t="shared" si="222"/>
        <v xml:space="preserve"> </v>
      </c>
      <c r="O686" s="27">
        <f t="shared" si="217"/>
        <v>0</v>
      </c>
      <c r="P686" s="28" t="str">
        <f t="shared" si="221"/>
        <v>On time</v>
      </c>
      <c r="Q686" s="27">
        <f t="shared" si="218"/>
        <v>0</v>
      </c>
      <c r="R686" s="29" t="s">
        <v>1273</v>
      </c>
      <c r="S686" s="12" t="s">
        <v>1274</v>
      </c>
      <c r="T686" s="35">
        <v>77</v>
      </c>
      <c r="U686" t="s">
        <v>1182</v>
      </c>
      <c r="V686" s="27">
        <v>200</v>
      </c>
      <c r="W686" s="9">
        <v>0.91</v>
      </c>
      <c r="X686" s="9">
        <f t="shared" si="219"/>
        <v>182</v>
      </c>
      <c r="Z686" s="10">
        <v>46021</v>
      </c>
      <c r="AA686" s="10">
        <v>46094</v>
      </c>
      <c r="AB686" s="10">
        <v>46157</v>
      </c>
      <c r="AC686" s="10">
        <v>46222</v>
      </c>
      <c r="AD686" s="31">
        <f t="shared" ca="1" si="225"/>
        <v>41</v>
      </c>
      <c r="AE686" s="36" t="s">
        <v>247</v>
      </c>
      <c r="AF686" t="s">
        <v>62</v>
      </c>
      <c r="AG686" s="10" t="s">
        <v>79</v>
      </c>
      <c r="AI686" s="9" t="s">
        <v>53</v>
      </c>
      <c r="AL686" s="9" t="s">
        <v>1319</v>
      </c>
      <c r="AM686" s="27" t="str">
        <f t="shared" si="226"/>
        <v>Atrasado</v>
      </c>
      <c r="AN686" s="27" t="str">
        <f t="shared" ca="1" si="224"/>
        <v>Estoque</v>
      </c>
      <c r="AO686" s="27" t="str">
        <f t="shared" ca="1" si="220"/>
        <v/>
      </c>
      <c r="AP686" t="s">
        <v>1318</v>
      </c>
    </row>
    <row r="687" spans="4:42" ht="15" hidden="1" customHeight="1">
      <c r="D687" t="s">
        <v>1183</v>
      </c>
      <c r="E687" s="23" t="s">
        <v>1855</v>
      </c>
      <c r="F687" s="24"/>
      <c r="I687" s="26"/>
      <c r="L687" s="27" t="str">
        <f t="shared" si="223"/>
        <v xml:space="preserve"> </v>
      </c>
      <c r="N687" s="27" t="str">
        <f t="shared" si="222"/>
        <v xml:space="preserve"> </v>
      </c>
      <c r="O687" s="27">
        <f t="shared" si="217"/>
        <v>0</v>
      </c>
      <c r="P687" s="28" t="str">
        <f t="shared" si="221"/>
        <v>On time</v>
      </c>
      <c r="Q687" s="27">
        <f t="shared" si="218"/>
        <v>0</v>
      </c>
      <c r="R687" s="29" t="s">
        <v>1273</v>
      </c>
      <c r="S687" s="12" t="s">
        <v>1274</v>
      </c>
      <c r="T687" s="35">
        <v>78</v>
      </c>
      <c r="U687" t="s">
        <v>1183</v>
      </c>
      <c r="V687" s="27">
        <v>30</v>
      </c>
      <c r="W687" s="9">
        <v>2.12</v>
      </c>
      <c r="X687" s="9">
        <f t="shared" si="219"/>
        <v>63.6</v>
      </c>
      <c r="Z687" s="10">
        <v>46021</v>
      </c>
      <c r="AA687" s="10">
        <v>46094</v>
      </c>
      <c r="AB687" s="10">
        <v>46157</v>
      </c>
      <c r="AC687" s="10">
        <v>46222</v>
      </c>
      <c r="AD687" s="31">
        <f t="shared" ca="1" si="225"/>
        <v>41</v>
      </c>
      <c r="AE687" s="36" t="s">
        <v>247</v>
      </c>
      <c r="AF687" t="s">
        <v>62</v>
      </c>
      <c r="AG687" s="10" t="s">
        <v>79</v>
      </c>
      <c r="AI687" s="9" t="s">
        <v>53</v>
      </c>
      <c r="AL687" s="9" t="s">
        <v>1319</v>
      </c>
      <c r="AM687" s="27" t="str">
        <f t="shared" si="226"/>
        <v>Atrasado</v>
      </c>
      <c r="AN687" s="27" t="str">
        <f t="shared" ca="1" si="224"/>
        <v>Estoque</v>
      </c>
      <c r="AO687" s="27" t="str">
        <f t="shared" ca="1" si="220"/>
        <v/>
      </c>
      <c r="AP687" t="s">
        <v>1318</v>
      </c>
    </row>
    <row r="688" spans="4:42" ht="15" hidden="1" customHeight="1">
      <c r="D688" t="s">
        <v>1184</v>
      </c>
      <c r="E688" s="23" t="s">
        <v>1856</v>
      </c>
      <c r="F688" s="24"/>
      <c r="I688" s="26"/>
      <c r="L688" s="27" t="str">
        <f t="shared" si="223"/>
        <v xml:space="preserve"> </v>
      </c>
      <c r="N688" s="27" t="str">
        <f t="shared" si="222"/>
        <v xml:space="preserve"> </v>
      </c>
      <c r="O688" s="27">
        <f t="shared" si="217"/>
        <v>0</v>
      </c>
      <c r="P688" s="28" t="str">
        <f t="shared" si="221"/>
        <v>On time</v>
      </c>
      <c r="Q688" s="27">
        <f t="shared" si="218"/>
        <v>0</v>
      </c>
      <c r="R688" s="29" t="s">
        <v>1273</v>
      </c>
      <c r="S688" s="12" t="s">
        <v>1274</v>
      </c>
      <c r="T688" s="35">
        <v>79</v>
      </c>
      <c r="U688" t="s">
        <v>1184</v>
      </c>
      <c r="V688" s="27">
        <v>1500</v>
      </c>
      <c r="W688" s="9">
        <v>0.45</v>
      </c>
      <c r="X688" s="9">
        <f t="shared" si="219"/>
        <v>675</v>
      </c>
      <c r="Z688" s="10">
        <v>46021</v>
      </c>
      <c r="AA688" s="10">
        <v>46094</v>
      </c>
      <c r="AB688" s="10">
        <v>46157</v>
      </c>
      <c r="AC688" s="10">
        <v>46222</v>
      </c>
      <c r="AD688" s="31">
        <f t="shared" ca="1" si="225"/>
        <v>41</v>
      </c>
      <c r="AE688" s="36" t="s">
        <v>247</v>
      </c>
      <c r="AF688" t="s">
        <v>62</v>
      </c>
      <c r="AG688" s="10" t="s">
        <v>79</v>
      </c>
      <c r="AI688" s="9" t="s">
        <v>53</v>
      </c>
      <c r="AL688" s="9" t="s">
        <v>1319</v>
      </c>
      <c r="AM688" s="27" t="str">
        <f t="shared" si="226"/>
        <v>Atrasado</v>
      </c>
      <c r="AN688" s="27" t="str">
        <f t="shared" ca="1" si="224"/>
        <v>Estoque</v>
      </c>
      <c r="AO688" s="27" t="str">
        <f t="shared" ca="1" si="220"/>
        <v/>
      </c>
      <c r="AP688" t="s">
        <v>1318</v>
      </c>
    </row>
    <row r="689" spans="4:42" ht="15" hidden="1" customHeight="1">
      <c r="D689" t="s">
        <v>1185</v>
      </c>
      <c r="E689" s="23" t="s">
        <v>1857</v>
      </c>
      <c r="F689" s="24"/>
      <c r="I689" s="26"/>
      <c r="L689" s="27" t="str">
        <f t="shared" si="223"/>
        <v xml:space="preserve"> </v>
      </c>
      <c r="N689" s="27" t="str">
        <f t="shared" si="222"/>
        <v xml:space="preserve"> </v>
      </c>
      <c r="O689" s="27">
        <f t="shared" si="217"/>
        <v>0</v>
      </c>
      <c r="P689" s="28" t="str">
        <f t="shared" si="221"/>
        <v>On time</v>
      </c>
      <c r="Q689" s="27">
        <f t="shared" si="218"/>
        <v>0</v>
      </c>
      <c r="R689" s="29" t="s">
        <v>1273</v>
      </c>
      <c r="S689" s="12" t="s">
        <v>1274</v>
      </c>
      <c r="T689" s="35">
        <v>80</v>
      </c>
      <c r="U689" t="s">
        <v>1185</v>
      </c>
      <c r="V689" s="27">
        <v>1000</v>
      </c>
      <c r="W689" s="9">
        <v>0.76</v>
      </c>
      <c r="X689" s="9">
        <f t="shared" si="219"/>
        <v>760</v>
      </c>
      <c r="Z689" s="10">
        <v>46021</v>
      </c>
      <c r="AA689" s="10">
        <v>46094</v>
      </c>
      <c r="AB689" s="10">
        <v>46157</v>
      </c>
      <c r="AC689" s="10">
        <v>46222</v>
      </c>
      <c r="AD689" s="31">
        <f t="shared" ca="1" si="225"/>
        <v>41</v>
      </c>
      <c r="AE689" s="36" t="s">
        <v>247</v>
      </c>
      <c r="AF689" t="s">
        <v>62</v>
      </c>
      <c r="AG689" s="10" t="s">
        <v>79</v>
      </c>
      <c r="AI689" s="9" t="s">
        <v>53</v>
      </c>
      <c r="AL689" s="9" t="s">
        <v>1319</v>
      </c>
      <c r="AM689" s="27" t="str">
        <f t="shared" si="226"/>
        <v>Atrasado</v>
      </c>
      <c r="AN689" s="27" t="str">
        <f t="shared" ca="1" si="224"/>
        <v>Estoque</v>
      </c>
      <c r="AO689" s="27" t="str">
        <f t="shared" ca="1" si="220"/>
        <v/>
      </c>
      <c r="AP689" t="s">
        <v>1318</v>
      </c>
    </row>
    <row r="690" spans="4:42" ht="15" hidden="1" customHeight="1">
      <c r="D690" t="s">
        <v>1186</v>
      </c>
      <c r="E690" s="23" t="s">
        <v>1858</v>
      </c>
      <c r="F690" s="24"/>
      <c r="I690" s="26"/>
      <c r="L690" s="27" t="str">
        <f t="shared" si="223"/>
        <v xml:space="preserve"> </v>
      </c>
      <c r="N690" s="27" t="str">
        <f t="shared" si="222"/>
        <v xml:space="preserve"> </v>
      </c>
      <c r="O690" s="27">
        <f t="shared" si="217"/>
        <v>0</v>
      </c>
      <c r="P690" s="28" t="str">
        <f t="shared" si="221"/>
        <v>On time</v>
      </c>
      <c r="Q690" s="27">
        <f t="shared" si="218"/>
        <v>0</v>
      </c>
      <c r="R690" s="29" t="s">
        <v>1273</v>
      </c>
      <c r="S690" s="12" t="s">
        <v>1274</v>
      </c>
      <c r="T690" s="35">
        <v>81</v>
      </c>
      <c r="U690" t="s">
        <v>1186</v>
      </c>
      <c r="V690" s="27">
        <v>200</v>
      </c>
      <c r="W690" s="9">
        <v>1.74</v>
      </c>
      <c r="X690" s="9">
        <f t="shared" si="219"/>
        <v>348</v>
      </c>
      <c r="Z690" s="10">
        <v>46021</v>
      </c>
      <c r="AA690" s="10">
        <v>46094</v>
      </c>
      <c r="AB690" s="10">
        <v>46157</v>
      </c>
      <c r="AC690" s="10">
        <v>46222</v>
      </c>
      <c r="AD690" s="31">
        <f t="shared" ca="1" si="225"/>
        <v>41</v>
      </c>
      <c r="AE690" s="36" t="s">
        <v>247</v>
      </c>
      <c r="AF690" t="s">
        <v>62</v>
      </c>
      <c r="AG690" s="10" t="s">
        <v>79</v>
      </c>
      <c r="AI690" s="9" t="s">
        <v>53</v>
      </c>
      <c r="AL690" s="9" t="s">
        <v>1319</v>
      </c>
      <c r="AM690" s="27" t="str">
        <f t="shared" si="226"/>
        <v>Atrasado</v>
      </c>
      <c r="AN690" s="27" t="str">
        <f t="shared" ca="1" si="224"/>
        <v>Estoque</v>
      </c>
      <c r="AO690" s="27" t="str">
        <f t="shared" ca="1" si="220"/>
        <v/>
      </c>
      <c r="AP690" t="s">
        <v>1318</v>
      </c>
    </row>
    <row r="691" spans="4:42" ht="15" hidden="1" customHeight="1">
      <c r="D691" t="s">
        <v>1187</v>
      </c>
      <c r="E691" s="23" t="s">
        <v>1859</v>
      </c>
      <c r="F691" s="24"/>
      <c r="I691" s="26"/>
      <c r="L691" s="27" t="str">
        <f t="shared" si="223"/>
        <v xml:space="preserve"> </v>
      </c>
      <c r="N691" s="27" t="str">
        <f t="shared" si="222"/>
        <v xml:space="preserve"> </v>
      </c>
      <c r="O691" s="27">
        <f t="shared" si="217"/>
        <v>0</v>
      </c>
      <c r="P691" s="28" t="str">
        <f t="shared" si="221"/>
        <v>On time</v>
      </c>
      <c r="Q691" s="27">
        <f t="shared" si="218"/>
        <v>0</v>
      </c>
      <c r="R691" s="29" t="s">
        <v>1273</v>
      </c>
      <c r="S691" s="12" t="s">
        <v>1274</v>
      </c>
      <c r="T691" s="35">
        <v>82</v>
      </c>
      <c r="U691" t="s">
        <v>1187</v>
      </c>
      <c r="V691" s="27">
        <v>1000</v>
      </c>
      <c r="W691" s="9">
        <v>0.39</v>
      </c>
      <c r="X691" s="9">
        <f t="shared" si="219"/>
        <v>390</v>
      </c>
      <c r="Z691" s="10">
        <v>46021</v>
      </c>
      <c r="AA691" s="10">
        <v>46094</v>
      </c>
      <c r="AB691" s="10">
        <v>46157</v>
      </c>
      <c r="AC691" s="10">
        <v>46222</v>
      </c>
      <c r="AD691" s="31">
        <f t="shared" ca="1" si="225"/>
        <v>41</v>
      </c>
      <c r="AE691" s="36" t="s">
        <v>247</v>
      </c>
      <c r="AF691" t="s">
        <v>62</v>
      </c>
      <c r="AG691" s="10" t="s">
        <v>79</v>
      </c>
      <c r="AI691" s="9" t="s">
        <v>53</v>
      </c>
      <c r="AL691" s="9" t="s">
        <v>1319</v>
      </c>
      <c r="AM691" s="27" t="str">
        <f t="shared" si="226"/>
        <v>Atrasado</v>
      </c>
      <c r="AN691" s="27" t="str">
        <f t="shared" ca="1" si="224"/>
        <v>Estoque</v>
      </c>
      <c r="AO691" s="27" t="str">
        <f t="shared" ca="1" si="220"/>
        <v/>
      </c>
      <c r="AP691" t="s">
        <v>1318</v>
      </c>
    </row>
    <row r="692" spans="4:42" ht="15" hidden="1" customHeight="1">
      <c r="D692" t="s">
        <v>1188</v>
      </c>
      <c r="E692" s="23" t="s">
        <v>1860</v>
      </c>
      <c r="F692" s="24"/>
      <c r="I692" s="26"/>
      <c r="L692" s="27" t="str">
        <f t="shared" si="223"/>
        <v xml:space="preserve"> </v>
      </c>
      <c r="N692" s="27" t="str">
        <f t="shared" si="222"/>
        <v xml:space="preserve"> </v>
      </c>
      <c r="O692" s="27">
        <f t="shared" si="217"/>
        <v>0</v>
      </c>
      <c r="P692" s="28" t="str">
        <f t="shared" si="221"/>
        <v>On time</v>
      </c>
      <c r="Q692" s="27">
        <f t="shared" si="218"/>
        <v>0</v>
      </c>
      <c r="R692" s="29" t="s">
        <v>1273</v>
      </c>
      <c r="S692" s="12" t="s">
        <v>1274</v>
      </c>
      <c r="T692" s="35">
        <v>83</v>
      </c>
      <c r="U692" t="s">
        <v>1188</v>
      </c>
      <c r="V692" s="27">
        <v>500</v>
      </c>
      <c r="W692" s="9">
        <v>1.06</v>
      </c>
      <c r="X692" s="9">
        <f t="shared" si="219"/>
        <v>530</v>
      </c>
      <c r="Z692" s="10">
        <v>46021</v>
      </c>
      <c r="AA692" s="10">
        <v>46094</v>
      </c>
      <c r="AB692" s="10">
        <v>46157</v>
      </c>
      <c r="AC692" s="10">
        <v>46222</v>
      </c>
      <c r="AD692" s="31">
        <f t="shared" ca="1" si="225"/>
        <v>41</v>
      </c>
      <c r="AE692" s="36" t="s">
        <v>247</v>
      </c>
      <c r="AF692" t="s">
        <v>62</v>
      </c>
      <c r="AG692" s="10" t="s">
        <v>79</v>
      </c>
      <c r="AI692" s="9" t="s">
        <v>53</v>
      </c>
      <c r="AL692" s="9" t="s">
        <v>1319</v>
      </c>
      <c r="AM692" s="27" t="str">
        <f t="shared" si="226"/>
        <v>Atrasado</v>
      </c>
      <c r="AN692" s="27" t="str">
        <f t="shared" ca="1" si="224"/>
        <v>Estoque</v>
      </c>
      <c r="AO692" s="27" t="str">
        <f t="shared" ca="1" si="220"/>
        <v/>
      </c>
      <c r="AP692" t="s">
        <v>1318</v>
      </c>
    </row>
    <row r="693" spans="4:42" ht="15" hidden="1" customHeight="1">
      <c r="D693" t="s">
        <v>1189</v>
      </c>
      <c r="E693" s="23" t="s">
        <v>1861</v>
      </c>
      <c r="F693" s="24"/>
      <c r="I693" s="26"/>
      <c r="L693" s="27" t="str">
        <f t="shared" si="223"/>
        <v xml:space="preserve"> </v>
      </c>
      <c r="N693" s="27" t="str">
        <f t="shared" si="222"/>
        <v xml:space="preserve"> </v>
      </c>
      <c r="O693" s="27">
        <f t="shared" si="217"/>
        <v>0</v>
      </c>
      <c r="P693" s="28" t="str">
        <f t="shared" si="221"/>
        <v>On time</v>
      </c>
      <c r="Q693" s="27">
        <f t="shared" si="218"/>
        <v>0</v>
      </c>
      <c r="R693" s="29" t="s">
        <v>1273</v>
      </c>
      <c r="S693" s="12" t="s">
        <v>1274</v>
      </c>
      <c r="T693" s="35">
        <v>84</v>
      </c>
      <c r="U693" t="s">
        <v>1189</v>
      </c>
      <c r="V693" s="27">
        <v>2000</v>
      </c>
      <c r="W693" s="9">
        <v>0.65</v>
      </c>
      <c r="X693" s="9">
        <f t="shared" si="219"/>
        <v>1300</v>
      </c>
      <c r="Z693" s="10">
        <v>46021</v>
      </c>
      <c r="AA693" s="10">
        <v>46094</v>
      </c>
      <c r="AB693" s="10">
        <v>46157</v>
      </c>
      <c r="AC693" s="10">
        <v>46222</v>
      </c>
      <c r="AD693" s="31">
        <f t="shared" ca="1" si="225"/>
        <v>41</v>
      </c>
      <c r="AE693" s="36" t="s">
        <v>247</v>
      </c>
      <c r="AF693" t="s">
        <v>62</v>
      </c>
      <c r="AG693" s="10" t="s">
        <v>79</v>
      </c>
      <c r="AI693" s="9" t="s">
        <v>53</v>
      </c>
      <c r="AL693" s="9" t="s">
        <v>1319</v>
      </c>
      <c r="AM693" s="27" t="str">
        <f t="shared" si="226"/>
        <v>Atrasado</v>
      </c>
      <c r="AN693" s="27" t="str">
        <f t="shared" ca="1" si="224"/>
        <v>Estoque</v>
      </c>
      <c r="AO693" s="27" t="str">
        <f t="shared" ca="1" si="220"/>
        <v/>
      </c>
      <c r="AP693" t="s">
        <v>1318</v>
      </c>
    </row>
    <row r="694" spans="4:42" ht="15" hidden="1" customHeight="1">
      <c r="D694" t="s">
        <v>1190</v>
      </c>
      <c r="E694" s="23" t="s">
        <v>1862</v>
      </c>
      <c r="F694" s="24"/>
      <c r="I694" s="26"/>
      <c r="L694" s="27" t="str">
        <f t="shared" si="223"/>
        <v xml:space="preserve"> </v>
      </c>
      <c r="N694" s="27" t="str">
        <f t="shared" si="222"/>
        <v xml:space="preserve"> </v>
      </c>
      <c r="O694" s="27">
        <f t="shared" si="217"/>
        <v>0</v>
      </c>
      <c r="P694" s="28" t="str">
        <f t="shared" si="221"/>
        <v>On time</v>
      </c>
      <c r="Q694" s="27">
        <f t="shared" si="218"/>
        <v>0</v>
      </c>
      <c r="R694" s="29" t="s">
        <v>1273</v>
      </c>
      <c r="S694" s="12" t="s">
        <v>1274</v>
      </c>
      <c r="T694" s="35">
        <v>85</v>
      </c>
      <c r="U694" t="s">
        <v>1190</v>
      </c>
      <c r="V694" s="27">
        <v>50</v>
      </c>
      <c r="W694" s="9">
        <v>0.91</v>
      </c>
      <c r="X694" s="9">
        <f t="shared" si="219"/>
        <v>45.5</v>
      </c>
      <c r="Z694" s="10">
        <v>46021</v>
      </c>
      <c r="AA694" s="10">
        <v>46094</v>
      </c>
      <c r="AB694" s="10">
        <v>46157</v>
      </c>
      <c r="AC694" s="10">
        <v>46222</v>
      </c>
      <c r="AD694" s="31">
        <f t="shared" ca="1" si="225"/>
        <v>41</v>
      </c>
      <c r="AE694" s="36" t="s">
        <v>247</v>
      </c>
      <c r="AF694" t="s">
        <v>62</v>
      </c>
      <c r="AG694" s="10" t="s">
        <v>79</v>
      </c>
      <c r="AI694" s="9" t="s">
        <v>53</v>
      </c>
      <c r="AL694" s="9" t="s">
        <v>1319</v>
      </c>
      <c r="AM694" s="27" t="str">
        <f t="shared" si="226"/>
        <v>Atrasado</v>
      </c>
      <c r="AN694" s="27" t="str">
        <f t="shared" ca="1" si="224"/>
        <v>Estoque</v>
      </c>
      <c r="AO694" s="27" t="str">
        <f t="shared" ca="1" si="220"/>
        <v/>
      </c>
      <c r="AP694" t="s">
        <v>1318</v>
      </c>
    </row>
    <row r="695" spans="4:42" ht="15" hidden="1" customHeight="1">
      <c r="D695" t="s">
        <v>1191</v>
      </c>
      <c r="E695" s="23" t="s">
        <v>1863</v>
      </c>
      <c r="F695" s="24"/>
      <c r="I695" s="26"/>
      <c r="L695" s="27" t="str">
        <f t="shared" si="223"/>
        <v xml:space="preserve"> </v>
      </c>
      <c r="N695" s="27" t="str">
        <f t="shared" si="222"/>
        <v xml:space="preserve"> </v>
      </c>
      <c r="O695" s="27">
        <f t="shared" ref="O695:O758" si="227">M695-J695</f>
        <v>0</v>
      </c>
      <c r="P695" s="28" t="str">
        <f t="shared" si="221"/>
        <v>On time</v>
      </c>
      <c r="Q695" s="27">
        <f t="shared" ref="Q695:Q758" si="228">I695-J695</f>
        <v>0</v>
      </c>
      <c r="R695" s="29" t="s">
        <v>1273</v>
      </c>
      <c r="S695" s="12" t="s">
        <v>1274</v>
      </c>
      <c r="T695" s="35">
        <v>86</v>
      </c>
      <c r="U695" t="s">
        <v>1191</v>
      </c>
      <c r="V695" s="27">
        <v>200</v>
      </c>
      <c r="W695" s="9">
        <v>0.45</v>
      </c>
      <c r="X695" s="9">
        <f t="shared" si="219"/>
        <v>90</v>
      </c>
      <c r="Z695" s="10">
        <v>46021</v>
      </c>
      <c r="AA695" s="10">
        <v>46094</v>
      </c>
      <c r="AB695" s="10">
        <v>46157</v>
      </c>
      <c r="AC695" s="10">
        <v>46222</v>
      </c>
      <c r="AD695" s="31">
        <f t="shared" ca="1" si="225"/>
        <v>41</v>
      </c>
      <c r="AE695" s="36" t="s">
        <v>247</v>
      </c>
      <c r="AF695" t="s">
        <v>62</v>
      </c>
      <c r="AG695" s="10" t="s">
        <v>79</v>
      </c>
      <c r="AI695" s="9" t="s">
        <v>53</v>
      </c>
      <c r="AL695" s="9" t="s">
        <v>1319</v>
      </c>
      <c r="AM695" s="27" t="str">
        <f t="shared" si="226"/>
        <v>Atrasado</v>
      </c>
      <c r="AN695" s="27" t="str">
        <f t="shared" ca="1" si="224"/>
        <v>Estoque</v>
      </c>
      <c r="AO695" s="27" t="str">
        <f t="shared" ca="1" si="220"/>
        <v/>
      </c>
      <c r="AP695" t="s">
        <v>1318</v>
      </c>
    </row>
    <row r="696" spans="4:42" ht="15" hidden="1" customHeight="1">
      <c r="D696" t="s">
        <v>1192</v>
      </c>
      <c r="E696" s="23" t="s">
        <v>1864</v>
      </c>
      <c r="F696" s="24"/>
      <c r="I696" s="26"/>
      <c r="L696" s="27" t="str">
        <f t="shared" si="223"/>
        <v xml:space="preserve"> </v>
      </c>
      <c r="N696" s="27" t="str">
        <f t="shared" si="222"/>
        <v xml:space="preserve"> </v>
      </c>
      <c r="O696" s="27">
        <f t="shared" si="227"/>
        <v>0</v>
      </c>
      <c r="P696" s="28" t="str">
        <f t="shared" si="221"/>
        <v>On time</v>
      </c>
      <c r="Q696" s="27">
        <f t="shared" si="228"/>
        <v>0</v>
      </c>
      <c r="R696" s="29" t="s">
        <v>1273</v>
      </c>
      <c r="S696" s="12" t="s">
        <v>1274</v>
      </c>
      <c r="T696" s="35">
        <v>87</v>
      </c>
      <c r="U696" t="s">
        <v>1192</v>
      </c>
      <c r="V696" s="27">
        <v>200</v>
      </c>
      <c r="W696" s="9">
        <v>0.53</v>
      </c>
      <c r="X696" s="9">
        <f t="shared" si="219"/>
        <v>106</v>
      </c>
      <c r="Z696" s="10">
        <v>46021</v>
      </c>
      <c r="AA696" s="10">
        <v>46094</v>
      </c>
      <c r="AB696" s="10">
        <v>46157</v>
      </c>
      <c r="AC696" s="10">
        <v>46222</v>
      </c>
      <c r="AD696" s="31">
        <f t="shared" ca="1" si="225"/>
        <v>41</v>
      </c>
      <c r="AE696" s="36" t="s">
        <v>247</v>
      </c>
      <c r="AF696" t="s">
        <v>62</v>
      </c>
      <c r="AG696" s="10" t="s">
        <v>79</v>
      </c>
      <c r="AI696" s="9" t="s">
        <v>53</v>
      </c>
      <c r="AL696" s="9" t="s">
        <v>1319</v>
      </c>
      <c r="AM696" s="27" t="str">
        <f t="shared" si="226"/>
        <v>Atrasado</v>
      </c>
      <c r="AN696" s="27" t="str">
        <f t="shared" ca="1" si="224"/>
        <v>Estoque</v>
      </c>
      <c r="AO696" s="27" t="str">
        <f t="shared" ca="1" si="220"/>
        <v/>
      </c>
      <c r="AP696" t="s">
        <v>1318</v>
      </c>
    </row>
    <row r="697" spans="4:42" ht="15" hidden="1" customHeight="1">
      <c r="D697" t="s">
        <v>1193</v>
      </c>
      <c r="E697" s="23" t="s">
        <v>1865</v>
      </c>
      <c r="F697" s="24"/>
      <c r="I697" s="26"/>
      <c r="L697" s="27" t="str">
        <f t="shared" si="223"/>
        <v xml:space="preserve"> </v>
      </c>
      <c r="N697" s="27" t="str">
        <f t="shared" si="222"/>
        <v xml:space="preserve"> </v>
      </c>
      <c r="O697" s="27">
        <f t="shared" si="227"/>
        <v>0</v>
      </c>
      <c r="P697" s="28" t="str">
        <f t="shared" si="221"/>
        <v>On time</v>
      </c>
      <c r="Q697" s="27">
        <f t="shared" si="228"/>
        <v>0</v>
      </c>
      <c r="R697" s="29" t="s">
        <v>1273</v>
      </c>
      <c r="S697" s="12" t="s">
        <v>1274</v>
      </c>
      <c r="T697" s="35">
        <v>88</v>
      </c>
      <c r="U697" t="s">
        <v>1193</v>
      </c>
      <c r="V697" s="27">
        <v>500</v>
      </c>
      <c r="W697" s="9">
        <v>0.98</v>
      </c>
      <c r="X697" s="9">
        <f t="shared" si="219"/>
        <v>490</v>
      </c>
      <c r="Z697" s="10">
        <v>46021</v>
      </c>
      <c r="AA697" s="10">
        <v>46094</v>
      </c>
      <c r="AB697" s="10">
        <v>46157</v>
      </c>
      <c r="AC697" s="10">
        <v>46222</v>
      </c>
      <c r="AD697" s="31">
        <f t="shared" ca="1" si="225"/>
        <v>41</v>
      </c>
      <c r="AE697" s="36" t="s">
        <v>247</v>
      </c>
      <c r="AF697" t="s">
        <v>62</v>
      </c>
      <c r="AG697" s="10" t="s">
        <v>79</v>
      </c>
      <c r="AI697" s="9" t="s">
        <v>53</v>
      </c>
      <c r="AL697" s="9" t="s">
        <v>1319</v>
      </c>
      <c r="AM697" s="27" t="str">
        <f t="shared" si="226"/>
        <v>Atrasado</v>
      </c>
      <c r="AN697" s="27" t="str">
        <f t="shared" ca="1" si="224"/>
        <v>Estoque</v>
      </c>
      <c r="AO697" s="27" t="str">
        <f t="shared" ca="1" si="220"/>
        <v/>
      </c>
      <c r="AP697" t="s">
        <v>1318</v>
      </c>
    </row>
    <row r="698" spans="4:42" ht="15" hidden="1" customHeight="1">
      <c r="D698" t="s">
        <v>1194</v>
      </c>
      <c r="E698" s="23" t="s">
        <v>1866</v>
      </c>
      <c r="F698" s="24"/>
      <c r="I698" s="26"/>
      <c r="L698" s="27" t="str">
        <f t="shared" si="223"/>
        <v xml:space="preserve"> </v>
      </c>
      <c r="N698" s="27" t="str">
        <f t="shared" si="222"/>
        <v xml:space="preserve"> </v>
      </c>
      <c r="O698" s="27">
        <f t="shared" si="227"/>
        <v>0</v>
      </c>
      <c r="P698" s="28" t="str">
        <f t="shared" si="221"/>
        <v>On time</v>
      </c>
      <c r="Q698" s="27">
        <f t="shared" si="228"/>
        <v>0</v>
      </c>
      <c r="R698" s="29" t="s">
        <v>1273</v>
      </c>
      <c r="S698" s="12" t="s">
        <v>1274</v>
      </c>
      <c r="T698" s="35">
        <v>89</v>
      </c>
      <c r="U698" t="s">
        <v>1194</v>
      </c>
      <c r="V698" s="27">
        <v>500</v>
      </c>
      <c r="W698" s="9">
        <v>0.68</v>
      </c>
      <c r="X698" s="9">
        <f t="shared" si="219"/>
        <v>340</v>
      </c>
      <c r="Z698" s="10">
        <v>46021</v>
      </c>
      <c r="AA698" s="10">
        <v>46094</v>
      </c>
      <c r="AB698" s="10">
        <v>46157</v>
      </c>
      <c r="AC698" s="10">
        <v>46222</v>
      </c>
      <c r="AD698" s="31">
        <f t="shared" ca="1" si="225"/>
        <v>41</v>
      </c>
      <c r="AE698" s="36" t="s">
        <v>247</v>
      </c>
      <c r="AF698" t="s">
        <v>62</v>
      </c>
      <c r="AG698" s="10" t="s">
        <v>79</v>
      </c>
      <c r="AI698" s="9" t="s">
        <v>53</v>
      </c>
      <c r="AL698" s="9" t="s">
        <v>1319</v>
      </c>
      <c r="AM698" s="27" t="str">
        <f t="shared" si="226"/>
        <v>Atrasado</v>
      </c>
      <c r="AN698" s="27" t="str">
        <f t="shared" ca="1" si="224"/>
        <v>Estoque</v>
      </c>
      <c r="AO698" s="27" t="str">
        <f t="shared" ca="1" si="220"/>
        <v/>
      </c>
      <c r="AP698" t="s">
        <v>1318</v>
      </c>
    </row>
    <row r="699" spans="4:42" ht="15" hidden="1" customHeight="1">
      <c r="D699" t="s">
        <v>1195</v>
      </c>
      <c r="E699" s="23" t="s">
        <v>1867</v>
      </c>
      <c r="F699" s="24"/>
      <c r="I699" s="26"/>
      <c r="L699" s="27" t="str">
        <f t="shared" si="223"/>
        <v xml:space="preserve"> </v>
      </c>
      <c r="N699" s="27" t="str">
        <f t="shared" si="222"/>
        <v xml:space="preserve"> </v>
      </c>
      <c r="O699" s="27">
        <f t="shared" si="227"/>
        <v>0</v>
      </c>
      <c r="P699" s="28" t="str">
        <f t="shared" si="221"/>
        <v>On time</v>
      </c>
      <c r="Q699" s="27">
        <f t="shared" si="228"/>
        <v>0</v>
      </c>
      <c r="R699" s="29" t="s">
        <v>1273</v>
      </c>
      <c r="S699" s="12" t="s">
        <v>1274</v>
      </c>
      <c r="T699" s="35">
        <v>90</v>
      </c>
      <c r="U699" t="s">
        <v>1195</v>
      </c>
      <c r="V699" s="27">
        <v>300</v>
      </c>
      <c r="W699" s="9">
        <v>1.21</v>
      </c>
      <c r="X699" s="9">
        <f t="shared" si="219"/>
        <v>363</v>
      </c>
      <c r="Z699" s="10">
        <v>46021</v>
      </c>
      <c r="AA699" s="10">
        <v>46094</v>
      </c>
      <c r="AB699" s="10">
        <v>46157</v>
      </c>
      <c r="AC699" s="10">
        <v>46222</v>
      </c>
      <c r="AD699" s="31">
        <f t="shared" ca="1" si="225"/>
        <v>41</v>
      </c>
      <c r="AE699" s="36" t="s">
        <v>247</v>
      </c>
      <c r="AF699" t="s">
        <v>62</v>
      </c>
      <c r="AG699" s="10" t="s">
        <v>79</v>
      </c>
      <c r="AI699" s="9" t="s">
        <v>53</v>
      </c>
      <c r="AL699" s="9" t="s">
        <v>1319</v>
      </c>
      <c r="AM699" s="27" t="str">
        <f t="shared" si="226"/>
        <v>Atrasado</v>
      </c>
      <c r="AN699" s="27" t="str">
        <f t="shared" ca="1" si="224"/>
        <v>Estoque</v>
      </c>
      <c r="AO699" s="27" t="str">
        <f t="shared" ca="1" si="220"/>
        <v/>
      </c>
      <c r="AP699" t="s">
        <v>1318</v>
      </c>
    </row>
    <row r="700" spans="4:42" ht="15" hidden="1" customHeight="1">
      <c r="D700" t="s">
        <v>1196</v>
      </c>
      <c r="E700" s="23" t="s">
        <v>1868</v>
      </c>
      <c r="F700" s="24"/>
      <c r="I700" s="26"/>
      <c r="L700" s="27" t="str">
        <f t="shared" si="223"/>
        <v xml:space="preserve"> </v>
      </c>
      <c r="N700" s="27" t="str">
        <f t="shared" si="222"/>
        <v xml:space="preserve"> </v>
      </c>
      <c r="O700" s="27">
        <f t="shared" si="227"/>
        <v>0</v>
      </c>
      <c r="P700" s="28" t="str">
        <f t="shared" si="221"/>
        <v>On time</v>
      </c>
      <c r="Q700" s="27">
        <f t="shared" si="228"/>
        <v>0</v>
      </c>
      <c r="R700" s="29" t="s">
        <v>1273</v>
      </c>
      <c r="S700" s="12" t="s">
        <v>1274</v>
      </c>
      <c r="T700" s="35">
        <v>91</v>
      </c>
      <c r="U700" t="s">
        <v>1196</v>
      </c>
      <c r="V700" s="27">
        <v>1000</v>
      </c>
      <c r="W700" s="9">
        <v>0.83</v>
      </c>
      <c r="X700" s="9">
        <f t="shared" si="219"/>
        <v>830</v>
      </c>
      <c r="Z700" s="10">
        <v>46021</v>
      </c>
      <c r="AA700" s="10">
        <v>46094</v>
      </c>
      <c r="AB700" s="10">
        <v>46157</v>
      </c>
      <c r="AC700" s="10">
        <v>46222</v>
      </c>
      <c r="AD700" s="31">
        <f t="shared" ca="1" si="225"/>
        <v>41</v>
      </c>
      <c r="AE700" s="36" t="s">
        <v>247</v>
      </c>
      <c r="AF700" t="s">
        <v>62</v>
      </c>
      <c r="AG700" s="10" t="s">
        <v>79</v>
      </c>
      <c r="AI700" s="9" t="s">
        <v>53</v>
      </c>
      <c r="AL700" s="9" t="s">
        <v>1319</v>
      </c>
      <c r="AM700" s="27" t="str">
        <f t="shared" si="226"/>
        <v>Atrasado</v>
      </c>
      <c r="AN700" s="27" t="str">
        <f t="shared" ca="1" si="224"/>
        <v>Estoque</v>
      </c>
      <c r="AO700" s="27" t="str">
        <f t="shared" ca="1" si="220"/>
        <v/>
      </c>
      <c r="AP700" t="s">
        <v>1318</v>
      </c>
    </row>
    <row r="701" spans="4:42" ht="15" hidden="1" customHeight="1">
      <c r="D701" t="s">
        <v>1197</v>
      </c>
      <c r="E701" s="23" t="s">
        <v>1869</v>
      </c>
      <c r="F701" s="24"/>
      <c r="I701" s="26"/>
      <c r="L701" s="27" t="str">
        <f t="shared" si="223"/>
        <v xml:space="preserve"> </v>
      </c>
      <c r="N701" s="27" t="str">
        <f t="shared" si="222"/>
        <v xml:space="preserve"> </v>
      </c>
      <c r="O701" s="27">
        <f t="shared" si="227"/>
        <v>0</v>
      </c>
      <c r="P701" s="28" t="str">
        <f t="shared" si="221"/>
        <v>On time</v>
      </c>
      <c r="Q701" s="27">
        <f t="shared" si="228"/>
        <v>0</v>
      </c>
      <c r="R701" s="29" t="s">
        <v>1273</v>
      </c>
      <c r="S701" s="12" t="s">
        <v>1274</v>
      </c>
      <c r="T701" s="35">
        <v>92</v>
      </c>
      <c r="U701" t="s">
        <v>1197</v>
      </c>
      <c r="V701" s="27">
        <v>150</v>
      </c>
      <c r="W701" s="9">
        <v>1.21</v>
      </c>
      <c r="X701" s="9">
        <f t="shared" si="219"/>
        <v>181.5</v>
      </c>
      <c r="Z701" s="10">
        <v>46021</v>
      </c>
      <c r="AA701" s="10">
        <v>46094</v>
      </c>
      <c r="AB701" s="10">
        <v>46157</v>
      </c>
      <c r="AC701" s="10">
        <v>46222</v>
      </c>
      <c r="AD701" s="31">
        <f t="shared" ca="1" si="225"/>
        <v>41</v>
      </c>
      <c r="AE701" s="36" t="s">
        <v>247</v>
      </c>
      <c r="AF701" t="s">
        <v>62</v>
      </c>
      <c r="AG701" s="10" t="s">
        <v>79</v>
      </c>
      <c r="AI701" s="9" t="s">
        <v>53</v>
      </c>
      <c r="AL701" s="9" t="s">
        <v>1319</v>
      </c>
      <c r="AM701" s="27" t="str">
        <f t="shared" si="226"/>
        <v>Atrasado</v>
      </c>
      <c r="AN701" s="27" t="str">
        <f t="shared" ca="1" si="224"/>
        <v>Estoque</v>
      </c>
      <c r="AO701" s="27" t="str">
        <f t="shared" ca="1" si="220"/>
        <v/>
      </c>
      <c r="AP701" t="s">
        <v>1318</v>
      </c>
    </row>
    <row r="702" spans="4:42" ht="15" hidden="1" customHeight="1">
      <c r="D702" t="s">
        <v>1198</v>
      </c>
      <c r="E702" s="23" t="s">
        <v>1870</v>
      </c>
      <c r="F702" s="24"/>
      <c r="I702" s="26"/>
      <c r="L702" s="27" t="str">
        <f t="shared" si="223"/>
        <v xml:space="preserve"> </v>
      </c>
      <c r="N702" s="27" t="str">
        <f t="shared" si="222"/>
        <v xml:space="preserve"> </v>
      </c>
      <c r="O702" s="27">
        <f t="shared" si="227"/>
        <v>0</v>
      </c>
      <c r="P702" s="28" t="str">
        <f t="shared" si="221"/>
        <v>On time</v>
      </c>
      <c r="Q702" s="27">
        <f t="shared" si="228"/>
        <v>0</v>
      </c>
      <c r="R702" s="29" t="s">
        <v>1273</v>
      </c>
      <c r="S702" s="12" t="s">
        <v>1274</v>
      </c>
      <c r="T702" s="35">
        <v>93</v>
      </c>
      <c r="U702" t="s">
        <v>1198</v>
      </c>
      <c r="V702" s="27">
        <v>100</v>
      </c>
      <c r="W702" s="9">
        <v>0.84</v>
      </c>
      <c r="X702" s="9">
        <f t="shared" ref="X702:X763" si="229">W702*V702</f>
        <v>84</v>
      </c>
      <c r="Z702" s="10">
        <v>46021</v>
      </c>
      <c r="AA702" s="10">
        <v>46094</v>
      </c>
      <c r="AB702" s="10">
        <v>46157</v>
      </c>
      <c r="AC702" s="10">
        <v>46222</v>
      </c>
      <c r="AD702" s="31">
        <f t="shared" ca="1" si="225"/>
        <v>41</v>
      </c>
      <c r="AE702" s="36" t="s">
        <v>247</v>
      </c>
      <c r="AF702" t="s">
        <v>62</v>
      </c>
      <c r="AG702" s="10" t="s">
        <v>79</v>
      </c>
      <c r="AI702" s="9" t="s">
        <v>53</v>
      </c>
      <c r="AL702" s="9" t="s">
        <v>1319</v>
      </c>
      <c r="AM702" s="27" t="str">
        <f t="shared" si="226"/>
        <v>Atrasado</v>
      </c>
      <c r="AN702" s="27" t="str">
        <f t="shared" ca="1" si="224"/>
        <v>Estoque</v>
      </c>
      <c r="AO702" s="27" t="str">
        <f t="shared" ca="1" si="220"/>
        <v/>
      </c>
      <c r="AP702" t="s">
        <v>1318</v>
      </c>
    </row>
    <row r="703" spans="4:42" ht="15" hidden="1" customHeight="1">
      <c r="D703" t="s">
        <v>1199</v>
      </c>
      <c r="E703" s="23" t="s">
        <v>1871</v>
      </c>
      <c r="F703" s="24"/>
      <c r="I703" s="26"/>
      <c r="L703" s="27" t="str">
        <f t="shared" si="223"/>
        <v xml:space="preserve"> </v>
      </c>
      <c r="N703" s="27" t="str">
        <f t="shared" si="222"/>
        <v xml:space="preserve"> </v>
      </c>
      <c r="O703" s="27">
        <f t="shared" si="227"/>
        <v>0</v>
      </c>
      <c r="P703" s="28" t="str">
        <f t="shared" si="221"/>
        <v>On time</v>
      </c>
      <c r="Q703" s="27">
        <f t="shared" si="228"/>
        <v>0</v>
      </c>
      <c r="R703" s="29" t="s">
        <v>1273</v>
      </c>
      <c r="S703" s="12" t="s">
        <v>1274</v>
      </c>
      <c r="T703" s="35">
        <v>94</v>
      </c>
      <c r="U703" t="s">
        <v>1199</v>
      </c>
      <c r="V703" s="27">
        <v>50</v>
      </c>
      <c r="W703" s="9">
        <v>1.97</v>
      </c>
      <c r="X703" s="9">
        <f t="shared" si="229"/>
        <v>98.5</v>
      </c>
      <c r="Z703" s="10">
        <v>46021</v>
      </c>
      <c r="AA703" s="10">
        <v>46094</v>
      </c>
      <c r="AB703" s="10">
        <v>46157</v>
      </c>
      <c r="AC703" s="10">
        <v>46222</v>
      </c>
      <c r="AD703" s="31">
        <f t="shared" ca="1" si="225"/>
        <v>41</v>
      </c>
      <c r="AE703" s="36" t="s">
        <v>247</v>
      </c>
      <c r="AF703" t="s">
        <v>62</v>
      </c>
      <c r="AG703" s="10" t="s">
        <v>79</v>
      </c>
      <c r="AI703" s="9" t="s">
        <v>53</v>
      </c>
      <c r="AL703" s="9" t="s">
        <v>1319</v>
      </c>
      <c r="AM703" s="27" t="str">
        <f t="shared" si="226"/>
        <v>Atrasado</v>
      </c>
      <c r="AN703" s="27" t="str">
        <f t="shared" ca="1" si="224"/>
        <v>Estoque</v>
      </c>
      <c r="AO703" s="27" t="str">
        <f t="shared" ca="1" si="220"/>
        <v/>
      </c>
      <c r="AP703" t="s">
        <v>1318</v>
      </c>
    </row>
    <row r="704" spans="4:42" ht="15" hidden="1" customHeight="1">
      <c r="D704" t="s">
        <v>1200</v>
      </c>
      <c r="E704" s="23" t="s">
        <v>1872</v>
      </c>
      <c r="F704" s="24"/>
      <c r="I704" s="26"/>
      <c r="L704" s="27" t="str">
        <f t="shared" si="223"/>
        <v xml:space="preserve"> </v>
      </c>
      <c r="N704" s="27" t="str">
        <f t="shared" si="222"/>
        <v xml:space="preserve"> </v>
      </c>
      <c r="O704" s="27">
        <f t="shared" si="227"/>
        <v>0</v>
      </c>
      <c r="P704" s="28" t="str">
        <f t="shared" si="221"/>
        <v>On time</v>
      </c>
      <c r="Q704" s="27">
        <f t="shared" si="228"/>
        <v>0</v>
      </c>
      <c r="R704" s="29" t="s">
        <v>1273</v>
      </c>
      <c r="S704" s="12" t="s">
        <v>1274</v>
      </c>
      <c r="T704" s="35">
        <v>95</v>
      </c>
      <c r="U704" t="s">
        <v>1200</v>
      </c>
      <c r="V704" s="27">
        <v>1000</v>
      </c>
      <c r="W704" s="9">
        <v>1.06</v>
      </c>
      <c r="X704" s="9">
        <f t="shared" si="229"/>
        <v>1060</v>
      </c>
      <c r="Z704" s="10">
        <v>46021</v>
      </c>
      <c r="AA704" s="10">
        <v>46094</v>
      </c>
      <c r="AB704" s="10">
        <v>46157</v>
      </c>
      <c r="AC704" s="10">
        <v>46222</v>
      </c>
      <c r="AD704" s="31">
        <f t="shared" ca="1" si="225"/>
        <v>41</v>
      </c>
      <c r="AE704" s="36" t="s">
        <v>247</v>
      </c>
      <c r="AF704" t="s">
        <v>62</v>
      </c>
      <c r="AG704" s="10" t="s">
        <v>79</v>
      </c>
      <c r="AI704" s="9" t="s">
        <v>53</v>
      </c>
      <c r="AL704" s="9" t="s">
        <v>1319</v>
      </c>
      <c r="AM704" s="27" t="str">
        <f t="shared" si="226"/>
        <v>Atrasado</v>
      </c>
      <c r="AN704" s="27" t="str">
        <f t="shared" ca="1" si="224"/>
        <v>Estoque</v>
      </c>
      <c r="AO704" s="27" t="str">
        <f t="shared" ca="1" si="220"/>
        <v/>
      </c>
      <c r="AP704" t="s">
        <v>1318</v>
      </c>
    </row>
    <row r="705" spans="4:42" ht="15" hidden="1" customHeight="1">
      <c r="D705" t="s">
        <v>1201</v>
      </c>
      <c r="E705" s="23" t="s">
        <v>1873</v>
      </c>
      <c r="F705" s="24"/>
      <c r="I705" s="26"/>
      <c r="L705" s="27" t="str">
        <f t="shared" si="223"/>
        <v xml:space="preserve"> </v>
      </c>
      <c r="N705" s="27" t="str">
        <f t="shared" si="222"/>
        <v xml:space="preserve"> </v>
      </c>
      <c r="O705" s="27">
        <f t="shared" si="227"/>
        <v>0</v>
      </c>
      <c r="P705" s="28" t="str">
        <f t="shared" si="221"/>
        <v>On time</v>
      </c>
      <c r="Q705" s="27">
        <f t="shared" si="228"/>
        <v>0</v>
      </c>
      <c r="R705" s="29" t="s">
        <v>1273</v>
      </c>
      <c r="S705" s="12" t="s">
        <v>1274</v>
      </c>
      <c r="T705" s="35">
        <v>96</v>
      </c>
      <c r="U705" t="s">
        <v>1201</v>
      </c>
      <c r="V705" s="27">
        <v>100</v>
      </c>
      <c r="W705" s="9">
        <v>3.18</v>
      </c>
      <c r="X705" s="9">
        <f t="shared" si="229"/>
        <v>318</v>
      </c>
      <c r="Z705" s="10">
        <v>46021</v>
      </c>
      <c r="AA705" s="10">
        <v>46094</v>
      </c>
      <c r="AB705" s="10">
        <v>46157</v>
      </c>
      <c r="AC705" s="10">
        <v>46222</v>
      </c>
      <c r="AD705" s="31">
        <f t="shared" ca="1" si="225"/>
        <v>41</v>
      </c>
      <c r="AE705" s="36" t="s">
        <v>247</v>
      </c>
      <c r="AF705" t="s">
        <v>62</v>
      </c>
      <c r="AG705" s="10" t="s">
        <v>79</v>
      </c>
      <c r="AI705" s="9" t="s">
        <v>53</v>
      </c>
      <c r="AL705" s="9" t="s">
        <v>1319</v>
      </c>
      <c r="AM705" s="27" t="str">
        <f t="shared" si="226"/>
        <v>Atrasado</v>
      </c>
      <c r="AN705" s="27" t="str">
        <f t="shared" ca="1" si="224"/>
        <v>Estoque</v>
      </c>
      <c r="AO705" s="27" t="str">
        <f t="shared" ca="1" si="220"/>
        <v/>
      </c>
      <c r="AP705" t="s">
        <v>1318</v>
      </c>
    </row>
    <row r="706" spans="4:42" ht="15" hidden="1" customHeight="1">
      <c r="D706" t="s">
        <v>1202</v>
      </c>
      <c r="E706" s="23" t="s">
        <v>1874</v>
      </c>
      <c r="F706" s="24"/>
      <c r="I706" s="26"/>
      <c r="L706" s="27" t="str">
        <f t="shared" si="223"/>
        <v xml:space="preserve"> </v>
      </c>
      <c r="N706" s="27" t="str">
        <f t="shared" si="222"/>
        <v xml:space="preserve"> </v>
      </c>
      <c r="O706" s="27">
        <f t="shared" si="227"/>
        <v>0</v>
      </c>
      <c r="P706" s="28" t="str">
        <f t="shared" si="221"/>
        <v>On time</v>
      </c>
      <c r="Q706" s="27">
        <f t="shared" si="228"/>
        <v>0</v>
      </c>
      <c r="R706" s="29" t="s">
        <v>1273</v>
      </c>
      <c r="S706" s="12" t="s">
        <v>1274</v>
      </c>
      <c r="T706" s="35">
        <v>97</v>
      </c>
      <c r="U706" t="s">
        <v>1202</v>
      </c>
      <c r="V706" s="27">
        <v>50</v>
      </c>
      <c r="W706" s="9">
        <v>3.18</v>
      </c>
      <c r="X706" s="9">
        <f t="shared" si="229"/>
        <v>159</v>
      </c>
      <c r="Z706" s="10">
        <v>46021</v>
      </c>
      <c r="AA706" s="10">
        <v>46094</v>
      </c>
      <c r="AB706" s="10">
        <v>46157</v>
      </c>
      <c r="AC706" s="10">
        <v>46222</v>
      </c>
      <c r="AD706" s="31">
        <f t="shared" ca="1" si="225"/>
        <v>41</v>
      </c>
      <c r="AE706" s="36" t="s">
        <v>247</v>
      </c>
      <c r="AF706" t="s">
        <v>62</v>
      </c>
      <c r="AG706" s="10" t="s">
        <v>79</v>
      </c>
      <c r="AI706" s="9" t="s">
        <v>53</v>
      </c>
      <c r="AL706" s="9" t="s">
        <v>1319</v>
      </c>
      <c r="AM706" s="27" t="str">
        <f t="shared" si="226"/>
        <v>Atrasado</v>
      </c>
      <c r="AN706" s="27" t="str">
        <f t="shared" ca="1" si="224"/>
        <v>Estoque</v>
      </c>
      <c r="AO706" s="27" t="str">
        <f t="shared" ca="1" si="220"/>
        <v/>
      </c>
      <c r="AP706" t="s">
        <v>1318</v>
      </c>
    </row>
    <row r="707" spans="4:42" ht="15" hidden="1" customHeight="1">
      <c r="D707" t="s">
        <v>1203</v>
      </c>
      <c r="E707" s="23" t="s">
        <v>1875</v>
      </c>
      <c r="F707" s="24"/>
      <c r="I707" s="26"/>
      <c r="L707" s="27" t="str">
        <f t="shared" si="223"/>
        <v xml:space="preserve"> </v>
      </c>
      <c r="N707" s="27" t="str">
        <f t="shared" si="222"/>
        <v xml:space="preserve"> </v>
      </c>
      <c r="O707" s="27">
        <f t="shared" si="227"/>
        <v>0</v>
      </c>
      <c r="P707" s="28" t="str">
        <f t="shared" si="221"/>
        <v>On time</v>
      </c>
      <c r="Q707" s="27">
        <f t="shared" si="228"/>
        <v>0</v>
      </c>
      <c r="R707" s="29" t="s">
        <v>1273</v>
      </c>
      <c r="S707" s="12" t="s">
        <v>1274</v>
      </c>
      <c r="T707" s="35">
        <v>98</v>
      </c>
      <c r="U707" t="s">
        <v>1203</v>
      </c>
      <c r="V707" s="27">
        <v>50</v>
      </c>
      <c r="W707" s="9">
        <v>3.18</v>
      </c>
      <c r="X707" s="9">
        <f t="shared" si="229"/>
        <v>159</v>
      </c>
      <c r="Z707" s="10">
        <v>46021</v>
      </c>
      <c r="AA707" s="10">
        <v>46094</v>
      </c>
      <c r="AB707" s="10">
        <v>46157</v>
      </c>
      <c r="AC707" s="10">
        <v>46222</v>
      </c>
      <c r="AD707" s="31">
        <f t="shared" ca="1" si="225"/>
        <v>41</v>
      </c>
      <c r="AE707" s="36" t="s">
        <v>247</v>
      </c>
      <c r="AF707" t="s">
        <v>62</v>
      </c>
      <c r="AG707" s="10" t="s">
        <v>79</v>
      </c>
      <c r="AI707" s="9" t="s">
        <v>53</v>
      </c>
      <c r="AL707" s="9" t="s">
        <v>1319</v>
      </c>
      <c r="AM707" s="27" t="str">
        <f t="shared" si="226"/>
        <v>Atrasado</v>
      </c>
      <c r="AN707" s="27" t="str">
        <f t="shared" ca="1" si="224"/>
        <v>Estoque</v>
      </c>
      <c r="AO707" s="27" t="str">
        <f t="shared" ca="1" si="220"/>
        <v/>
      </c>
      <c r="AP707" t="s">
        <v>1318</v>
      </c>
    </row>
    <row r="708" spans="4:42" ht="15" hidden="1" customHeight="1">
      <c r="D708" t="s">
        <v>1204</v>
      </c>
      <c r="E708" s="23" t="s">
        <v>1876</v>
      </c>
      <c r="F708" s="24"/>
      <c r="I708" s="26"/>
      <c r="L708" s="27" t="str">
        <f t="shared" si="223"/>
        <v xml:space="preserve"> </v>
      </c>
      <c r="N708" s="27" t="str">
        <f t="shared" si="222"/>
        <v xml:space="preserve"> </v>
      </c>
      <c r="O708" s="27">
        <f t="shared" si="227"/>
        <v>0</v>
      </c>
      <c r="P708" s="28" t="str">
        <f t="shared" si="221"/>
        <v>On time</v>
      </c>
      <c r="Q708" s="27">
        <f t="shared" si="228"/>
        <v>0</v>
      </c>
      <c r="R708" s="29" t="s">
        <v>1273</v>
      </c>
      <c r="S708" s="12" t="s">
        <v>1274</v>
      </c>
      <c r="T708" s="35">
        <v>99</v>
      </c>
      <c r="U708" t="s">
        <v>1204</v>
      </c>
      <c r="V708" s="27">
        <v>100</v>
      </c>
      <c r="W708" s="9">
        <v>3.18</v>
      </c>
      <c r="X708" s="9">
        <f t="shared" si="229"/>
        <v>318</v>
      </c>
      <c r="Z708" s="10">
        <v>46021</v>
      </c>
      <c r="AA708" s="10">
        <v>46094</v>
      </c>
      <c r="AB708" s="10">
        <v>46157</v>
      </c>
      <c r="AC708" s="10">
        <v>46222</v>
      </c>
      <c r="AD708" s="31">
        <f t="shared" ca="1" si="225"/>
        <v>41</v>
      </c>
      <c r="AE708" s="36" t="s">
        <v>247</v>
      </c>
      <c r="AF708" t="s">
        <v>62</v>
      </c>
      <c r="AG708" s="10" t="s">
        <v>79</v>
      </c>
      <c r="AI708" s="9" t="s">
        <v>53</v>
      </c>
      <c r="AL708" s="9" t="s">
        <v>1319</v>
      </c>
      <c r="AM708" s="27" t="str">
        <f t="shared" si="226"/>
        <v>Atrasado</v>
      </c>
      <c r="AN708" s="27" t="str">
        <f t="shared" ca="1" si="224"/>
        <v>Estoque</v>
      </c>
      <c r="AO708" s="27" t="str">
        <f t="shared" ca="1" si="220"/>
        <v/>
      </c>
      <c r="AP708" t="s">
        <v>1318</v>
      </c>
    </row>
    <row r="709" spans="4:42" ht="15" hidden="1" customHeight="1">
      <c r="D709" t="s">
        <v>1205</v>
      </c>
      <c r="E709" s="23" t="s">
        <v>1877</v>
      </c>
      <c r="F709" s="24"/>
      <c r="I709" s="26"/>
      <c r="L709" s="27" t="str">
        <f t="shared" si="223"/>
        <v xml:space="preserve"> </v>
      </c>
      <c r="N709" s="27" t="str">
        <f t="shared" si="222"/>
        <v xml:space="preserve"> </v>
      </c>
      <c r="O709" s="27">
        <f t="shared" si="227"/>
        <v>0</v>
      </c>
      <c r="P709" s="28" t="str">
        <f t="shared" si="221"/>
        <v>On time</v>
      </c>
      <c r="Q709" s="27">
        <f t="shared" si="228"/>
        <v>0</v>
      </c>
      <c r="R709" s="29" t="s">
        <v>1273</v>
      </c>
      <c r="S709" s="12" t="s">
        <v>1274</v>
      </c>
      <c r="T709" s="35">
        <v>100</v>
      </c>
      <c r="U709" t="s">
        <v>1205</v>
      </c>
      <c r="V709" s="27">
        <v>50</v>
      </c>
      <c r="W709" s="9">
        <v>2.27</v>
      </c>
      <c r="X709" s="9">
        <f t="shared" si="229"/>
        <v>113.5</v>
      </c>
      <c r="Z709" s="10">
        <v>46021</v>
      </c>
      <c r="AA709" s="10">
        <v>46094</v>
      </c>
      <c r="AB709" s="10">
        <v>46157</v>
      </c>
      <c r="AC709" s="10">
        <v>46222</v>
      </c>
      <c r="AD709" s="31">
        <f t="shared" ca="1" si="225"/>
        <v>41</v>
      </c>
      <c r="AE709" s="36" t="s">
        <v>247</v>
      </c>
      <c r="AF709" t="s">
        <v>62</v>
      </c>
      <c r="AG709" s="10" t="s">
        <v>79</v>
      </c>
      <c r="AI709" s="9" t="s">
        <v>53</v>
      </c>
      <c r="AL709" s="9" t="s">
        <v>1319</v>
      </c>
      <c r="AM709" s="27" t="str">
        <f t="shared" si="226"/>
        <v>Atrasado</v>
      </c>
      <c r="AN709" s="27" t="str">
        <f t="shared" ca="1" si="224"/>
        <v>Estoque</v>
      </c>
      <c r="AO709" s="27" t="str">
        <f t="shared" ca="1" si="220"/>
        <v/>
      </c>
      <c r="AP709" t="s">
        <v>1318</v>
      </c>
    </row>
    <row r="710" spans="4:42" ht="15" hidden="1" customHeight="1">
      <c r="D710" t="s">
        <v>1206</v>
      </c>
      <c r="E710" s="23" t="s">
        <v>1878</v>
      </c>
      <c r="F710" s="24"/>
      <c r="I710" s="26"/>
      <c r="L710" s="27" t="str">
        <f t="shared" si="223"/>
        <v xml:space="preserve"> </v>
      </c>
      <c r="N710" s="27" t="str">
        <f t="shared" si="222"/>
        <v xml:space="preserve"> </v>
      </c>
      <c r="O710" s="27">
        <f t="shared" si="227"/>
        <v>0</v>
      </c>
      <c r="P710" s="28" t="str">
        <f t="shared" si="221"/>
        <v>On time</v>
      </c>
      <c r="Q710" s="27">
        <f t="shared" si="228"/>
        <v>0</v>
      </c>
      <c r="R710" s="29" t="s">
        <v>1273</v>
      </c>
      <c r="S710" s="12" t="s">
        <v>1274</v>
      </c>
      <c r="T710" s="35">
        <v>101</v>
      </c>
      <c r="U710" t="s">
        <v>1206</v>
      </c>
      <c r="V710" s="27">
        <v>50</v>
      </c>
      <c r="W710" s="9">
        <v>2.27</v>
      </c>
      <c r="X710" s="9">
        <f t="shared" si="229"/>
        <v>113.5</v>
      </c>
      <c r="Z710" s="10">
        <v>46021</v>
      </c>
      <c r="AA710" s="10">
        <v>46094</v>
      </c>
      <c r="AB710" s="10">
        <v>46157</v>
      </c>
      <c r="AC710" s="10">
        <v>46222</v>
      </c>
      <c r="AD710" s="31">
        <f t="shared" ca="1" si="225"/>
        <v>41</v>
      </c>
      <c r="AE710" s="36" t="s">
        <v>247</v>
      </c>
      <c r="AF710" t="s">
        <v>62</v>
      </c>
      <c r="AG710" s="10" t="s">
        <v>79</v>
      </c>
      <c r="AI710" s="9" t="s">
        <v>53</v>
      </c>
      <c r="AL710" s="9" t="s">
        <v>1319</v>
      </c>
      <c r="AM710" s="27" t="str">
        <f t="shared" si="226"/>
        <v>Atrasado</v>
      </c>
      <c r="AN710" s="27" t="str">
        <f t="shared" ca="1" si="224"/>
        <v>Estoque</v>
      </c>
      <c r="AO710" s="27" t="str">
        <f t="shared" ca="1" si="220"/>
        <v/>
      </c>
      <c r="AP710" t="s">
        <v>1318</v>
      </c>
    </row>
    <row r="711" spans="4:42" ht="15" hidden="1" customHeight="1">
      <c r="D711" t="s">
        <v>1207</v>
      </c>
      <c r="E711" s="23" t="s">
        <v>1879</v>
      </c>
      <c r="F711" s="24"/>
      <c r="I711" s="26"/>
      <c r="L711" s="27" t="str">
        <f t="shared" si="223"/>
        <v xml:space="preserve"> </v>
      </c>
      <c r="N711" s="27" t="str">
        <f t="shared" si="222"/>
        <v xml:space="preserve"> </v>
      </c>
      <c r="O711" s="27">
        <f t="shared" si="227"/>
        <v>0</v>
      </c>
      <c r="P711" s="28" t="str">
        <f t="shared" si="221"/>
        <v>On time</v>
      </c>
      <c r="Q711" s="27">
        <f t="shared" si="228"/>
        <v>0</v>
      </c>
      <c r="R711" s="29" t="s">
        <v>1273</v>
      </c>
      <c r="S711" s="12" t="s">
        <v>1274</v>
      </c>
      <c r="T711" s="35">
        <v>102</v>
      </c>
      <c r="U711" t="s">
        <v>1207</v>
      </c>
      <c r="V711" s="27">
        <v>1000</v>
      </c>
      <c r="W711" s="9">
        <v>0.78</v>
      </c>
      <c r="X711" s="9">
        <f t="shared" si="229"/>
        <v>780</v>
      </c>
      <c r="Z711" s="10">
        <v>46021</v>
      </c>
      <c r="AA711" s="10">
        <v>46094</v>
      </c>
      <c r="AB711" s="10">
        <v>46157</v>
      </c>
      <c r="AC711" s="10">
        <v>46222</v>
      </c>
      <c r="AD711" s="31">
        <f t="shared" ca="1" si="225"/>
        <v>41</v>
      </c>
      <c r="AE711" s="36" t="s">
        <v>247</v>
      </c>
      <c r="AF711" t="s">
        <v>62</v>
      </c>
      <c r="AG711" s="10" t="s">
        <v>79</v>
      </c>
      <c r="AI711" s="9" t="s">
        <v>53</v>
      </c>
      <c r="AL711" s="9" t="s">
        <v>1319</v>
      </c>
      <c r="AM711" s="27" t="str">
        <f t="shared" si="226"/>
        <v>Atrasado</v>
      </c>
      <c r="AN711" s="27" t="str">
        <f t="shared" ca="1" si="224"/>
        <v>Estoque</v>
      </c>
      <c r="AO711" s="27" t="str">
        <f t="shared" ref="AO711:AO771" ca="1" si="230">IF(AN711="Chegou","Chegou HCI",IF(AND(AJ711&lt;&gt;"",AK711&lt;&gt;""),IF(TODAY()&gt;=AJ711,"Embarcado","Ag. embarque"),IF(AND(AJ711&lt;&gt;"",AK711=""),"Ag. booking","")))</f>
        <v/>
      </c>
      <c r="AP711" t="s">
        <v>1318</v>
      </c>
    </row>
    <row r="712" spans="4:42" ht="15" hidden="1" customHeight="1">
      <c r="D712" t="s">
        <v>1208</v>
      </c>
      <c r="E712" s="23" t="s">
        <v>1880</v>
      </c>
      <c r="F712" s="24"/>
      <c r="I712" s="26"/>
      <c r="L712" s="27" t="str">
        <f t="shared" si="223"/>
        <v xml:space="preserve"> </v>
      </c>
      <c r="N712" s="27" t="str">
        <f t="shared" si="222"/>
        <v xml:space="preserve"> </v>
      </c>
      <c r="O712" s="27">
        <f t="shared" si="227"/>
        <v>0</v>
      </c>
      <c r="P712" s="28" t="str">
        <f t="shared" ref="P712:P772" si="231">IF(Z712=0," ",IF(M712&gt;=Z712+6,"Atrasado","On time"))</f>
        <v>On time</v>
      </c>
      <c r="Q712" s="27">
        <f t="shared" si="228"/>
        <v>0</v>
      </c>
      <c r="R712" s="29" t="s">
        <v>1273</v>
      </c>
      <c r="S712" s="12" t="s">
        <v>1274</v>
      </c>
      <c r="T712" s="35">
        <v>103</v>
      </c>
      <c r="U712" t="s">
        <v>1208</v>
      </c>
      <c r="V712" s="27">
        <v>50</v>
      </c>
      <c r="W712" s="9">
        <v>0.83</v>
      </c>
      <c r="X712" s="9">
        <f t="shared" si="229"/>
        <v>41.5</v>
      </c>
      <c r="Z712" s="10">
        <v>46021</v>
      </c>
      <c r="AA712" s="10">
        <v>46094</v>
      </c>
      <c r="AB712" s="10">
        <v>46157</v>
      </c>
      <c r="AC712" s="10">
        <v>46222</v>
      </c>
      <c r="AD712" s="31">
        <f t="shared" ca="1" si="225"/>
        <v>41</v>
      </c>
      <c r="AE712" s="36" t="s">
        <v>247</v>
      </c>
      <c r="AF712" t="s">
        <v>62</v>
      </c>
      <c r="AG712" s="10" t="s">
        <v>79</v>
      </c>
      <c r="AI712" s="9" t="s">
        <v>53</v>
      </c>
      <c r="AL712" s="9" t="s">
        <v>1319</v>
      </c>
      <c r="AM712" s="27" t="str">
        <f t="shared" si="226"/>
        <v>Atrasado</v>
      </c>
      <c r="AN712" s="27" t="str">
        <f t="shared" ca="1" si="224"/>
        <v>Estoque</v>
      </c>
      <c r="AO712" s="27" t="str">
        <f t="shared" ca="1" si="230"/>
        <v/>
      </c>
      <c r="AP712" t="s">
        <v>1318</v>
      </c>
    </row>
    <row r="713" spans="4:42" ht="15" hidden="1" customHeight="1">
      <c r="D713" t="s">
        <v>1209</v>
      </c>
      <c r="E713" s="23" t="s">
        <v>1881</v>
      </c>
      <c r="F713" s="24"/>
      <c r="I713" s="26"/>
      <c r="L713" s="27" t="str">
        <f t="shared" si="223"/>
        <v xml:space="preserve"> </v>
      </c>
      <c r="N713" s="27" t="str">
        <f t="shared" si="222"/>
        <v xml:space="preserve"> </v>
      </c>
      <c r="O713" s="27">
        <f t="shared" si="227"/>
        <v>0</v>
      </c>
      <c r="P713" s="28" t="str">
        <f t="shared" si="231"/>
        <v>On time</v>
      </c>
      <c r="Q713" s="27">
        <f t="shared" si="228"/>
        <v>0</v>
      </c>
      <c r="R713" s="29" t="s">
        <v>1273</v>
      </c>
      <c r="S713" s="12" t="s">
        <v>1274</v>
      </c>
      <c r="T713" s="35">
        <v>104</v>
      </c>
      <c r="U713" t="s">
        <v>1209</v>
      </c>
      <c r="V713" s="27">
        <v>100</v>
      </c>
      <c r="W713" s="9">
        <v>0.83</v>
      </c>
      <c r="X713" s="9">
        <f t="shared" si="229"/>
        <v>83</v>
      </c>
      <c r="Z713" s="10">
        <v>46021</v>
      </c>
      <c r="AA713" s="10">
        <v>46094</v>
      </c>
      <c r="AB713" s="10">
        <v>46157</v>
      </c>
      <c r="AC713" s="10">
        <v>46222</v>
      </c>
      <c r="AD713" s="31">
        <f t="shared" ca="1" si="225"/>
        <v>41</v>
      </c>
      <c r="AE713" s="36" t="s">
        <v>247</v>
      </c>
      <c r="AF713" t="s">
        <v>62</v>
      </c>
      <c r="AG713" s="10" t="s">
        <v>79</v>
      </c>
      <c r="AI713" s="9" t="s">
        <v>53</v>
      </c>
      <c r="AL713" s="9" t="s">
        <v>1319</v>
      </c>
      <c r="AM713" s="27" t="str">
        <f t="shared" si="226"/>
        <v>Atrasado</v>
      </c>
      <c r="AN713" s="27" t="str">
        <f t="shared" ca="1" si="224"/>
        <v>Estoque</v>
      </c>
      <c r="AO713" s="27" t="str">
        <f t="shared" ca="1" si="230"/>
        <v/>
      </c>
      <c r="AP713" t="s">
        <v>1318</v>
      </c>
    </row>
    <row r="714" spans="4:42" ht="15" hidden="1" customHeight="1">
      <c r="D714" t="s">
        <v>1210</v>
      </c>
      <c r="E714" s="23" t="s">
        <v>1882</v>
      </c>
      <c r="F714" s="24"/>
      <c r="I714" s="26"/>
      <c r="L714" s="27" t="str">
        <f t="shared" si="223"/>
        <v xml:space="preserve"> </v>
      </c>
      <c r="N714" s="27" t="str">
        <f t="shared" si="222"/>
        <v xml:space="preserve"> </v>
      </c>
      <c r="O714" s="27">
        <f t="shared" si="227"/>
        <v>0</v>
      </c>
      <c r="P714" s="28" t="str">
        <f t="shared" si="231"/>
        <v>On time</v>
      </c>
      <c r="Q714" s="27">
        <f t="shared" si="228"/>
        <v>0</v>
      </c>
      <c r="R714" s="29" t="s">
        <v>1273</v>
      </c>
      <c r="S714" s="12" t="s">
        <v>1274</v>
      </c>
      <c r="T714" s="35">
        <v>105</v>
      </c>
      <c r="U714" t="s">
        <v>1210</v>
      </c>
      <c r="V714" s="27">
        <v>100</v>
      </c>
      <c r="W714" s="9">
        <v>0.83</v>
      </c>
      <c r="X714" s="9">
        <f t="shared" si="229"/>
        <v>83</v>
      </c>
      <c r="Z714" s="10">
        <v>46021</v>
      </c>
      <c r="AA714" s="10">
        <v>46094</v>
      </c>
      <c r="AB714" s="10">
        <v>46157</v>
      </c>
      <c r="AC714" s="10">
        <v>46222</v>
      </c>
      <c r="AD714" s="31">
        <f t="shared" ca="1" si="225"/>
        <v>41</v>
      </c>
      <c r="AE714" s="36" t="s">
        <v>247</v>
      </c>
      <c r="AF714" t="s">
        <v>62</v>
      </c>
      <c r="AG714" s="10" t="s">
        <v>79</v>
      </c>
      <c r="AI714" s="9" t="s">
        <v>53</v>
      </c>
      <c r="AL714" s="9" t="s">
        <v>1319</v>
      </c>
      <c r="AM714" s="27" t="str">
        <f t="shared" si="226"/>
        <v>Atrasado</v>
      </c>
      <c r="AN714" s="27" t="str">
        <f t="shared" ca="1" si="224"/>
        <v>Estoque</v>
      </c>
      <c r="AO714" s="27" t="str">
        <f t="shared" ca="1" si="230"/>
        <v/>
      </c>
      <c r="AP714" t="s">
        <v>1318</v>
      </c>
    </row>
    <row r="715" spans="4:42" ht="15" hidden="1" customHeight="1">
      <c r="D715" t="s">
        <v>1211</v>
      </c>
      <c r="E715" s="23" t="s">
        <v>1883</v>
      </c>
      <c r="F715" s="24"/>
      <c r="I715" s="26"/>
      <c r="L715" s="27" t="str">
        <f t="shared" si="223"/>
        <v xml:space="preserve"> </v>
      </c>
      <c r="N715" s="27" t="str">
        <f t="shared" si="222"/>
        <v xml:space="preserve"> </v>
      </c>
      <c r="O715" s="27">
        <f t="shared" si="227"/>
        <v>0</v>
      </c>
      <c r="P715" s="28" t="str">
        <f t="shared" si="231"/>
        <v>On time</v>
      </c>
      <c r="Q715" s="27">
        <f t="shared" si="228"/>
        <v>0</v>
      </c>
      <c r="R715" s="29" t="s">
        <v>1273</v>
      </c>
      <c r="S715" s="12" t="s">
        <v>1274</v>
      </c>
      <c r="T715" s="35">
        <v>106</v>
      </c>
      <c r="U715" t="s">
        <v>1211</v>
      </c>
      <c r="V715" s="27">
        <v>50</v>
      </c>
      <c r="W715" s="9">
        <v>2.2000000000000002</v>
      </c>
      <c r="X715" s="9">
        <f t="shared" si="229"/>
        <v>110.00000000000001</v>
      </c>
      <c r="Z715" s="10">
        <v>46021</v>
      </c>
      <c r="AA715" s="10">
        <v>46094</v>
      </c>
      <c r="AB715" s="10">
        <v>46157</v>
      </c>
      <c r="AC715" s="10">
        <v>46222</v>
      </c>
      <c r="AD715" s="31">
        <f t="shared" ca="1" si="225"/>
        <v>41</v>
      </c>
      <c r="AE715" s="36" t="s">
        <v>247</v>
      </c>
      <c r="AF715" t="s">
        <v>62</v>
      </c>
      <c r="AG715" s="10" t="s">
        <v>79</v>
      </c>
      <c r="AI715" s="9" t="s">
        <v>53</v>
      </c>
      <c r="AL715" s="9" t="s">
        <v>1319</v>
      </c>
      <c r="AM715" s="27" t="str">
        <f t="shared" si="226"/>
        <v>Atrasado</v>
      </c>
      <c r="AN715" s="27" t="str">
        <f t="shared" ca="1" si="224"/>
        <v>Estoque</v>
      </c>
      <c r="AO715" s="27" t="str">
        <f t="shared" ca="1" si="230"/>
        <v/>
      </c>
      <c r="AP715" t="s">
        <v>1318</v>
      </c>
    </row>
    <row r="716" spans="4:42" ht="15" hidden="1" customHeight="1">
      <c r="D716" t="s">
        <v>1212</v>
      </c>
      <c r="E716" s="23" t="s">
        <v>1884</v>
      </c>
      <c r="F716" s="24"/>
      <c r="I716" s="26"/>
      <c r="L716" s="27" t="str">
        <f t="shared" si="223"/>
        <v xml:space="preserve"> </v>
      </c>
      <c r="N716" s="27" t="str">
        <f t="shared" si="222"/>
        <v xml:space="preserve"> </v>
      </c>
      <c r="O716" s="27">
        <f t="shared" si="227"/>
        <v>0</v>
      </c>
      <c r="P716" s="28" t="str">
        <f t="shared" si="231"/>
        <v>On time</v>
      </c>
      <c r="Q716" s="27">
        <f t="shared" si="228"/>
        <v>0</v>
      </c>
      <c r="R716" s="29" t="s">
        <v>1273</v>
      </c>
      <c r="S716" s="12" t="s">
        <v>1274</v>
      </c>
      <c r="T716" s="35">
        <v>107</v>
      </c>
      <c r="U716" t="s">
        <v>1212</v>
      </c>
      <c r="V716" s="27">
        <v>30</v>
      </c>
      <c r="W716" s="9">
        <v>2.2000000000000002</v>
      </c>
      <c r="X716" s="9">
        <f t="shared" si="229"/>
        <v>66</v>
      </c>
      <c r="Z716" s="10">
        <v>46021</v>
      </c>
      <c r="AA716" s="10">
        <v>46094</v>
      </c>
      <c r="AB716" s="10">
        <v>46157</v>
      </c>
      <c r="AC716" s="10">
        <v>46222</v>
      </c>
      <c r="AD716" s="31">
        <f t="shared" ca="1" si="225"/>
        <v>41</v>
      </c>
      <c r="AE716" s="36" t="s">
        <v>247</v>
      </c>
      <c r="AF716" t="s">
        <v>62</v>
      </c>
      <c r="AG716" s="10" t="s">
        <v>79</v>
      </c>
      <c r="AI716" s="9" t="s">
        <v>53</v>
      </c>
      <c r="AL716" s="9" t="s">
        <v>1319</v>
      </c>
      <c r="AM716" s="27" t="str">
        <f t="shared" si="226"/>
        <v>Atrasado</v>
      </c>
      <c r="AN716" s="27" t="str">
        <f t="shared" ca="1" si="224"/>
        <v>Estoque</v>
      </c>
      <c r="AO716" s="27" t="str">
        <f t="shared" ca="1" si="230"/>
        <v/>
      </c>
      <c r="AP716" t="s">
        <v>1318</v>
      </c>
    </row>
    <row r="717" spans="4:42" ht="15" hidden="1" customHeight="1">
      <c r="D717" t="s">
        <v>1213</v>
      </c>
      <c r="E717" s="23" t="s">
        <v>1885</v>
      </c>
      <c r="F717" s="24"/>
      <c r="I717" s="26"/>
      <c r="L717" s="27" t="str">
        <f t="shared" si="223"/>
        <v xml:space="preserve"> </v>
      </c>
      <c r="N717" s="27" t="str">
        <f t="shared" si="222"/>
        <v xml:space="preserve"> </v>
      </c>
      <c r="O717" s="27">
        <f t="shared" si="227"/>
        <v>0</v>
      </c>
      <c r="P717" s="28" t="str">
        <f t="shared" si="231"/>
        <v>On time</v>
      </c>
      <c r="Q717" s="27">
        <f t="shared" si="228"/>
        <v>0</v>
      </c>
      <c r="R717" s="29" t="s">
        <v>1273</v>
      </c>
      <c r="S717" s="12" t="s">
        <v>1274</v>
      </c>
      <c r="T717" s="35">
        <v>108</v>
      </c>
      <c r="U717" t="s">
        <v>1213</v>
      </c>
      <c r="V717" s="27">
        <v>50</v>
      </c>
      <c r="W717" s="9">
        <v>1.36</v>
      </c>
      <c r="X717" s="9">
        <f t="shared" si="229"/>
        <v>68</v>
      </c>
      <c r="Z717" s="10">
        <v>46021</v>
      </c>
      <c r="AA717" s="10">
        <v>46094</v>
      </c>
      <c r="AB717" s="10">
        <v>46157</v>
      </c>
      <c r="AC717" s="10">
        <v>46222</v>
      </c>
      <c r="AD717" s="31">
        <f t="shared" ca="1" si="225"/>
        <v>41</v>
      </c>
      <c r="AE717" s="36" t="s">
        <v>247</v>
      </c>
      <c r="AF717" t="s">
        <v>62</v>
      </c>
      <c r="AG717" s="10" t="s">
        <v>79</v>
      </c>
      <c r="AI717" s="9" t="s">
        <v>53</v>
      </c>
      <c r="AL717" s="9" t="s">
        <v>1319</v>
      </c>
      <c r="AM717" s="27" t="str">
        <f t="shared" si="226"/>
        <v>Atrasado</v>
      </c>
      <c r="AN717" s="27" t="str">
        <f t="shared" ca="1" si="224"/>
        <v>Estoque</v>
      </c>
      <c r="AO717" s="27" t="str">
        <f t="shared" ca="1" si="230"/>
        <v/>
      </c>
      <c r="AP717" t="s">
        <v>1318</v>
      </c>
    </row>
    <row r="718" spans="4:42" ht="15" hidden="1" customHeight="1">
      <c r="D718" t="s">
        <v>1214</v>
      </c>
      <c r="E718" s="23" t="s">
        <v>1886</v>
      </c>
      <c r="F718" s="24"/>
      <c r="I718" s="26"/>
      <c r="L718" s="27" t="str">
        <f t="shared" si="223"/>
        <v xml:space="preserve"> </v>
      </c>
      <c r="N718" s="27" t="str">
        <f t="shared" ref="N718:N776" si="232">IF(J718=0," ",IF(M718&lt;=J718+6,"On time","Atrasado"))</f>
        <v xml:space="preserve"> </v>
      </c>
      <c r="O718" s="27">
        <f t="shared" si="227"/>
        <v>0</v>
      </c>
      <c r="P718" s="28" t="str">
        <f t="shared" si="231"/>
        <v>On time</v>
      </c>
      <c r="Q718" s="27">
        <f t="shared" si="228"/>
        <v>0</v>
      </c>
      <c r="R718" s="29" t="s">
        <v>1273</v>
      </c>
      <c r="S718" s="12" t="s">
        <v>1274</v>
      </c>
      <c r="T718" s="35">
        <v>109</v>
      </c>
      <c r="U718" t="s">
        <v>1214</v>
      </c>
      <c r="V718" s="27">
        <v>20</v>
      </c>
      <c r="W718" s="9">
        <v>3.2</v>
      </c>
      <c r="X718" s="9">
        <f t="shared" si="229"/>
        <v>64</v>
      </c>
      <c r="Z718" s="10">
        <v>46021</v>
      </c>
      <c r="AA718" s="10">
        <v>46094</v>
      </c>
      <c r="AB718" s="10">
        <v>46157</v>
      </c>
      <c r="AC718" s="10">
        <v>46222</v>
      </c>
      <c r="AD718" s="31">
        <f t="shared" ca="1" si="225"/>
        <v>41</v>
      </c>
      <c r="AE718" s="36" t="s">
        <v>247</v>
      </c>
      <c r="AF718" t="s">
        <v>62</v>
      </c>
      <c r="AG718" s="10" t="s">
        <v>79</v>
      </c>
      <c r="AI718" s="9" t="s">
        <v>53</v>
      </c>
      <c r="AL718" s="9" t="s">
        <v>1319</v>
      </c>
      <c r="AM718" s="27" t="str">
        <f t="shared" si="226"/>
        <v>Atrasado</v>
      </c>
      <c r="AN718" s="27" t="str">
        <f t="shared" ca="1" si="224"/>
        <v>Estoque</v>
      </c>
      <c r="AO718" s="27" t="str">
        <f t="shared" ca="1" si="230"/>
        <v/>
      </c>
      <c r="AP718" t="s">
        <v>1318</v>
      </c>
    </row>
    <row r="719" spans="4:42" ht="15" hidden="1" customHeight="1">
      <c r="D719" t="s">
        <v>1215</v>
      </c>
      <c r="E719" s="23" t="s">
        <v>1887</v>
      </c>
      <c r="F719" s="24"/>
      <c r="I719" s="26"/>
      <c r="L719" s="27" t="str">
        <f t="shared" ref="L719:L777" si="233">IF(J719=0," ",IF(K719&lt;=J719+6,"On time","Atrasado"))</f>
        <v xml:space="preserve"> </v>
      </c>
      <c r="N719" s="27" t="str">
        <f t="shared" si="232"/>
        <v xml:space="preserve"> </v>
      </c>
      <c r="O719" s="27">
        <f t="shared" si="227"/>
        <v>0</v>
      </c>
      <c r="P719" s="28" t="str">
        <f t="shared" si="231"/>
        <v>On time</v>
      </c>
      <c r="Q719" s="27">
        <f t="shared" si="228"/>
        <v>0</v>
      </c>
      <c r="R719" s="29" t="s">
        <v>1273</v>
      </c>
      <c r="S719" s="12" t="s">
        <v>1274</v>
      </c>
      <c r="T719" s="35">
        <v>110</v>
      </c>
      <c r="U719" t="s">
        <v>1215</v>
      </c>
      <c r="V719" s="27">
        <v>500</v>
      </c>
      <c r="W719" s="9">
        <v>0.68</v>
      </c>
      <c r="X719" s="9">
        <f t="shared" si="229"/>
        <v>340</v>
      </c>
      <c r="Z719" s="10">
        <v>46021</v>
      </c>
      <c r="AA719" s="10">
        <v>46094</v>
      </c>
      <c r="AB719" s="10">
        <v>46157</v>
      </c>
      <c r="AC719" s="10">
        <v>46222</v>
      </c>
      <c r="AD719" s="31">
        <f t="shared" ca="1" si="225"/>
        <v>41</v>
      </c>
      <c r="AE719" s="36" t="s">
        <v>247</v>
      </c>
      <c r="AF719" t="s">
        <v>62</v>
      </c>
      <c r="AG719" s="10" t="s">
        <v>79</v>
      </c>
      <c r="AI719" s="9" t="s">
        <v>53</v>
      </c>
      <c r="AL719" s="9" t="s">
        <v>1319</v>
      </c>
      <c r="AM719" s="27" t="str">
        <f t="shared" si="226"/>
        <v>Atrasado</v>
      </c>
      <c r="AN719" s="27" t="str">
        <f t="shared" ca="1" si="224"/>
        <v>Estoque</v>
      </c>
      <c r="AO719" s="27" t="str">
        <f t="shared" ca="1" si="230"/>
        <v/>
      </c>
      <c r="AP719" t="s">
        <v>1318</v>
      </c>
    </row>
    <row r="720" spans="4:42" ht="15" hidden="1" customHeight="1">
      <c r="D720" t="s">
        <v>1216</v>
      </c>
      <c r="E720" s="23" t="s">
        <v>1888</v>
      </c>
      <c r="F720" s="24"/>
      <c r="I720" s="26"/>
      <c r="L720" s="27" t="str">
        <f t="shared" si="233"/>
        <v xml:space="preserve"> </v>
      </c>
      <c r="N720" s="27" t="str">
        <f t="shared" si="232"/>
        <v xml:space="preserve"> </v>
      </c>
      <c r="O720" s="27">
        <f t="shared" si="227"/>
        <v>0</v>
      </c>
      <c r="P720" s="28" t="str">
        <f t="shared" si="231"/>
        <v>On time</v>
      </c>
      <c r="Q720" s="27">
        <f t="shared" si="228"/>
        <v>0</v>
      </c>
      <c r="R720" s="29" t="s">
        <v>1273</v>
      </c>
      <c r="S720" s="12" t="s">
        <v>1274</v>
      </c>
      <c r="T720" s="35">
        <v>111</v>
      </c>
      <c r="U720" t="s">
        <v>1216</v>
      </c>
      <c r="V720" s="27">
        <v>200</v>
      </c>
      <c r="W720" s="9">
        <v>1.39</v>
      </c>
      <c r="X720" s="9">
        <f t="shared" si="229"/>
        <v>278</v>
      </c>
      <c r="Z720" s="10">
        <v>46021</v>
      </c>
      <c r="AA720" s="10">
        <v>46094</v>
      </c>
      <c r="AB720" s="10">
        <v>46157</v>
      </c>
      <c r="AC720" s="10">
        <v>46222</v>
      </c>
      <c r="AD720" s="31">
        <f t="shared" ca="1" si="225"/>
        <v>41</v>
      </c>
      <c r="AE720" s="36" t="s">
        <v>247</v>
      </c>
      <c r="AF720" t="s">
        <v>62</v>
      </c>
      <c r="AG720" s="10" t="s">
        <v>79</v>
      </c>
      <c r="AI720" s="9" t="s">
        <v>53</v>
      </c>
      <c r="AL720" s="9" t="s">
        <v>1319</v>
      </c>
      <c r="AM720" s="27" t="str">
        <f t="shared" si="226"/>
        <v>Atrasado</v>
      </c>
      <c r="AN720" s="27" t="str">
        <f t="shared" ca="1" si="224"/>
        <v>Estoque</v>
      </c>
      <c r="AO720" s="27" t="str">
        <f t="shared" ca="1" si="230"/>
        <v/>
      </c>
      <c r="AP720" t="s">
        <v>1318</v>
      </c>
    </row>
    <row r="721" spans="4:42" ht="15" hidden="1" customHeight="1">
      <c r="D721" t="s">
        <v>1217</v>
      </c>
      <c r="E721" s="23" t="s">
        <v>1889</v>
      </c>
      <c r="F721" s="24"/>
      <c r="I721" s="26"/>
      <c r="L721" s="27" t="str">
        <f t="shared" si="233"/>
        <v xml:space="preserve"> </v>
      </c>
      <c r="N721" s="27" t="str">
        <f t="shared" si="232"/>
        <v xml:space="preserve"> </v>
      </c>
      <c r="O721" s="27">
        <f t="shared" si="227"/>
        <v>0</v>
      </c>
      <c r="P721" s="28" t="str">
        <f t="shared" si="231"/>
        <v>On time</v>
      </c>
      <c r="Q721" s="27">
        <f t="shared" si="228"/>
        <v>0</v>
      </c>
      <c r="R721" s="29" t="s">
        <v>1273</v>
      </c>
      <c r="S721" s="12" t="s">
        <v>1274</v>
      </c>
      <c r="T721" s="35">
        <v>112</v>
      </c>
      <c r="U721" t="s">
        <v>1217</v>
      </c>
      <c r="V721" s="27">
        <v>100</v>
      </c>
      <c r="W721" s="9">
        <v>1.1100000000000001</v>
      </c>
      <c r="X721" s="9">
        <f t="shared" si="229"/>
        <v>111.00000000000001</v>
      </c>
      <c r="Z721" s="10">
        <v>46021</v>
      </c>
      <c r="AA721" s="10">
        <v>46094</v>
      </c>
      <c r="AB721" s="10">
        <v>46157</v>
      </c>
      <c r="AC721" s="10">
        <v>46222</v>
      </c>
      <c r="AD721" s="31">
        <f t="shared" ca="1" si="225"/>
        <v>41</v>
      </c>
      <c r="AE721" s="36" t="s">
        <v>247</v>
      </c>
      <c r="AF721" t="s">
        <v>62</v>
      </c>
      <c r="AG721" s="10" t="s">
        <v>79</v>
      </c>
      <c r="AI721" s="9" t="s">
        <v>53</v>
      </c>
      <c r="AL721" s="9" t="s">
        <v>1319</v>
      </c>
      <c r="AM721" s="27" t="str">
        <f t="shared" si="226"/>
        <v>Atrasado</v>
      </c>
      <c r="AN721" s="27" t="str">
        <f t="shared" ca="1" si="224"/>
        <v>Estoque</v>
      </c>
      <c r="AO721" s="27" t="str">
        <f t="shared" ca="1" si="230"/>
        <v/>
      </c>
      <c r="AP721" t="s">
        <v>1318</v>
      </c>
    </row>
    <row r="722" spans="4:42" ht="15" hidden="1" customHeight="1">
      <c r="D722" t="s">
        <v>1218</v>
      </c>
      <c r="E722" s="23" t="s">
        <v>1890</v>
      </c>
      <c r="F722" s="24"/>
      <c r="I722" s="26"/>
      <c r="L722" s="27" t="str">
        <f t="shared" si="233"/>
        <v xml:space="preserve"> </v>
      </c>
      <c r="N722" s="27" t="str">
        <f t="shared" si="232"/>
        <v xml:space="preserve"> </v>
      </c>
      <c r="O722" s="27">
        <f t="shared" si="227"/>
        <v>0</v>
      </c>
      <c r="P722" s="28" t="str">
        <f t="shared" si="231"/>
        <v>On time</v>
      </c>
      <c r="Q722" s="27">
        <f t="shared" si="228"/>
        <v>0</v>
      </c>
      <c r="R722" s="29" t="s">
        <v>1273</v>
      </c>
      <c r="S722" s="12" t="s">
        <v>1274</v>
      </c>
      <c r="T722" s="35">
        <v>113</v>
      </c>
      <c r="U722" t="s">
        <v>1218</v>
      </c>
      <c r="V722" s="27">
        <v>50</v>
      </c>
      <c r="W722" s="9">
        <v>1.5</v>
      </c>
      <c r="X722" s="9">
        <f t="shared" si="229"/>
        <v>75</v>
      </c>
      <c r="Z722" s="10">
        <v>46021</v>
      </c>
      <c r="AA722" s="10">
        <v>46094</v>
      </c>
      <c r="AB722" s="10">
        <v>46157</v>
      </c>
      <c r="AC722" s="10">
        <v>46222</v>
      </c>
      <c r="AD722" s="31">
        <f t="shared" ca="1" si="225"/>
        <v>41</v>
      </c>
      <c r="AE722" s="36" t="s">
        <v>247</v>
      </c>
      <c r="AF722" t="s">
        <v>62</v>
      </c>
      <c r="AG722" s="10" t="s">
        <v>79</v>
      </c>
      <c r="AI722" s="9" t="s">
        <v>53</v>
      </c>
      <c r="AL722" s="9" t="s">
        <v>1319</v>
      </c>
      <c r="AM722" s="27" t="str">
        <f t="shared" si="226"/>
        <v>Atrasado</v>
      </c>
      <c r="AN722" s="27" t="str">
        <f t="shared" ca="1" si="224"/>
        <v>Estoque</v>
      </c>
      <c r="AO722" s="27" t="str">
        <f t="shared" ca="1" si="230"/>
        <v/>
      </c>
      <c r="AP722" t="s">
        <v>1318</v>
      </c>
    </row>
    <row r="723" spans="4:42" ht="15" hidden="1" customHeight="1">
      <c r="D723" t="s">
        <v>1219</v>
      </c>
      <c r="E723" s="23" t="s">
        <v>1891</v>
      </c>
      <c r="F723" s="24"/>
      <c r="I723" s="26"/>
      <c r="L723" s="27" t="str">
        <f t="shared" si="233"/>
        <v xml:space="preserve"> </v>
      </c>
      <c r="N723" s="27" t="str">
        <f t="shared" si="232"/>
        <v xml:space="preserve"> </v>
      </c>
      <c r="O723" s="27">
        <f t="shared" si="227"/>
        <v>0</v>
      </c>
      <c r="P723" s="28" t="str">
        <f t="shared" si="231"/>
        <v>On time</v>
      </c>
      <c r="Q723" s="27">
        <f t="shared" si="228"/>
        <v>0</v>
      </c>
      <c r="R723" s="29" t="s">
        <v>1273</v>
      </c>
      <c r="S723" s="12" t="s">
        <v>1274</v>
      </c>
      <c r="T723" s="35">
        <v>114</v>
      </c>
      <c r="U723" t="s">
        <v>1219</v>
      </c>
      <c r="V723" s="27">
        <v>20</v>
      </c>
      <c r="W723" s="9">
        <v>1.3</v>
      </c>
      <c r="X723" s="9">
        <f t="shared" si="229"/>
        <v>26</v>
      </c>
      <c r="Z723" s="10">
        <v>46021</v>
      </c>
      <c r="AA723" s="10">
        <v>46094</v>
      </c>
      <c r="AB723" s="10">
        <v>46157</v>
      </c>
      <c r="AC723" s="10">
        <v>46222</v>
      </c>
      <c r="AD723" s="31">
        <f t="shared" ca="1" si="225"/>
        <v>41</v>
      </c>
      <c r="AE723" s="36" t="s">
        <v>247</v>
      </c>
      <c r="AF723" t="s">
        <v>62</v>
      </c>
      <c r="AG723" s="10" t="s">
        <v>79</v>
      </c>
      <c r="AI723" s="9" t="s">
        <v>53</v>
      </c>
      <c r="AL723" s="9" t="s">
        <v>1319</v>
      </c>
      <c r="AM723" s="27" t="str">
        <f t="shared" si="226"/>
        <v>Atrasado</v>
      </c>
      <c r="AN723" s="27" t="str">
        <f t="shared" ca="1" si="224"/>
        <v>Estoque</v>
      </c>
      <c r="AO723" s="27" t="str">
        <f t="shared" ca="1" si="230"/>
        <v/>
      </c>
      <c r="AP723" t="s">
        <v>1318</v>
      </c>
    </row>
    <row r="724" spans="4:42" ht="15" hidden="1" customHeight="1">
      <c r="D724" t="s">
        <v>1220</v>
      </c>
      <c r="E724" s="23" t="s">
        <v>1892</v>
      </c>
      <c r="F724" s="24"/>
      <c r="I724" s="26"/>
      <c r="L724" s="27" t="str">
        <f t="shared" si="233"/>
        <v xml:space="preserve"> </v>
      </c>
      <c r="N724" s="27" t="str">
        <f t="shared" si="232"/>
        <v xml:space="preserve"> </v>
      </c>
      <c r="O724" s="27">
        <f t="shared" si="227"/>
        <v>0</v>
      </c>
      <c r="P724" s="28" t="str">
        <f t="shared" si="231"/>
        <v>On time</v>
      </c>
      <c r="Q724" s="27">
        <f t="shared" si="228"/>
        <v>0</v>
      </c>
      <c r="R724" s="29" t="s">
        <v>1273</v>
      </c>
      <c r="S724" s="12" t="s">
        <v>1274</v>
      </c>
      <c r="T724" s="35">
        <v>115</v>
      </c>
      <c r="U724" t="s">
        <v>1220</v>
      </c>
      <c r="V724" s="27">
        <v>100</v>
      </c>
      <c r="W724" s="9">
        <v>1.1100000000000001</v>
      </c>
      <c r="X724" s="9">
        <f t="shared" si="229"/>
        <v>111.00000000000001</v>
      </c>
      <c r="Z724" s="10">
        <v>46021</v>
      </c>
      <c r="AA724" s="10">
        <v>46094</v>
      </c>
      <c r="AB724" s="10">
        <v>46157</v>
      </c>
      <c r="AC724" s="10">
        <v>46222</v>
      </c>
      <c r="AD724" s="31">
        <f t="shared" ca="1" si="225"/>
        <v>41</v>
      </c>
      <c r="AE724" s="36" t="s">
        <v>247</v>
      </c>
      <c r="AF724" t="s">
        <v>62</v>
      </c>
      <c r="AG724" s="10" t="s">
        <v>79</v>
      </c>
      <c r="AI724" s="9" t="s">
        <v>53</v>
      </c>
      <c r="AL724" s="9" t="s">
        <v>1319</v>
      </c>
      <c r="AM724" s="27" t="str">
        <f t="shared" si="226"/>
        <v>Atrasado</v>
      </c>
      <c r="AN724" s="27" t="str">
        <f t="shared" ca="1" si="224"/>
        <v>Estoque</v>
      </c>
      <c r="AO724" s="27" t="str">
        <f t="shared" ca="1" si="230"/>
        <v/>
      </c>
      <c r="AP724" t="s">
        <v>1318</v>
      </c>
    </row>
    <row r="725" spans="4:42" ht="15" hidden="1" customHeight="1">
      <c r="D725" t="s">
        <v>1221</v>
      </c>
      <c r="E725" s="23" t="s">
        <v>1893</v>
      </c>
      <c r="F725" s="24"/>
      <c r="I725" s="26"/>
      <c r="L725" s="27" t="str">
        <f t="shared" si="233"/>
        <v xml:space="preserve"> </v>
      </c>
      <c r="N725" s="27" t="str">
        <f t="shared" si="232"/>
        <v xml:space="preserve"> </v>
      </c>
      <c r="O725" s="27">
        <f t="shared" si="227"/>
        <v>0</v>
      </c>
      <c r="P725" s="28" t="str">
        <f t="shared" si="231"/>
        <v>On time</v>
      </c>
      <c r="Q725" s="27">
        <f t="shared" si="228"/>
        <v>0</v>
      </c>
      <c r="R725" s="29" t="s">
        <v>1273</v>
      </c>
      <c r="S725" s="12" t="s">
        <v>1274</v>
      </c>
      <c r="T725" s="35">
        <v>116</v>
      </c>
      <c r="U725" t="s">
        <v>1221</v>
      </c>
      <c r="V725" s="27">
        <v>100</v>
      </c>
      <c r="W725" s="9">
        <v>0.98</v>
      </c>
      <c r="X725" s="9">
        <f t="shared" si="229"/>
        <v>98</v>
      </c>
      <c r="Z725" s="10">
        <v>46021</v>
      </c>
      <c r="AA725" s="10">
        <v>46094</v>
      </c>
      <c r="AB725" s="10">
        <v>46157</v>
      </c>
      <c r="AC725" s="10">
        <v>46222</v>
      </c>
      <c r="AD725" s="31">
        <f t="shared" ca="1" si="225"/>
        <v>41</v>
      </c>
      <c r="AE725" s="36" t="s">
        <v>247</v>
      </c>
      <c r="AF725" t="s">
        <v>62</v>
      </c>
      <c r="AG725" s="10" t="s">
        <v>79</v>
      </c>
      <c r="AI725" s="9" t="s">
        <v>53</v>
      </c>
      <c r="AL725" s="9" t="s">
        <v>1319</v>
      </c>
      <c r="AM725" s="27" t="str">
        <f t="shared" si="226"/>
        <v>Atrasado</v>
      </c>
      <c r="AN725" s="27" t="str">
        <f t="shared" ref="AN725:AN779" ca="1" si="234">IF(AND(AC725&lt;&gt;"",AC725&lt;=TODAY()),"Chegou",IF(A725="","Estoque",IF(OR(AC725="",I725=""),"",IF(I725-AC725&lt;=0,"Atrasado",IF(I725-AC725&lt;=9,"Crítico",IF(I725-AC725&lt;=20,"Verificar aéreo",IF(I725-AC725&lt;=25,"Alerta","No prazo")        ))))))</f>
        <v>Estoque</v>
      </c>
      <c r="AO725" s="27" t="str">
        <f t="shared" ca="1" si="230"/>
        <v/>
      </c>
      <c r="AP725" t="s">
        <v>1318</v>
      </c>
    </row>
    <row r="726" spans="4:42" ht="15" hidden="1" customHeight="1">
      <c r="D726" t="s">
        <v>1222</v>
      </c>
      <c r="E726" s="23" t="s">
        <v>1894</v>
      </c>
      <c r="F726" s="24"/>
      <c r="I726" s="26"/>
      <c r="L726" s="27" t="str">
        <f t="shared" si="233"/>
        <v xml:space="preserve"> </v>
      </c>
      <c r="N726" s="27" t="str">
        <f t="shared" si="232"/>
        <v xml:space="preserve"> </v>
      </c>
      <c r="O726" s="27">
        <f t="shared" si="227"/>
        <v>0</v>
      </c>
      <c r="P726" s="28" t="str">
        <f t="shared" si="231"/>
        <v>On time</v>
      </c>
      <c r="Q726" s="27">
        <f t="shared" si="228"/>
        <v>0</v>
      </c>
      <c r="R726" s="29" t="s">
        <v>1273</v>
      </c>
      <c r="S726" s="12" t="s">
        <v>1274</v>
      </c>
      <c r="T726" s="35">
        <v>117</v>
      </c>
      <c r="U726" t="s">
        <v>1222</v>
      </c>
      <c r="V726" s="27">
        <v>100</v>
      </c>
      <c r="W726" s="9">
        <v>0.98</v>
      </c>
      <c r="X726" s="9">
        <f t="shared" si="229"/>
        <v>98</v>
      </c>
      <c r="Z726" s="10">
        <v>46021</v>
      </c>
      <c r="AA726" s="10">
        <v>46094</v>
      </c>
      <c r="AB726" s="10">
        <v>46157</v>
      </c>
      <c r="AC726" s="10">
        <v>46222</v>
      </c>
      <c r="AD726" s="31">
        <f t="shared" ca="1" si="225"/>
        <v>41</v>
      </c>
      <c r="AE726" s="36" t="s">
        <v>247</v>
      </c>
      <c r="AF726" t="s">
        <v>62</v>
      </c>
      <c r="AG726" s="10" t="s">
        <v>79</v>
      </c>
      <c r="AI726" s="9" t="s">
        <v>53</v>
      </c>
      <c r="AL726" s="9" t="s">
        <v>1319</v>
      </c>
      <c r="AM726" s="27" t="str">
        <f t="shared" si="226"/>
        <v>Atrasado</v>
      </c>
      <c r="AN726" s="27" t="str">
        <f t="shared" ca="1" si="234"/>
        <v>Estoque</v>
      </c>
      <c r="AO726" s="27" t="str">
        <f t="shared" ca="1" si="230"/>
        <v/>
      </c>
      <c r="AP726" t="s">
        <v>1318</v>
      </c>
    </row>
    <row r="727" spans="4:42" ht="15" hidden="1" customHeight="1">
      <c r="D727" t="s">
        <v>1223</v>
      </c>
      <c r="E727" s="23" t="s">
        <v>1895</v>
      </c>
      <c r="F727" s="24"/>
      <c r="I727" s="26"/>
      <c r="L727" s="27" t="str">
        <f t="shared" si="233"/>
        <v xml:space="preserve"> </v>
      </c>
      <c r="N727" s="27" t="str">
        <f t="shared" si="232"/>
        <v xml:space="preserve"> </v>
      </c>
      <c r="O727" s="27">
        <f t="shared" si="227"/>
        <v>0</v>
      </c>
      <c r="P727" s="28" t="str">
        <f t="shared" si="231"/>
        <v>On time</v>
      </c>
      <c r="Q727" s="27">
        <f t="shared" si="228"/>
        <v>0</v>
      </c>
      <c r="R727" s="29" t="s">
        <v>1273</v>
      </c>
      <c r="S727" s="12" t="s">
        <v>1274</v>
      </c>
      <c r="T727" s="35">
        <v>118</v>
      </c>
      <c r="U727" t="s">
        <v>1223</v>
      </c>
      <c r="V727" s="27">
        <v>100</v>
      </c>
      <c r="W727" s="9">
        <v>1.59</v>
      </c>
      <c r="X727" s="9">
        <f t="shared" si="229"/>
        <v>159</v>
      </c>
      <c r="Z727" s="10">
        <v>46021</v>
      </c>
      <c r="AA727" s="10">
        <v>46094</v>
      </c>
      <c r="AB727" s="10">
        <v>46157</v>
      </c>
      <c r="AC727" s="10">
        <v>46222</v>
      </c>
      <c r="AD727" s="31">
        <f t="shared" ca="1" si="225"/>
        <v>41</v>
      </c>
      <c r="AE727" s="36" t="s">
        <v>247</v>
      </c>
      <c r="AF727" t="s">
        <v>62</v>
      </c>
      <c r="AG727" s="10" t="s">
        <v>79</v>
      </c>
      <c r="AI727" s="9" t="s">
        <v>53</v>
      </c>
      <c r="AL727" s="9" t="s">
        <v>1319</v>
      </c>
      <c r="AM727" s="27" t="str">
        <f t="shared" si="226"/>
        <v>Atrasado</v>
      </c>
      <c r="AN727" s="27" t="str">
        <f t="shared" ca="1" si="234"/>
        <v>Estoque</v>
      </c>
      <c r="AO727" s="27" t="str">
        <f t="shared" ca="1" si="230"/>
        <v/>
      </c>
      <c r="AP727" t="s">
        <v>1318</v>
      </c>
    </row>
    <row r="728" spans="4:42" ht="15" hidden="1" customHeight="1">
      <c r="D728" t="s">
        <v>1224</v>
      </c>
      <c r="E728" s="23" t="s">
        <v>1896</v>
      </c>
      <c r="F728" s="24"/>
      <c r="I728" s="26"/>
      <c r="L728" s="27" t="str">
        <f t="shared" si="233"/>
        <v xml:space="preserve"> </v>
      </c>
      <c r="N728" s="27" t="str">
        <f t="shared" si="232"/>
        <v xml:space="preserve"> </v>
      </c>
      <c r="O728" s="27">
        <f t="shared" si="227"/>
        <v>0</v>
      </c>
      <c r="P728" s="28" t="str">
        <f t="shared" si="231"/>
        <v>On time</v>
      </c>
      <c r="Q728" s="27">
        <f t="shared" si="228"/>
        <v>0</v>
      </c>
      <c r="R728" s="29" t="s">
        <v>1273</v>
      </c>
      <c r="S728" s="12" t="s">
        <v>1274</v>
      </c>
      <c r="T728" s="35">
        <v>119</v>
      </c>
      <c r="U728" t="s">
        <v>1224</v>
      </c>
      <c r="V728" s="27">
        <v>30</v>
      </c>
      <c r="W728" s="9">
        <v>1.59</v>
      </c>
      <c r="X728" s="9">
        <f t="shared" si="229"/>
        <v>47.7</v>
      </c>
      <c r="Z728" s="10">
        <v>46021</v>
      </c>
      <c r="AA728" s="10">
        <v>46094</v>
      </c>
      <c r="AB728" s="10">
        <v>46157</v>
      </c>
      <c r="AC728" s="10">
        <v>46222</v>
      </c>
      <c r="AD728" s="31">
        <f t="shared" ca="1" si="225"/>
        <v>41</v>
      </c>
      <c r="AE728" s="36" t="s">
        <v>247</v>
      </c>
      <c r="AF728" t="s">
        <v>62</v>
      </c>
      <c r="AG728" s="10" t="s">
        <v>79</v>
      </c>
      <c r="AI728" s="9" t="s">
        <v>53</v>
      </c>
      <c r="AL728" s="9" t="s">
        <v>1319</v>
      </c>
      <c r="AM728" s="27" t="str">
        <f t="shared" si="226"/>
        <v>Atrasado</v>
      </c>
      <c r="AN728" s="27" t="str">
        <f t="shared" ca="1" si="234"/>
        <v>Estoque</v>
      </c>
      <c r="AO728" s="27" t="str">
        <f t="shared" ca="1" si="230"/>
        <v/>
      </c>
      <c r="AP728" t="s">
        <v>1318</v>
      </c>
    </row>
    <row r="729" spans="4:42" ht="15" hidden="1" customHeight="1">
      <c r="D729" t="s">
        <v>1225</v>
      </c>
      <c r="E729" s="23" t="s">
        <v>1897</v>
      </c>
      <c r="F729" s="24"/>
      <c r="I729" s="26"/>
      <c r="L729" s="27" t="str">
        <f t="shared" si="233"/>
        <v xml:space="preserve"> </v>
      </c>
      <c r="N729" s="27" t="str">
        <f t="shared" si="232"/>
        <v xml:space="preserve"> </v>
      </c>
      <c r="O729" s="27">
        <f t="shared" si="227"/>
        <v>0</v>
      </c>
      <c r="P729" s="28" t="str">
        <f t="shared" si="231"/>
        <v>On time</v>
      </c>
      <c r="Q729" s="27">
        <f t="shared" si="228"/>
        <v>0</v>
      </c>
      <c r="R729" s="29" t="s">
        <v>1273</v>
      </c>
      <c r="S729" s="12" t="s">
        <v>1274</v>
      </c>
      <c r="T729" s="35">
        <v>120</v>
      </c>
      <c r="U729" t="s">
        <v>1225</v>
      </c>
      <c r="V729" s="27">
        <v>30</v>
      </c>
      <c r="W729" s="9">
        <v>0.83</v>
      </c>
      <c r="X729" s="9">
        <f t="shared" si="229"/>
        <v>24.9</v>
      </c>
      <c r="Z729" s="10">
        <v>46021</v>
      </c>
      <c r="AA729" s="10">
        <v>46094</v>
      </c>
      <c r="AB729" s="10">
        <v>46157</v>
      </c>
      <c r="AC729" s="10">
        <v>46222</v>
      </c>
      <c r="AD729" s="31">
        <f t="shared" ca="1" si="225"/>
        <v>41</v>
      </c>
      <c r="AE729" s="36" t="s">
        <v>247</v>
      </c>
      <c r="AF729" t="s">
        <v>62</v>
      </c>
      <c r="AG729" s="10" t="s">
        <v>79</v>
      </c>
      <c r="AI729" s="9" t="s">
        <v>53</v>
      </c>
      <c r="AL729" s="9" t="s">
        <v>1319</v>
      </c>
      <c r="AM729" s="27" t="str">
        <f t="shared" si="226"/>
        <v>Atrasado</v>
      </c>
      <c r="AN729" s="27" t="str">
        <f t="shared" ca="1" si="234"/>
        <v>Estoque</v>
      </c>
      <c r="AO729" s="27" t="str">
        <f t="shared" ca="1" si="230"/>
        <v/>
      </c>
      <c r="AP729" t="s">
        <v>1318</v>
      </c>
    </row>
    <row r="730" spans="4:42" ht="15" hidden="1" customHeight="1">
      <c r="D730" t="s">
        <v>1226</v>
      </c>
      <c r="E730" s="23" t="s">
        <v>1898</v>
      </c>
      <c r="F730" s="24"/>
      <c r="I730" s="26"/>
      <c r="L730" s="27" t="str">
        <f t="shared" si="233"/>
        <v xml:space="preserve"> </v>
      </c>
      <c r="N730" s="27" t="str">
        <f t="shared" si="232"/>
        <v xml:space="preserve"> </v>
      </c>
      <c r="O730" s="27">
        <f t="shared" si="227"/>
        <v>0</v>
      </c>
      <c r="P730" s="28" t="str">
        <f t="shared" si="231"/>
        <v>On time</v>
      </c>
      <c r="Q730" s="27">
        <f t="shared" si="228"/>
        <v>0</v>
      </c>
      <c r="R730" s="29" t="s">
        <v>1273</v>
      </c>
      <c r="S730" s="12" t="s">
        <v>1274</v>
      </c>
      <c r="T730" s="35">
        <v>121</v>
      </c>
      <c r="U730" t="s">
        <v>1226</v>
      </c>
      <c r="V730" s="27">
        <v>100</v>
      </c>
      <c r="W730" s="9">
        <v>3.56</v>
      </c>
      <c r="X730" s="9">
        <f t="shared" si="229"/>
        <v>356</v>
      </c>
      <c r="Z730" s="10">
        <v>46021</v>
      </c>
      <c r="AA730" s="10">
        <v>46094</v>
      </c>
      <c r="AB730" s="10">
        <v>46157</v>
      </c>
      <c r="AC730" s="10">
        <v>46222</v>
      </c>
      <c r="AD730" s="31">
        <f t="shared" ca="1" si="225"/>
        <v>41</v>
      </c>
      <c r="AE730" s="36" t="s">
        <v>247</v>
      </c>
      <c r="AF730" t="s">
        <v>62</v>
      </c>
      <c r="AG730" s="10" t="s">
        <v>79</v>
      </c>
      <c r="AI730" s="9" t="s">
        <v>53</v>
      </c>
      <c r="AL730" s="9" t="s">
        <v>1319</v>
      </c>
      <c r="AM730" s="27" t="str">
        <f t="shared" si="226"/>
        <v>Atrasado</v>
      </c>
      <c r="AN730" s="27" t="str">
        <f t="shared" ca="1" si="234"/>
        <v>Estoque</v>
      </c>
      <c r="AO730" s="27" t="str">
        <f t="shared" ca="1" si="230"/>
        <v/>
      </c>
      <c r="AP730" t="s">
        <v>1318</v>
      </c>
    </row>
    <row r="731" spans="4:42" ht="15" hidden="1" customHeight="1">
      <c r="D731" t="s">
        <v>1227</v>
      </c>
      <c r="E731" s="23" t="s">
        <v>1899</v>
      </c>
      <c r="F731" s="24"/>
      <c r="I731" s="26"/>
      <c r="L731" s="27" t="str">
        <f t="shared" si="233"/>
        <v xml:space="preserve"> </v>
      </c>
      <c r="N731" s="27" t="str">
        <f t="shared" si="232"/>
        <v xml:space="preserve"> </v>
      </c>
      <c r="O731" s="27">
        <f t="shared" si="227"/>
        <v>0</v>
      </c>
      <c r="P731" s="28" t="str">
        <f t="shared" si="231"/>
        <v>On time</v>
      </c>
      <c r="Q731" s="27">
        <f t="shared" si="228"/>
        <v>0</v>
      </c>
      <c r="R731" s="29" t="s">
        <v>1273</v>
      </c>
      <c r="S731" s="12" t="s">
        <v>1274</v>
      </c>
      <c r="T731" s="35">
        <v>122</v>
      </c>
      <c r="U731" t="s">
        <v>1227</v>
      </c>
      <c r="V731" s="27">
        <v>30</v>
      </c>
      <c r="W731" s="9">
        <v>10.91</v>
      </c>
      <c r="X731" s="9">
        <f t="shared" si="229"/>
        <v>327.3</v>
      </c>
      <c r="Z731" s="10">
        <v>46021</v>
      </c>
      <c r="AA731" s="10">
        <v>46094</v>
      </c>
      <c r="AB731" s="10">
        <v>46157</v>
      </c>
      <c r="AC731" s="10">
        <v>46222</v>
      </c>
      <c r="AD731" s="31">
        <f t="shared" ca="1" si="225"/>
        <v>41</v>
      </c>
      <c r="AE731" s="36" t="s">
        <v>247</v>
      </c>
      <c r="AF731" t="s">
        <v>62</v>
      </c>
      <c r="AG731" s="10" t="s">
        <v>79</v>
      </c>
      <c r="AI731" s="9" t="s">
        <v>53</v>
      </c>
      <c r="AL731" s="9" t="s">
        <v>1319</v>
      </c>
      <c r="AM731" s="27" t="str">
        <f t="shared" si="226"/>
        <v>Atrasado</v>
      </c>
      <c r="AN731" s="27" t="str">
        <f t="shared" ca="1" si="234"/>
        <v>Estoque</v>
      </c>
      <c r="AO731" s="27" t="str">
        <f t="shared" ca="1" si="230"/>
        <v/>
      </c>
      <c r="AP731" t="s">
        <v>1318</v>
      </c>
    </row>
    <row r="732" spans="4:42" ht="15" hidden="1" customHeight="1">
      <c r="D732" t="s">
        <v>1228</v>
      </c>
      <c r="E732" s="23" t="s">
        <v>1900</v>
      </c>
      <c r="F732" s="24"/>
      <c r="I732" s="26"/>
      <c r="L732" s="27" t="str">
        <f t="shared" si="233"/>
        <v xml:space="preserve"> </v>
      </c>
      <c r="N732" s="27" t="str">
        <f t="shared" si="232"/>
        <v xml:space="preserve"> </v>
      </c>
      <c r="O732" s="27">
        <f t="shared" si="227"/>
        <v>0</v>
      </c>
      <c r="P732" s="28" t="str">
        <f t="shared" si="231"/>
        <v>On time</v>
      </c>
      <c r="Q732" s="27">
        <f t="shared" si="228"/>
        <v>0</v>
      </c>
      <c r="R732" s="29" t="s">
        <v>1273</v>
      </c>
      <c r="S732" s="12" t="s">
        <v>1274</v>
      </c>
      <c r="T732" s="35">
        <v>123</v>
      </c>
      <c r="U732" t="s">
        <v>1228</v>
      </c>
      <c r="V732" s="27">
        <v>20</v>
      </c>
      <c r="W732" s="9">
        <v>10.91</v>
      </c>
      <c r="X732" s="9">
        <f t="shared" si="229"/>
        <v>218.2</v>
      </c>
      <c r="Z732" s="10">
        <v>46021</v>
      </c>
      <c r="AA732" s="10">
        <v>46094</v>
      </c>
      <c r="AB732" s="10">
        <v>46157</v>
      </c>
      <c r="AC732" s="10">
        <v>46222</v>
      </c>
      <c r="AD732" s="31">
        <f t="shared" ca="1" si="225"/>
        <v>41</v>
      </c>
      <c r="AE732" s="36" t="s">
        <v>247</v>
      </c>
      <c r="AF732" t="s">
        <v>62</v>
      </c>
      <c r="AG732" s="10" t="s">
        <v>79</v>
      </c>
      <c r="AI732" s="9" t="s">
        <v>53</v>
      </c>
      <c r="AL732" s="9" t="s">
        <v>1319</v>
      </c>
      <c r="AM732" s="27" t="str">
        <f t="shared" si="226"/>
        <v>Atrasado</v>
      </c>
      <c r="AN732" s="27" t="str">
        <f t="shared" ca="1" si="234"/>
        <v>Estoque</v>
      </c>
      <c r="AO732" s="27" t="str">
        <f t="shared" ca="1" si="230"/>
        <v/>
      </c>
      <c r="AP732" t="s">
        <v>1318</v>
      </c>
    </row>
    <row r="733" spans="4:42" ht="15" hidden="1" customHeight="1">
      <c r="D733" t="s">
        <v>1229</v>
      </c>
      <c r="E733" s="23" t="s">
        <v>1901</v>
      </c>
      <c r="F733" s="24"/>
      <c r="I733" s="26"/>
      <c r="L733" s="27" t="str">
        <f t="shared" si="233"/>
        <v xml:space="preserve"> </v>
      </c>
      <c r="N733" s="27" t="str">
        <f t="shared" si="232"/>
        <v xml:space="preserve"> </v>
      </c>
      <c r="O733" s="27">
        <f t="shared" si="227"/>
        <v>0</v>
      </c>
      <c r="P733" s="28" t="str">
        <f t="shared" si="231"/>
        <v>On time</v>
      </c>
      <c r="Q733" s="27">
        <f t="shared" si="228"/>
        <v>0</v>
      </c>
      <c r="R733" s="29" t="s">
        <v>1273</v>
      </c>
      <c r="S733" s="12" t="s">
        <v>1274</v>
      </c>
      <c r="T733" s="35">
        <v>124</v>
      </c>
      <c r="U733" t="s">
        <v>1229</v>
      </c>
      <c r="V733" s="27">
        <v>100</v>
      </c>
      <c r="W733" s="9">
        <v>1.67</v>
      </c>
      <c r="X733" s="9">
        <f t="shared" si="229"/>
        <v>167</v>
      </c>
      <c r="Z733" s="10">
        <v>46021</v>
      </c>
      <c r="AA733" s="10">
        <v>46094</v>
      </c>
      <c r="AB733" s="10">
        <v>46157</v>
      </c>
      <c r="AC733" s="10">
        <v>46222</v>
      </c>
      <c r="AD733" s="31">
        <f t="shared" ca="1" si="225"/>
        <v>41</v>
      </c>
      <c r="AE733" s="36" t="s">
        <v>247</v>
      </c>
      <c r="AF733" t="s">
        <v>62</v>
      </c>
      <c r="AG733" s="10" t="s">
        <v>79</v>
      </c>
      <c r="AI733" s="9" t="s">
        <v>53</v>
      </c>
      <c r="AL733" s="9" t="s">
        <v>1319</v>
      </c>
      <c r="AM733" s="27" t="str">
        <f t="shared" si="226"/>
        <v>Atrasado</v>
      </c>
      <c r="AN733" s="27" t="str">
        <f t="shared" ca="1" si="234"/>
        <v>Estoque</v>
      </c>
      <c r="AO733" s="27" t="str">
        <f t="shared" ca="1" si="230"/>
        <v/>
      </c>
      <c r="AP733" t="s">
        <v>1318</v>
      </c>
    </row>
    <row r="734" spans="4:42" ht="15" hidden="1" customHeight="1">
      <c r="D734" t="s">
        <v>1230</v>
      </c>
      <c r="E734" s="23" t="s">
        <v>1902</v>
      </c>
      <c r="F734" s="24"/>
      <c r="I734" s="26"/>
      <c r="L734" s="27" t="str">
        <f t="shared" si="233"/>
        <v xml:space="preserve"> </v>
      </c>
      <c r="N734" s="27" t="str">
        <f t="shared" si="232"/>
        <v xml:space="preserve"> </v>
      </c>
      <c r="O734" s="27">
        <f t="shared" si="227"/>
        <v>0</v>
      </c>
      <c r="P734" s="28" t="str">
        <f t="shared" si="231"/>
        <v>On time</v>
      </c>
      <c r="Q734" s="27">
        <f t="shared" si="228"/>
        <v>0</v>
      </c>
      <c r="R734" s="29" t="s">
        <v>1273</v>
      </c>
      <c r="S734" s="12" t="s">
        <v>1274</v>
      </c>
      <c r="T734" s="35">
        <v>125</v>
      </c>
      <c r="U734" t="s">
        <v>1230</v>
      </c>
      <c r="V734" s="27">
        <v>200</v>
      </c>
      <c r="W734" s="9">
        <v>2.86</v>
      </c>
      <c r="X734" s="9">
        <f t="shared" si="229"/>
        <v>572</v>
      </c>
      <c r="Z734" s="10">
        <v>46021</v>
      </c>
      <c r="AA734" s="10">
        <v>46094</v>
      </c>
      <c r="AB734" s="10">
        <v>46157</v>
      </c>
      <c r="AC734" s="10">
        <v>46222</v>
      </c>
      <c r="AD734" s="31">
        <f t="shared" ca="1" si="225"/>
        <v>41</v>
      </c>
      <c r="AE734" s="36" t="s">
        <v>247</v>
      </c>
      <c r="AF734" t="s">
        <v>62</v>
      </c>
      <c r="AG734" s="10" t="s">
        <v>79</v>
      </c>
      <c r="AI734" s="9" t="s">
        <v>53</v>
      </c>
      <c r="AL734" s="9" t="s">
        <v>1319</v>
      </c>
      <c r="AM734" s="27" t="str">
        <f t="shared" si="226"/>
        <v>Atrasado</v>
      </c>
      <c r="AN734" s="27" t="str">
        <f t="shared" ca="1" si="234"/>
        <v>Estoque</v>
      </c>
      <c r="AO734" s="27" t="str">
        <f t="shared" ca="1" si="230"/>
        <v/>
      </c>
      <c r="AP734" t="s">
        <v>1318</v>
      </c>
    </row>
    <row r="735" spans="4:42" ht="15" hidden="1" customHeight="1">
      <c r="D735" t="s">
        <v>1231</v>
      </c>
      <c r="E735" s="23" t="s">
        <v>1903</v>
      </c>
      <c r="F735" s="24"/>
      <c r="I735" s="26"/>
      <c r="L735" s="27" t="str">
        <f t="shared" si="233"/>
        <v xml:space="preserve"> </v>
      </c>
      <c r="N735" s="27" t="str">
        <f t="shared" si="232"/>
        <v xml:space="preserve"> </v>
      </c>
      <c r="O735" s="27">
        <f t="shared" si="227"/>
        <v>0</v>
      </c>
      <c r="P735" s="28" t="str">
        <f t="shared" si="231"/>
        <v>On time</v>
      </c>
      <c r="Q735" s="27">
        <f t="shared" si="228"/>
        <v>0</v>
      </c>
      <c r="R735" s="29" t="s">
        <v>1273</v>
      </c>
      <c r="S735" s="12" t="s">
        <v>1274</v>
      </c>
      <c r="T735" s="35">
        <v>126</v>
      </c>
      <c r="U735" t="s">
        <v>1231</v>
      </c>
      <c r="V735" s="27">
        <v>100</v>
      </c>
      <c r="W735" s="9">
        <v>7.58</v>
      </c>
      <c r="X735" s="9">
        <f t="shared" si="229"/>
        <v>758</v>
      </c>
      <c r="Z735" s="10">
        <v>46021</v>
      </c>
      <c r="AA735" s="10">
        <v>46094</v>
      </c>
      <c r="AB735" s="10">
        <v>46157</v>
      </c>
      <c r="AC735" s="10">
        <v>46222</v>
      </c>
      <c r="AD735" s="31">
        <f t="shared" ca="1" si="225"/>
        <v>41</v>
      </c>
      <c r="AE735" s="36" t="s">
        <v>247</v>
      </c>
      <c r="AF735" t="s">
        <v>62</v>
      </c>
      <c r="AG735" s="10" t="s">
        <v>79</v>
      </c>
      <c r="AI735" s="9" t="s">
        <v>53</v>
      </c>
      <c r="AL735" s="9" t="s">
        <v>1319</v>
      </c>
      <c r="AM735" s="27" t="str">
        <f t="shared" si="226"/>
        <v>Atrasado</v>
      </c>
      <c r="AN735" s="27" t="str">
        <f t="shared" ca="1" si="234"/>
        <v>Estoque</v>
      </c>
      <c r="AO735" s="27" t="str">
        <f t="shared" ca="1" si="230"/>
        <v/>
      </c>
      <c r="AP735" t="s">
        <v>1318</v>
      </c>
    </row>
    <row r="736" spans="4:42" ht="15" hidden="1" customHeight="1">
      <c r="D736" t="s">
        <v>1232</v>
      </c>
      <c r="E736" s="23" t="s">
        <v>1904</v>
      </c>
      <c r="F736" s="24"/>
      <c r="I736" s="26"/>
      <c r="L736" s="27" t="str">
        <f t="shared" si="233"/>
        <v xml:space="preserve"> </v>
      </c>
      <c r="N736" s="27" t="str">
        <f t="shared" si="232"/>
        <v xml:space="preserve"> </v>
      </c>
      <c r="O736" s="27">
        <f t="shared" si="227"/>
        <v>0</v>
      </c>
      <c r="P736" s="28" t="str">
        <f t="shared" si="231"/>
        <v>On time</v>
      </c>
      <c r="Q736" s="27">
        <f t="shared" si="228"/>
        <v>0</v>
      </c>
      <c r="R736" s="29" t="s">
        <v>1273</v>
      </c>
      <c r="S736" s="12" t="s">
        <v>1274</v>
      </c>
      <c r="T736" s="35">
        <v>127</v>
      </c>
      <c r="U736" t="s">
        <v>1232</v>
      </c>
      <c r="V736" s="27">
        <v>100</v>
      </c>
      <c r="W736" s="9">
        <v>2.73</v>
      </c>
      <c r="X736" s="9">
        <f t="shared" si="229"/>
        <v>273</v>
      </c>
      <c r="Z736" s="10">
        <v>46021</v>
      </c>
      <c r="AA736" s="10">
        <v>46094</v>
      </c>
      <c r="AB736" s="10">
        <v>46157</v>
      </c>
      <c r="AC736" s="10">
        <v>46222</v>
      </c>
      <c r="AD736" s="31">
        <f t="shared" ca="1" si="225"/>
        <v>41</v>
      </c>
      <c r="AE736" s="36" t="s">
        <v>247</v>
      </c>
      <c r="AF736" t="s">
        <v>62</v>
      </c>
      <c r="AG736" s="10" t="s">
        <v>79</v>
      </c>
      <c r="AI736" s="9" t="s">
        <v>53</v>
      </c>
      <c r="AL736" s="9" t="s">
        <v>1319</v>
      </c>
      <c r="AM736" s="27" t="str">
        <f t="shared" si="226"/>
        <v>Atrasado</v>
      </c>
      <c r="AN736" s="27" t="str">
        <f t="shared" ca="1" si="234"/>
        <v>Estoque</v>
      </c>
      <c r="AO736" s="27" t="str">
        <f t="shared" ca="1" si="230"/>
        <v/>
      </c>
      <c r="AP736" t="s">
        <v>1318</v>
      </c>
    </row>
    <row r="737" spans="4:42" ht="15" hidden="1" customHeight="1">
      <c r="D737" t="s">
        <v>1233</v>
      </c>
      <c r="E737" s="23" t="s">
        <v>1905</v>
      </c>
      <c r="F737" s="24"/>
      <c r="I737" s="26"/>
      <c r="L737" s="27" t="str">
        <f t="shared" si="233"/>
        <v xml:space="preserve"> </v>
      </c>
      <c r="N737" s="27" t="str">
        <f t="shared" si="232"/>
        <v xml:space="preserve"> </v>
      </c>
      <c r="O737" s="27">
        <f t="shared" si="227"/>
        <v>0</v>
      </c>
      <c r="P737" s="28" t="str">
        <f t="shared" si="231"/>
        <v>On time</v>
      </c>
      <c r="Q737" s="27">
        <f t="shared" si="228"/>
        <v>0</v>
      </c>
      <c r="R737" s="29" t="s">
        <v>1273</v>
      </c>
      <c r="S737" s="12" t="s">
        <v>1274</v>
      </c>
      <c r="T737" s="35">
        <v>128</v>
      </c>
      <c r="U737" t="s">
        <v>1233</v>
      </c>
      <c r="V737" s="27">
        <v>10</v>
      </c>
      <c r="W737" s="9">
        <v>24.24</v>
      </c>
      <c r="X737" s="9">
        <f t="shared" si="229"/>
        <v>242.39999999999998</v>
      </c>
      <c r="Z737" s="10">
        <v>46021</v>
      </c>
      <c r="AA737" s="10">
        <v>46094</v>
      </c>
      <c r="AB737" s="10">
        <v>46157</v>
      </c>
      <c r="AC737" s="10">
        <v>46222</v>
      </c>
      <c r="AD737" s="31">
        <f t="shared" ca="1" si="225"/>
        <v>41</v>
      </c>
      <c r="AE737" s="36" t="s">
        <v>247</v>
      </c>
      <c r="AF737" t="s">
        <v>62</v>
      </c>
      <c r="AG737" s="10" t="s">
        <v>79</v>
      </c>
      <c r="AI737" s="9" t="s">
        <v>53</v>
      </c>
      <c r="AL737" s="9" t="s">
        <v>1319</v>
      </c>
      <c r="AM737" s="27" t="str">
        <f t="shared" si="226"/>
        <v>Atrasado</v>
      </c>
      <c r="AN737" s="27" t="str">
        <f t="shared" ca="1" si="234"/>
        <v>Estoque</v>
      </c>
      <c r="AO737" s="27" t="str">
        <f t="shared" ca="1" si="230"/>
        <v/>
      </c>
      <c r="AP737" t="s">
        <v>1318</v>
      </c>
    </row>
    <row r="738" spans="4:42" ht="15" hidden="1" customHeight="1">
      <c r="D738" t="s">
        <v>1234</v>
      </c>
      <c r="E738" s="23" t="s">
        <v>1906</v>
      </c>
      <c r="F738" s="24"/>
      <c r="I738" s="26"/>
      <c r="L738" s="27" t="str">
        <f t="shared" si="233"/>
        <v xml:space="preserve"> </v>
      </c>
      <c r="N738" s="27" t="str">
        <f t="shared" si="232"/>
        <v xml:space="preserve"> </v>
      </c>
      <c r="O738" s="27">
        <f t="shared" si="227"/>
        <v>0</v>
      </c>
      <c r="P738" s="28" t="str">
        <f t="shared" si="231"/>
        <v>On time</v>
      </c>
      <c r="Q738" s="27">
        <f t="shared" si="228"/>
        <v>0</v>
      </c>
      <c r="R738" s="29" t="s">
        <v>1273</v>
      </c>
      <c r="S738" s="12" t="s">
        <v>1274</v>
      </c>
      <c r="T738" s="35">
        <v>129</v>
      </c>
      <c r="U738" t="s">
        <v>1234</v>
      </c>
      <c r="V738" s="27">
        <v>200</v>
      </c>
      <c r="W738" s="9">
        <v>1.21</v>
      </c>
      <c r="X738" s="9">
        <f t="shared" si="229"/>
        <v>242</v>
      </c>
      <c r="Z738" s="10">
        <v>46021</v>
      </c>
      <c r="AA738" s="10">
        <v>46094</v>
      </c>
      <c r="AB738" s="10">
        <v>46157</v>
      </c>
      <c r="AC738" s="10">
        <v>46222</v>
      </c>
      <c r="AD738" s="31">
        <f t="shared" ref="AD738:AD777" ca="1" si="235">TODAY()-AA738</f>
        <v>41</v>
      </c>
      <c r="AE738" s="36" t="s">
        <v>247</v>
      </c>
      <c r="AF738" t="s">
        <v>62</v>
      </c>
      <c r="AG738" s="10" t="s">
        <v>79</v>
      </c>
      <c r="AI738" s="9" t="s">
        <v>53</v>
      </c>
      <c r="AL738" s="9" t="s">
        <v>1319</v>
      </c>
      <c r="AM738" s="27" t="str">
        <f t="shared" ref="AM738:AM777" si="236">IF(AB738=0," ",IF(AB738&lt;=AA738+10,"On time","Atrasado"))</f>
        <v>Atrasado</v>
      </c>
      <c r="AN738" s="27" t="str">
        <f t="shared" ca="1" si="234"/>
        <v>Estoque</v>
      </c>
      <c r="AO738" s="27" t="str">
        <f t="shared" ca="1" si="230"/>
        <v/>
      </c>
      <c r="AP738" t="s">
        <v>1318</v>
      </c>
    </row>
    <row r="739" spans="4:42" ht="15" hidden="1" customHeight="1">
      <c r="D739" t="s">
        <v>1235</v>
      </c>
      <c r="E739" s="23" t="s">
        <v>1907</v>
      </c>
      <c r="F739" s="24"/>
      <c r="I739" s="26"/>
      <c r="L739" s="27" t="str">
        <f t="shared" si="233"/>
        <v xml:space="preserve"> </v>
      </c>
      <c r="N739" s="27" t="str">
        <f t="shared" si="232"/>
        <v xml:space="preserve"> </v>
      </c>
      <c r="O739" s="27">
        <f t="shared" si="227"/>
        <v>0</v>
      </c>
      <c r="P739" s="28" t="str">
        <f t="shared" si="231"/>
        <v>On time</v>
      </c>
      <c r="Q739" s="27">
        <f t="shared" si="228"/>
        <v>0</v>
      </c>
      <c r="R739" s="29" t="s">
        <v>1273</v>
      </c>
      <c r="S739" s="12" t="s">
        <v>1274</v>
      </c>
      <c r="T739" s="35">
        <v>130</v>
      </c>
      <c r="U739" t="s">
        <v>1235</v>
      </c>
      <c r="V739" s="27">
        <v>100</v>
      </c>
      <c r="W739" s="9">
        <v>6.36</v>
      </c>
      <c r="X739" s="9">
        <f t="shared" si="229"/>
        <v>636</v>
      </c>
      <c r="Z739" s="10">
        <v>46021</v>
      </c>
      <c r="AA739" s="10">
        <v>46094</v>
      </c>
      <c r="AB739" s="10">
        <v>46157</v>
      </c>
      <c r="AC739" s="10">
        <v>46222</v>
      </c>
      <c r="AD739" s="31">
        <f t="shared" ca="1" si="235"/>
        <v>41</v>
      </c>
      <c r="AE739" s="36" t="s">
        <v>247</v>
      </c>
      <c r="AF739" t="s">
        <v>62</v>
      </c>
      <c r="AG739" s="10" t="s">
        <v>79</v>
      </c>
      <c r="AI739" s="9" t="s">
        <v>53</v>
      </c>
      <c r="AL739" s="9" t="s">
        <v>1319</v>
      </c>
      <c r="AM739" s="27" t="str">
        <f t="shared" si="236"/>
        <v>Atrasado</v>
      </c>
      <c r="AN739" s="27" t="str">
        <f t="shared" ca="1" si="234"/>
        <v>Estoque</v>
      </c>
      <c r="AO739" s="27" t="str">
        <f t="shared" ca="1" si="230"/>
        <v/>
      </c>
      <c r="AP739" t="s">
        <v>1318</v>
      </c>
    </row>
    <row r="740" spans="4:42" ht="15" hidden="1" customHeight="1">
      <c r="D740" t="s">
        <v>1236</v>
      </c>
      <c r="E740" s="23" t="s">
        <v>1908</v>
      </c>
      <c r="F740" s="24"/>
      <c r="I740" s="26"/>
      <c r="L740" s="27" t="str">
        <f t="shared" si="233"/>
        <v xml:space="preserve"> </v>
      </c>
      <c r="N740" s="27" t="str">
        <f t="shared" si="232"/>
        <v xml:space="preserve"> </v>
      </c>
      <c r="O740" s="27">
        <f t="shared" si="227"/>
        <v>0</v>
      </c>
      <c r="P740" s="28" t="str">
        <f t="shared" si="231"/>
        <v>On time</v>
      </c>
      <c r="Q740" s="27">
        <f t="shared" si="228"/>
        <v>0</v>
      </c>
      <c r="R740" s="29" t="s">
        <v>1273</v>
      </c>
      <c r="S740" s="12" t="s">
        <v>1274</v>
      </c>
      <c r="T740" s="35">
        <v>131</v>
      </c>
      <c r="U740" t="s">
        <v>1236</v>
      </c>
      <c r="V740" s="27">
        <v>200</v>
      </c>
      <c r="W740" s="9">
        <v>1.82</v>
      </c>
      <c r="X740" s="9">
        <f t="shared" si="229"/>
        <v>364</v>
      </c>
      <c r="Z740" s="10">
        <v>46021</v>
      </c>
      <c r="AA740" s="10">
        <v>46094</v>
      </c>
      <c r="AB740" s="10">
        <v>46157</v>
      </c>
      <c r="AC740" s="10">
        <v>46222</v>
      </c>
      <c r="AD740" s="31">
        <f t="shared" ca="1" si="235"/>
        <v>41</v>
      </c>
      <c r="AE740" s="36" t="s">
        <v>247</v>
      </c>
      <c r="AF740" t="s">
        <v>62</v>
      </c>
      <c r="AG740" s="10" t="s">
        <v>79</v>
      </c>
      <c r="AI740" s="9" t="s">
        <v>53</v>
      </c>
      <c r="AL740" s="9" t="s">
        <v>1319</v>
      </c>
      <c r="AM740" s="27" t="str">
        <f t="shared" si="236"/>
        <v>Atrasado</v>
      </c>
      <c r="AN740" s="27" t="str">
        <f t="shared" ca="1" si="234"/>
        <v>Estoque</v>
      </c>
      <c r="AO740" s="27" t="str">
        <f t="shared" ca="1" si="230"/>
        <v/>
      </c>
      <c r="AP740" t="s">
        <v>1318</v>
      </c>
    </row>
    <row r="741" spans="4:42" ht="15" hidden="1" customHeight="1">
      <c r="D741" t="s">
        <v>1237</v>
      </c>
      <c r="E741" s="23" t="s">
        <v>1909</v>
      </c>
      <c r="F741" s="24"/>
      <c r="I741" s="26"/>
      <c r="L741" s="27" t="str">
        <f t="shared" si="233"/>
        <v xml:space="preserve"> </v>
      </c>
      <c r="N741" s="27" t="str">
        <f t="shared" si="232"/>
        <v xml:space="preserve"> </v>
      </c>
      <c r="O741" s="27">
        <f t="shared" si="227"/>
        <v>0</v>
      </c>
      <c r="P741" s="28" t="str">
        <f t="shared" si="231"/>
        <v>On time</v>
      </c>
      <c r="Q741" s="27">
        <f t="shared" si="228"/>
        <v>0</v>
      </c>
      <c r="R741" s="29" t="s">
        <v>1273</v>
      </c>
      <c r="S741" s="12" t="s">
        <v>1274</v>
      </c>
      <c r="T741" s="35">
        <v>132</v>
      </c>
      <c r="U741" t="s">
        <v>1237</v>
      </c>
      <c r="V741" s="27">
        <v>150</v>
      </c>
      <c r="W741" s="9">
        <v>6.36</v>
      </c>
      <c r="X741" s="9">
        <f t="shared" si="229"/>
        <v>954</v>
      </c>
      <c r="Z741" s="10">
        <v>46021</v>
      </c>
      <c r="AA741" s="10">
        <v>46094</v>
      </c>
      <c r="AB741" s="10">
        <v>46157</v>
      </c>
      <c r="AC741" s="10">
        <v>46222</v>
      </c>
      <c r="AD741" s="31">
        <f t="shared" ca="1" si="235"/>
        <v>41</v>
      </c>
      <c r="AE741" s="36" t="s">
        <v>247</v>
      </c>
      <c r="AF741" t="s">
        <v>62</v>
      </c>
      <c r="AG741" s="10" t="s">
        <v>79</v>
      </c>
      <c r="AI741" s="9" t="s">
        <v>53</v>
      </c>
      <c r="AL741" s="9" t="s">
        <v>1319</v>
      </c>
      <c r="AM741" s="27" t="str">
        <f t="shared" si="236"/>
        <v>Atrasado</v>
      </c>
      <c r="AN741" s="27" t="str">
        <f t="shared" ca="1" si="234"/>
        <v>Estoque</v>
      </c>
      <c r="AO741" s="27" t="str">
        <f t="shared" ca="1" si="230"/>
        <v/>
      </c>
      <c r="AP741" t="s">
        <v>1318</v>
      </c>
    </row>
    <row r="742" spans="4:42" ht="15" hidden="1" customHeight="1">
      <c r="D742" t="s">
        <v>1238</v>
      </c>
      <c r="E742" s="23" t="s">
        <v>1910</v>
      </c>
      <c r="F742" s="24"/>
      <c r="I742" s="26"/>
      <c r="L742" s="27" t="str">
        <f t="shared" si="233"/>
        <v xml:space="preserve"> </v>
      </c>
      <c r="N742" s="27" t="str">
        <f t="shared" si="232"/>
        <v xml:space="preserve"> </v>
      </c>
      <c r="O742" s="27">
        <f t="shared" si="227"/>
        <v>0</v>
      </c>
      <c r="P742" s="28" t="str">
        <f t="shared" si="231"/>
        <v>On time</v>
      </c>
      <c r="Q742" s="27">
        <f t="shared" si="228"/>
        <v>0</v>
      </c>
      <c r="R742" s="29" t="s">
        <v>1273</v>
      </c>
      <c r="S742" s="12" t="s">
        <v>1274</v>
      </c>
      <c r="T742" s="35">
        <v>133</v>
      </c>
      <c r="U742" t="s">
        <v>1238</v>
      </c>
      <c r="V742" s="27">
        <v>100</v>
      </c>
      <c r="W742" s="9">
        <v>6.36</v>
      </c>
      <c r="X742" s="9">
        <f t="shared" si="229"/>
        <v>636</v>
      </c>
      <c r="Z742" s="10">
        <v>46021</v>
      </c>
      <c r="AA742" s="10">
        <v>46094</v>
      </c>
      <c r="AB742" s="10">
        <v>46157</v>
      </c>
      <c r="AC742" s="10">
        <v>46222</v>
      </c>
      <c r="AD742" s="31">
        <f t="shared" ca="1" si="235"/>
        <v>41</v>
      </c>
      <c r="AE742" s="36" t="s">
        <v>247</v>
      </c>
      <c r="AF742" t="s">
        <v>62</v>
      </c>
      <c r="AG742" s="10" t="s">
        <v>79</v>
      </c>
      <c r="AI742" s="9" t="s">
        <v>53</v>
      </c>
      <c r="AL742" s="9" t="s">
        <v>1319</v>
      </c>
      <c r="AM742" s="27" t="str">
        <f t="shared" si="236"/>
        <v>Atrasado</v>
      </c>
      <c r="AN742" s="27" t="str">
        <f t="shared" ca="1" si="234"/>
        <v>Estoque</v>
      </c>
      <c r="AO742" s="27" t="str">
        <f t="shared" ca="1" si="230"/>
        <v/>
      </c>
      <c r="AP742" t="s">
        <v>1318</v>
      </c>
    </row>
    <row r="743" spans="4:42" ht="15" hidden="1" customHeight="1">
      <c r="D743" t="s">
        <v>1239</v>
      </c>
      <c r="E743" s="23" t="s">
        <v>1911</v>
      </c>
      <c r="F743" s="24"/>
      <c r="I743" s="26"/>
      <c r="L743" s="27" t="str">
        <f t="shared" si="233"/>
        <v xml:space="preserve"> </v>
      </c>
      <c r="N743" s="27" t="str">
        <f t="shared" si="232"/>
        <v xml:space="preserve"> </v>
      </c>
      <c r="O743" s="27">
        <f t="shared" si="227"/>
        <v>0</v>
      </c>
      <c r="P743" s="28" t="str">
        <f t="shared" si="231"/>
        <v>On time</v>
      </c>
      <c r="Q743" s="27">
        <f t="shared" si="228"/>
        <v>0</v>
      </c>
      <c r="R743" s="29" t="s">
        <v>1273</v>
      </c>
      <c r="S743" s="12" t="s">
        <v>1274</v>
      </c>
      <c r="T743" s="35">
        <v>134</v>
      </c>
      <c r="U743" t="s">
        <v>1239</v>
      </c>
      <c r="V743" s="27">
        <v>200</v>
      </c>
      <c r="W743" s="9">
        <v>1.82</v>
      </c>
      <c r="X743" s="9">
        <f t="shared" si="229"/>
        <v>364</v>
      </c>
      <c r="Z743" s="10">
        <v>46021</v>
      </c>
      <c r="AA743" s="10">
        <v>46094</v>
      </c>
      <c r="AB743" s="10">
        <v>46157</v>
      </c>
      <c r="AC743" s="10">
        <v>46222</v>
      </c>
      <c r="AD743" s="31">
        <f t="shared" ca="1" si="235"/>
        <v>41</v>
      </c>
      <c r="AE743" s="36" t="s">
        <v>247</v>
      </c>
      <c r="AF743" t="s">
        <v>62</v>
      </c>
      <c r="AG743" s="10" t="s">
        <v>79</v>
      </c>
      <c r="AI743" s="9" t="s">
        <v>53</v>
      </c>
      <c r="AL743" s="9" t="s">
        <v>1319</v>
      </c>
      <c r="AM743" s="27" t="str">
        <f t="shared" si="236"/>
        <v>Atrasado</v>
      </c>
      <c r="AN743" s="27" t="str">
        <f t="shared" ca="1" si="234"/>
        <v>Estoque</v>
      </c>
      <c r="AO743" s="27" t="str">
        <f t="shared" ca="1" si="230"/>
        <v/>
      </c>
      <c r="AP743" t="s">
        <v>1318</v>
      </c>
    </row>
    <row r="744" spans="4:42" ht="15" hidden="1" customHeight="1">
      <c r="D744" t="s">
        <v>1240</v>
      </c>
      <c r="E744" s="23" t="s">
        <v>1912</v>
      </c>
      <c r="F744" s="24"/>
      <c r="I744" s="26"/>
      <c r="L744" s="27" t="str">
        <f t="shared" si="233"/>
        <v xml:space="preserve"> </v>
      </c>
      <c r="N744" s="27" t="str">
        <f t="shared" si="232"/>
        <v xml:space="preserve"> </v>
      </c>
      <c r="O744" s="27">
        <f t="shared" si="227"/>
        <v>0</v>
      </c>
      <c r="P744" s="28" t="str">
        <f t="shared" si="231"/>
        <v>On time</v>
      </c>
      <c r="Q744" s="27">
        <f t="shared" si="228"/>
        <v>0</v>
      </c>
      <c r="R744" s="29" t="s">
        <v>1273</v>
      </c>
      <c r="S744" s="12" t="s">
        <v>1274</v>
      </c>
      <c r="T744" s="35">
        <v>135</v>
      </c>
      <c r="U744" t="s">
        <v>1240</v>
      </c>
      <c r="V744" s="27">
        <v>500</v>
      </c>
      <c r="W744" s="9">
        <v>1.74</v>
      </c>
      <c r="X744" s="9">
        <f t="shared" si="229"/>
        <v>870</v>
      </c>
      <c r="Z744" s="10">
        <v>46021</v>
      </c>
      <c r="AA744" s="10">
        <v>46094</v>
      </c>
      <c r="AB744" s="10">
        <v>46157</v>
      </c>
      <c r="AC744" s="10">
        <v>46222</v>
      </c>
      <c r="AD744" s="31">
        <f t="shared" ca="1" si="235"/>
        <v>41</v>
      </c>
      <c r="AE744" s="36" t="s">
        <v>247</v>
      </c>
      <c r="AF744" t="s">
        <v>62</v>
      </c>
      <c r="AG744" s="10" t="s">
        <v>79</v>
      </c>
      <c r="AI744" s="9" t="s">
        <v>53</v>
      </c>
      <c r="AL744" s="9" t="s">
        <v>1319</v>
      </c>
      <c r="AM744" s="27" t="str">
        <f t="shared" si="236"/>
        <v>Atrasado</v>
      </c>
      <c r="AN744" s="27" t="str">
        <f t="shared" ca="1" si="234"/>
        <v>Estoque</v>
      </c>
      <c r="AO744" s="27" t="str">
        <f t="shared" ca="1" si="230"/>
        <v/>
      </c>
      <c r="AP744" t="s">
        <v>1318</v>
      </c>
    </row>
    <row r="745" spans="4:42" ht="15" hidden="1" customHeight="1">
      <c r="D745" t="s">
        <v>1241</v>
      </c>
      <c r="E745" s="23" t="s">
        <v>1913</v>
      </c>
      <c r="F745" s="24"/>
      <c r="I745" s="26"/>
      <c r="L745" s="27" t="str">
        <f t="shared" si="233"/>
        <v xml:space="preserve"> </v>
      </c>
      <c r="N745" s="27" t="str">
        <f t="shared" si="232"/>
        <v xml:space="preserve"> </v>
      </c>
      <c r="O745" s="27">
        <f t="shared" si="227"/>
        <v>0</v>
      </c>
      <c r="P745" s="28" t="str">
        <f t="shared" si="231"/>
        <v>On time</v>
      </c>
      <c r="Q745" s="27">
        <f t="shared" si="228"/>
        <v>0</v>
      </c>
      <c r="R745" s="29" t="s">
        <v>1273</v>
      </c>
      <c r="S745" s="12" t="s">
        <v>1274</v>
      </c>
      <c r="T745" s="35">
        <v>136</v>
      </c>
      <c r="U745" t="s">
        <v>1241</v>
      </c>
      <c r="V745" s="27">
        <v>250</v>
      </c>
      <c r="W745" s="9">
        <v>1.74</v>
      </c>
      <c r="X745" s="9">
        <f t="shared" si="229"/>
        <v>435</v>
      </c>
      <c r="Z745" s="10">
        <v>46021</v>
      </c>
      <c r="AA745" s="10">
        <v>46094</v>
      </c>
      <c r="AB745" s="10">
        <v>46157</v>
      </c>
      <c r="AC745" s="10">
        <v>46222</v>
      </c>
      <c r="AD745" s="31">
        <f t="shared" ca="1" si="235"/>
        <v>41</v>
      </c>
      <c r="AE745" s="36" t="s">
        <v>247</v>
      </c>
      <c r="AF745" t="s">
        <v>62</v>
      </c>
      <c r="AG745" s="10" t="s">
        <v>79</v>
      </c>
      <c r="AI745" s="9" t="s">
        <v>53</v>
      </c>
      <c r="AL745" s="9" t="s">
        <v>1319</v>
      </c>
      <c r="AM745" s="27" t="str">
        <f t="shared" si="236"/>
        <v>Atrasado</v>
      </c>
      <c r="AN745" s="27" t="str">
        <f t="shared" ca="1" si="234"/>
        <v>Estoque</v>
      </c>
      <c r="AO745" s="27" t="str">
        <f t="shared" ca="1" si="230"/>
        <v/>
      </c>
      <c r="AP745" t="s">
        <v>1318</v>
      </c>
    </row>
    <row r="746" spans="4:42" ht="15" hidden="1" customHeight="1">
      <c r="D746" t="s">
        <v>1242</v>
      </c>
      <c r="E746" s="23" t="s">
        <v>1695</v>
      </c>
      <c r="F746" s="24"/>
      <c r="I746" s="26"/>
      <c r="L746" s="27" t="str">
        <f t="shared" si="233"/>
        <v xml:space="preserve"> </v>
      </c>
      <c r="N746" s="27" t="str">
        <f t="shared" si="232"/>
        <v xml:space="preserve"> </v>
      </c>
      <c r="O746" s="27">
        <f t="shared" si="227"/>
        <v>0</v>
      </c>
      <c r="P746" s="28" t="str">
        <f t="shared" si="231"/>
        <v>On time</v>
      </c>
      <c r="Q746" s="27">
        <f t="shared" si="228"/>
        <v>0</v>
      </c>
      <c r="R746" s="29" t="s">
        <v>1273</v>
      </c>
      <c r="S746" s="12" t="s">
        <v>1274</v>
      </c>
      <c r="T746" s="35">
        <v>137</v>
      </c>
      <c r="U746" t="s">
        <v>1242</v>
      </c>
      <c r="V746" s="27">
        <v>250</v>
      </c>
      <c r="W746" s="9">
        <v>1.74</v>
      </c>
      <c r="X746" s="9">
        <f t="shared" si="229"/>
        <v>435</v>
      </c>
      <c r="Z746" s="10">
        <v>46021</v>
      </c>
      <c r="AA746" s="10">
        <v>46094</v>
      </c>
      <c r="AB746" s="10">
        <v>46157</v>
      </c>
      <c r="AC746" s="10">
        <v>46222</v>
      </c>
      <c r="AD746" s="31">
        <f t="shared" ca="1" si="235"/>
        <v>41</v>
      </c>
      <c r="AE746" s="36" t="s">
        <v>247</v>
      </c>
      <c r="AF746" t="s">
        <v>62</v>
      </c>
      <c r="AG746" s="10" t="s">
        <v>79</v>
      </c>
      <c r="AI746" s="9" t="s">
        <v>53</v>
      </c>
      <c r="AL746" s="9" t="s">
        <v>1319</v>
      </c>
      <c r="AM746" s="27" t="str">
        <f t="shared" si="236"/>
        <v>Atrasado</v>
      </c>
      <c r="AN746" s="27" t="str">
        <f t="shared" ca="1" si="234"/>
        <v>Estoque</v>
      </c>
      <c r="AO746" s="27" t="str">
        <f t="shared" ca="1" si="230"/>
        <v/>
      </c>
      <c r="AP746" t="s">
        <v>1318</v>
      </c>
    </row>
    <row r="747" spans="4:42" ht="15" hidden="1" customHeight="1">
      <c r="D747" t="s">
        <v>1243</v>
      </c>
      <c r="E747" s="23" t="s">
        <v>1914</v>
      </c>
      <c r="F747" s="24"/>
      <c r="I747" s="26"/>
      <c r="L747" s="27" t="str">
        <f t="shared" si="233"/>
        <v xml:space="preserve"> </v>
      </c>
      <c r="N747" s="27" t="str">
        <f t="shared" si="232"/>
        <v xml:space="preserve"> </v>
      </c>
      <c r="O747" s="27">
        <f t="shared" si="227"/>
        <v>0</v>
      </c>
      <c r="P747" s="28" t="str">
        <f t="shared" si="231"/>
        <v>On time</v>
      </c>
      <c r="Q747" s="27">
        <f t="shared" si="228"/>
        <v>0</v>
      </c>
      <c r="R747" s="29" t="s">
        <v>1273</v>
      </c>
      <c r="S747" s="12" t="s">
        <v>1274</v>
      </c>
      <c r="T747" s="35">
        <v>138</v>
      </c>
      <c r="U747" t="s">
        <v>1243</v>
      </c>
      <c r="V747" s="27">
        <v>30</v>
      </c>
      <c r="W747" s="9">
        <v>5.3</v>
      </c>
      <c r="X747" s="9">
        <f t="shared" si="229"/>
        <v>159</v>
      </c>
      <c r="Z747" s="10">
        <v>46021</v>
      </c>
      <c r="AA747" s="10">
        <v>46094</v>
      </c>
      <c r="AB747" s="10">
        <v>46157</v>
      </c>
      <c r="AC747" s="10">
        <v>46222</v>
      </c>
      <c r="AD747" s="31">
        <f t="shared" ca="1" si="235"/>
        <v>41</v>
      </c>
      <c r="AE747" s="36" t="s">
        <v>247</v>
      </c>
      <c r="AF747" t="s">
        <v>62</v>
      </c>
      <c r="AG747" s="10" t="s">
        <v>79</v>
      </c>
      <c r="AI747" s="9" t="s">
        <v>53</v>
      </c>
      <c r="AL747" s="9" t="s">
        <v>1319</v>
      </c>
      <c r="AM747" s="27" t="str">
        <f t="shared" si="236"/>
        <v>Atrasado</v>
      </c>
      <c r="AN747" s="27" t="str">
        <f t="shared" ca="1" si="234"/>
        <v>Estoque</v>
      </c>
      <c r="AO747" s="27" t="str">
        <f t="shared" ca="1" si="230"/>
        <v/>
      </c>
      <c r="AP747" t="s">
        <v>1318</v>
      </c>
    </row>
    <row r="748" spans="4:42" ht="15" hidden="1" customHeight="1">
      <c r="D748" t="s">
        <v>1244</v>
      </c>
      <c r="E748" s="23" t="s">
        <v>1915</v>
      </c>
      <c r="F748" s="24"/>
      <c r="I748" s="26"/>
      <c r="L748" s="27" t="str">
        <f t="shared" si="233"/>
        <v xml:space="preserve"> </v>
      </c>
      <c r="N748" s="27" t="str">
        <f t="shared" si="232"/>
        <v xml:space="preserve"> </v>
      </c>
      <c r="O748" s="27">
        <f t="shared" si="227"/>
        <v>0</v>
      </c>
      <c r="P748" s="28" t="str">
        <f t="shared" si="231"/>
        <v>On time</v>
      </c>
      <c r="Q748" s="27">
        <f t="shared" si="228"/>
        <v>0</v>
      </c>
      <c r="R748" s="29" t="s">
        <v>1273</v>
      </c>
      <c r="S748" s="12" t="s">
        <v>1274</v>
      </c>
      <c r="T748" s="35">
        <v>139</v>
      </c>
      <c r="U748" t="s">
        <v>1244</v>
      </c>
      <c r="V748" s="27">
        <v>50</v>
      </c>
      <c r="W748" s="9">
        <v>5.3</v>
      </c>
      <c r="X748" s="9">
        <f t="shared" si="229"/>
        <v>265</v>
      </c>
      <c r="Z748" s="10">
        <v>46021</v>
      </c>
      <c r="AA748" s="10">
        <v>46094</v>
      </c>
      <c r="AB748" s="10">
        <v>46157</v>
      </c>
      <c r="AC748" s="10">
        <v>46222</v>
      </c>
      <c r="AD748" s="31">
        <f t="shared" ca="1" si="235"/>
        <v>41</v>
      </c>
      <c r="AE748" s="36" t="s">
        <v>247</v>
      </c>
      <c r="AF748" t="s">
        <v>62</v>
      </c>
      <c r="AG748" s="10" t="s">
        <v>79</v>
      </c>
      <c r="AI748" s="9" t="s">
        <v>53</v>
      </c>
      <c r="AL748" s="9" t="s">
        <v>1319</v>
      </c>
      <c r="AM748" s="27" t="str">
        <f t="shared" si="236"/>
        <v>Atrasado</v>
      </c>
      <c r="AN748" s="27" t="str">
        <f t="shared" ca="1" si="234"/>
        <v>Estoque</v>
      </c>
      <c r="AO748" s="27" t="str">
        <f t="shared" ca="1" si="230"/>
        <v/>
      </c>
      <c r="AP748" t="s">
        <v>1318</v>
      </c>
    </row>
    <row r="749" spans="4:42" ht="15" hidden="1" customHeight="1">
      <c r="D749" t="s">
        <v>1245</v>
      </c>
      <c r="E749" s="23" t="s">
        <v>1916</v>
      </c>
      <c r="F749" s="24"/>
      <c r="I749" s="26"/>
      <c r="L749" s="27" t="str">
        <f t="shared" si="233"/>
        <v xml:space="preserve"> </v>
      </c>
      <c r="N749" s="27" t="str">
        <f t="shared" si="232"/>
        <v xml:space="preserve"> </v>
      </c>
      <c r="O749" s="27">
        <f t="shared" si="227"/>
        <v>0</v>
      </c>
      <c r="P749" s="28" t="str">
        <f t="shared" si="231"/>
        <v>On time</v>
      </c>
      <c r="Q749" s="27">
        <f t="shared" si="228"/>
        <v>0</v>
      </c>
      <c r="R749" s="29" t="s">
        <v>1273</v>
      </c>
      <c r="S749" s="12" t="s">
        <v>1274</v>
      </c>
      <c r="T749" s="35">
        <v>140</v>
      </c>
      <c r="U749" t="s">
        <v>1245</v>
      </c>
      <c r="V749" s="27">
        <v>500</v>
      </c>
      <c r="W749" s="9">
        <v>1.06</v>
      </c>
      <c r="X749" s="9">
        <f t="shared" si="229"/>
        <v>530</v>
      </c>
      <c r="Z749" s="10">
        <v>46021</v>
      </c>
      <c r="AA749" s="10">
        <v>46094</v>
      </c>
      <c r="AB749" s="10">
        <v>46157</v>
      </c>
      <c r="AC749" s="10">
        <v>46222</v>
      </c>
      <c r="AD749" s="31">
        <f t="shared" ca="1" si="235"/>
        <v>41</v>
      </c>
      <c r="AE749" s="36" t="s">
        <v>247</v>
      </c>
      <c r="AF749" t="s">
        <v>62</v>
      </c>
      <c r="AG749" s="10" t="s">
        <v>79</v>
      </c>
      <c r="AI749" s="9" t="s">
        <v>53</v>
      </c>
      <c r="AL749" s="9" t="s">
        <v>1319</v>
      </c>
      <c r="AM749" s="27" t="str">
        <f t="shared" si="236"/>
        <v>Atrasado</v>
      </c>
      <c r="AN749" s="27" t="str">
        <f t="shared" ca="1" si="234"/>
        <v>Estoque</v>
      </c>
      <c r="AO749" s="27" t="str">
        <f t="shared" ca="1" si="230"/>
        <v/>
      </c>
      <c r="AP749" t="s">
        <v>1318</v>
      </c>
    </row>
    <row r="750" spans="4:42" ht="15" hidden="1" customHeight="1">
      <c r="D750" t="s">
        <v>1246</v>
      </c>
      <c r="E750" s="23" t="s">
        <v>1917</v>
      </c>
      <c r="F750" s="24"/>
      <c r="I750" s="26"/>
      <c r="L750" s="27" t="str">
        <f t="shared" si="233"/>
        <v xml:space="preserve"> </v>
      </c>
      <c r="N750" s="27" t="str">
        <f t="shared" si="232"/>
        <v xml:space="preserve"> </v>
      </c>
      <c r="O750" s="27">
        <f t="shared" si="227"/>
        <v>0</v>
      </c>
      <c r="P750" s="28" t="str">
        <f t="shared" si="231"/>
        <v>On time</v>
      </c>
      <c r="Q750" s="27">
        <f t="shared" si="228"/>
        <v>0</v>
      </c>
      <c r="R750" s="29" t="s">
        <v>1273</v>
      </c>
      <c r="S750" s="12" t="s">
        <v>1274</v>
      </c>
      <c r="T750" s="35">
        <v>141</v>
      </c>
      <c r="U750" t="s">
        <v>1246</v>
      </c>
      <c r="V750" s="27">
        <v>200</v>
      </c>
      <c r="W750" s="9">
        <v>2.88</v>
      </c>
      <c r="X750" s="9">
        <f t="shared" si="229"/>
        <v>576</v>
      </c>
      <c r="Z750" s="10">
        <v>46021</v>
      </c>
      <c r="AA750" s="10">
        <v>46094</v>
      </c>
      <c r="AB750" s="10">
        <v>46157</v>
      </c>
      <c r="AC750" s="10">
        <v>46222</v>
      </c>
      <c r="AD750" s="31">
        <f t="shared" ca="1" si="235"/>
        <v>41</v>
      </c>
      <c r="AE750" s="36" t="s">
        <v>247</v>
      </c>
      <c r="AF750" t="s">
        <v>62</v>
      </c>
      <c r="AG750" s="10" t="s">
        <v>79</v>
      </c>
      <c r="AI750" s="9" t="s">
        <v>53</v>
      </c>
      <c r="AL750" s="9" t="s">
        <v>1319</v>
      </c>
      <c r="AM750" s="27" t="str">
        <f t="shared" si="236"/>
        <v>Atrasado</v>
      </c>
      <c r="AN750" s="27" t="str">
        <f t="shared" ca="1" si="234"/>
        <v>Estoque</v>
      </c>
      <c r="AO750" s="27" t="str">
        <f t="shared" ca="1" si="230"/>
        <v/>
      </c>
      <c r="AP750" t="s">
        <v>1318</v>
      </c>
    </row>
    <row r="751" spans="4:42" ht="15" hidden="1" customHeight="1">
      <c r="D751" t="s">
        <v>1247</v>
      </c>
      <c r="E751" s="23" t="s">
        <v>1918</v>
      </c>
      <c r="F751" s="24"/>
      <c r="I751" s="26"/>
      <c r="L751" s="27" t="str">
        <f t="shared" si="233"/>
        <v xml:space="preserve"> </v>
      </c>
      <c r="N751" s="27" t="str">
        <f t="shared" si="232"/>
        <v xml:space="preserve"> </v>
      </c>
      <c r="O751" s="27">
        <f t="shared" si="227"/>
        <v>0</v>
      </c>
      <c r="P751" s="28" t="str">
        <f t="shared" si="231"/>
        <v>On time</v>
      </c>
      <c r="Q751" s="27">
        <f t="shared" si="228"/>
        <v>0</v>
      </c>
      <c r="R751" s="29" t="s">
        <v>1273</v>
      </c>
      <c r="S751" s="12" t="s">
        <v>1274</v>
      </c>
      <c r="T751" s="35">
        <v>142</v>
      </c>
      <c r="U751" t="s">
        <v>1247</v>
      </c>
      <c r="V751" s="27">
        <v>30</v>
      </c>
      <c r="W751" s="9">
        <v>9.39</v>
      </c>
      <c r="X751" s="9">
        <f t="shared" si="229"/>
        <v>281.70000000000005</v>
      </c>
      <c r="Z751" s="10">
        <v>46021</v>
      </c>
      <c r="AA751" s="10">
        <v>46094</v>
      </c>
      <c r="AB751" s="10">
        <v>46157</v>
      </c>
      <c r="AC751" s="10">
        <v>46222</v>
      </c>
      <c r="AD751" s="31">
        <f t="shared" ca="1" si="235"/>
        <v>41</v>
      </c>
      <c r="AE751" s="36" t="s">
        <v>247</v>
      </c>
      <c r="AF751" t="s">
        <v>62</v>
      </c>
      <c r="AG751" s="10" t="s">
        <v>79</v>
      </c>
      <c r="AI751" s="9" t="s">
        <v>53</v>
      </c>
      <c r="AL751" s="9" t="s">
        <v>1319</v>
      </c>
      <c r="AM751" s="27" t="str">
        <f t="shared" si="236"/>
        <v>Atrasado</v>
      </c>
      <c r="AN751" s="27" t="str">
        <f t="shared" ca="1" si="234"/>
        <v>Estoque</v>
      </c>
      <c r="AO751" s="27" t="str">
        <f t="shared" ca="1" si="230"/>
        <v/>
      </c>
      <c r="AP751" t="s">
        <v>1318</v>
      </c>
    </row>
    <row r="752" spans="4:42" ht="15" hidden="1" customHeight="1">
      <c r="D752" t="s">
        <v>1248</v>
      </c>
      <c r="E752" s="23" t="s">
        <v>1919</v>
      </c>
      <c r="F752" s="24"/>
      <c r="I752" s="26"/>
      <c r="L752" s="27" t="str">
        <f t="shared" si="233"/>
        <v xml:space="preserve"> </v>
      </c>
      <c r="N752" s="27" t="str">
        <f t="shared" si="232"/>
        <v xml:space="preserve"> </v>
      </c>
      <c r="O752" s="27">
        <f t="shared" si="227"/>
        <v>0</v>
      </c>
      <c r="P752" s="28" t="str">
        <f t="shared" si="231"/>
        <v>On time</v>
      </c>
      <c r="Q752" s="27">
        <f t="shared" si="228"/>
        <v>0</v>
      </c>
      <c r="R752" s="29" t="s">
        <v>1273</v>
      </c>
      <c r="S752" s="12" t="s">
        <v>1274</v>
      </c>
      <c r="T752" s="35">
        <v>143</v>
      </c>
      <c r="U752" t="s">
        <v>1248</v>
      </c>
      <c r="V752" s="27">
        <v>500</v>
      </c>
      <c r="W752" s="9">
        <v>1.21</v>
      </c>
      <c r="X752" s="9">
        <f t="shared" si="229"/>
        <v>605</v>
      </c>
      <c r="Z752" s="10">
        <v>46021</v>
      </c>
      <c r="AA752" s="10">
        <v>46094</v>
      </c>
      <c r="AB752" s="10">
        <v>46157</v>
      </c>
      <c r="AC752" s="10">
        <v>46222</v>
      </c>
      <c r="AD752" s="31">
        <f t="shared" ca="1" si="235"/>
        <v>41</v>
      </c>
      <c r="AE752" s="36" t="s">
        <v>247</v>
      </c>
      <c r="AF752" t="s">
        <v>62</v>
      </c>
      <c r="AG752" s="10" t="s">
        <v>79</v>
      </c>
      <c r="AI752" s="9" t="s">
        <v>53</v>
      </c>
      <c r="AL752" s="9" t="s">
        <v>1319</v>
      </c>
      <c r="AM752" s="27" t="str">
        <f t="shared" si="236"/>
        <v>Atrasado</v>
      </c>
      <c r="AN752" s="27" t="str">
        <f t="shared" ca="1" si="234"/>
        <v>Estoque</v>
      </c>
      <c r="AO752" s="27" t="str">
        <f t="shared" ca="1" si="230"/>
        <v/>
      </c>
      <c r="AP752" t="s">
        <v>1318</v>
      </c>
    </row>
    <row r="753" spans="1:42" ht="15" hidden="1" customHeight="1">
      <c r="D753" t="s">
        <v>1249</v>
      </c>
      <c r="E753" s="23" t="s">
        <v>1920</v>
      </c>
      <c r="F753" s="24"/>
      <c r="I753" s="26"/>
      <c r="L753" s="27" t="str">
        <f t="shared" si="233"/>
        <v xml:space="preserve"> </v>
      </c>
      <c r="N753" s="27" t="str">
        <f t="shared" si="232"/>
        <v xml:space="preserve"> </v>
      </c>
      <c r="O753" s="27">
        <f t="shared" si="227"/>
        <v>0</v>
      </c>
      <c r="P753" s="28" t="str">
        <f t="shared" si="231"/>
        <v>On time</v>
      </c>
      <c r="Q753" s="27">
        <f t="shared" si="228"/>
        <v>0</v>
      </c>
      <c r="R753" s="29" t="s">
        <v>1273</v>
      </c>
      <c r="S753" s="12" t="s">
        <v>1274</v>
      </c>
      <c r="T753" s="35">
        <v>144</v>
      </c>
      <c r="U753" t="s">
        <v>1249</v>
      </c>
      <c r="V753" s="27">
        <v>100</v>
      </c>
      <c r="W753" s="9">
        <v>3.03</v>
      </c>
      <c r="X753" s="9">
        <f t="shared" si="229"/>
        <v>303</v>
      </c>
      <c r="Z753" s="10">
        <v>46021</v>
      </c>
      <c r="AA753" s="10">
        <v>46094</v>
      </c>
      <c r="AB753" s="10">
        <v>46157</v>
      </c>
      <c r="AC753" s="10">
        <v>46222</v>
      </c>
      <c r="AD753" s="31">
        <f t="shared" ca="1" si="235"/>
        <v>41</v>
      </c>
      <c r="AE753" s="36" t="s">
        <v>247</v>
      </c>
      <c r="AF753" t="s">
        <v>62</v>
      </c>
      <c r="AG753" s="10" t="s">
        <v>79</v>
      </c>
      <c r="AI753" s="9" t="s">
        <v>53</v>
      </c>
      <c r="AL753" s="9" t="s">
        <v>1319</v>
      </c>
      <c r="AM753" s="27" t="str">
        <f t="shared" si="236"/>
        <v>Atrasado</v>
      </c>
      <c r="AN753" s="27" t="str">
        <f t="shared" ca="1" si="234"/>
        <v>Estoque</v>
      </c>
      <c r="AO753" s="27" t="str">
        <f t="shared" ca="1" si="230"/>
        <v/>
      </c>
      <c r="AP753" t="s">
        <v>1318</v>
      </c>
    </row>
    <row r="754" spans="1:42" ht="15" hidden="1" customHeight="1">
      <c r="D754" t="s">
        <v>1250</v>
      </c>
      <c r="E754" s="23" t="s">
        <v>1921</v>
      </c>
      <c r="F754" s="24"/>
      <c r="I754" s="26"/>
      <c r="L754" s="27" t="str">
        <f t="shared" si="233"/>
        <v xml:space="preserve"> </v>
      </c>
      <c r="N754" s="27" t="str">
        <f t="shared" si="232"/>
        <v xml:space="preserve"> </v>
      </c>
      <c r="O754" s="27">
        <f t="shared" si="227"/>
        <v>0</v>
      </c>
      <c r="P754" s="28" t="str">
        <f t="shared" si="231"/>
        <v>On time</v>
      </c>
      <c r="Q754" s="27">
        <f t="shared" si="228"/>
        <v>0</v>
      </c>
      <c r="R754" s="29" t="s">
        <v>1273</v>
      </c>
      <c r="S754" s="12" t="s">
        <v>1274</v>
      </c>
      <c r="T754" s="35">
        <v>145</v>
      </c>
      <c r="U754" t="s">
        <v>1250</v>
      </c>
      <c r="V754" s="27">
        <v>200</v>
      </c>
      <c r="W754" s="9">
        <v>3.03</v>
      </c>
      <c r="X754" s="9">
        <f t="shared" si="229"/>
        <v>606</v>
      </c>
      <c r="Z754" s="10">
        <v>46021</v>
      </c>
      <c r="AA754" s="10">
        <v>46094</v>
      </c>
      <c r="AB754" s="10">
        <v>46157</v>
      </c>
      <c r="AC754" s="10">
        <v>46222</v>
      </c>
      <c r="AD754" s="31">
        <f t="shared" ca="1" si="235"/>
        <v>41</v>
      </c>
      <c r="AE754" s="36" t="s">
        <v>247</v>
      </c>
      <c r="AF754" t="s">
        <v>62</v>
      </c>
      <c r="AG754" s="10" t="s">
        <v>79</v>
      </c>
      <c r="AI754" s="9" t="s">
        <v>53</v>
      </c>
      <c r="AL754" s="9" t="s">
        <v>1319</v>
      </c>
      <c r="AM754" s="27" t="str">
        <f t="shared" si="236"/>
        <v>Atrasado</v>
      </c>
      <c r="AN754" s="27" t="str">
        <f t="shared" ca="1" si="234"/>
        <v>Estoque</v>
      </c>
      <c r="AO754" s="27" t="str">
        <f t="shared" ca="1" si="230"/>
        <v/>
      </c>
      <c r="AP754" t="s">
        <v>1318</v>
      </c>
    </row>
    <row r="755" spans="1:42" ht="15" hidden="1" customHeight="1">
      <c r="D755" t="s">
        <v>1251</v>
      </c>
      <c r="E755" s="23" t="s">
        <v>1922</v>
      </c>
      <c r="F755" s="24"/>
      <c r="I755" s="26"/>
      <c r="L755" s="27" t="str">
        <f t="shared" si="233"/>
        <v xml:space="preserve"> </v>
      </c>
      <c r="N755" s="27" t="str">
        <f t="shared" si="232"/>
        <v xml:space="preserve"> </v>
      </c>
      <c r="O755" s="27">
        <f t="shared" si="227"/>
        <v>0</v>
      </c>
      <c r="P755" s="28" t="str">
        <f t="shared" si="231"/>
        <v>On time</v>
      </c>
      <c r="Q755" s="27">
        <f t="shared" si="228"/>
        <v>0</v>
      </c>
      <c r="R755" s="29" t="s">
        <v>1273</v>
      </c>
      <c r="S755" s="12" t="s">
        <v>1274</v>
      </c>
      <c r="T755" s="35">
        <v>146</v>
      </c>
      <c r="U755" t="s">
        <v>1251</v>
      </c>
      <c r="V755" s="27">
        <v>200</v>
      </c>
      <c r="W755" s="9">
        <v>3.03</v>
      </c>
      <c r="X755" s="9">
        <f t="shared" si="229"/>
        <v>606</v>
      </c>
      <c r="Z755" s="10">
        <v>46021</v>
      </c>
      <c r="AA755" s="10">
        <v>46094</v>
      </c>
      <c r="AB755" s="10">
        <v>46157</v>
      </c>
      <c r="AC755" s="10">
        <v>46222</v>
      </c>
      <c r="AD755" s="31">
        <f t="shared" ca="1" si="235"/>
        <v>41</v>
      </c>
      <c r="AE755" s="36" t="s">
        <v>247</v>
      </c>
      <c r="AF755" t="s">
        <v>62</v>
      </c>
      <c r="AG755" s="10" t="s">
        <v>79</v>
      </c>
      <c r="AI755" s="9" t="s">
        <v>53</v>
      </c>
      <c r="AL755" s="9" t="s">
        <v>1319</v>
      </c>
      <c r="AM755" s="27" t="str">
        <f t="shared" si="236"/>
        <v>Atrasado</v>
      </c>
      <c r="AN755" s="27" t="str">
        <f t="shared" ca="1" si="234"/>
        <v>Estoque</v>
      </c>
      <c r="AO755" s="27" t="str">
        <f t="shared" ca="1" si="230"/>
        <v/>
      </c>
      <c r="AP755" t="s">
        <v>1318</v>
      </c>
    </row>
    <row r="756" spans="1:42" ht="15" hidden="1" customHeight="1">
      <c r="D756" t="s">
        <v>1252</v>
      </c>
      <c r="E756" s="23" t="s">
        <v>1923</v>
      </c>
      <c r="F756" s="24"/>
      <c r="I756" s="26"/>
      <c r="L756" s="27" t="str">
        <f t="shared" si="233"/>
        <v xml:space="preserve"> </v>
      </c>
      <c r="N756" s="27" t="str">
        <f t="shared" si="232"/>
        <v xml:space="preserve"> </v>
      </c>
      <c r="O756" s="27">
        <f t="shared" si="227"/>
        <v>0</v>
      </c>
      <c r="P756" s="28" t="str">
        <f t="shared" si="231"/>
        <v>On time</v>
      </c>
      <c r="Q756" s="27">
        <f t="shared" si="228"/>
        <v>0</v>
      </c>
      <c r="R756" s="29" t="s">
        <v>1273</v>
      </c>
      <c r="S756" s="12" t="s">
        <v>1274</v>
      </c>
      <c r="T756" s="35">
        <v>147</v>
      </c>
      <c r="U756" t="s">
        <v>1252</v>
      </c>
      <c r="V756" s="27">
        <v>200</v>
      </c>
      <c r="W756" s="9">
        <v>1.21</v>
      </c>
      <c r="X756" s="9">
        <f t="shared" si="229"/>
        <v>242</v>
      </c>
      <c r="Z756" s="10">
        <v>46021</v>
      </c>
      <c r="AA756" s="10">
        <v>46094</v>
      </c>
      <c r="AB756" s="10">
        <v>46157</v>
      </c>
      <c r="AC756" s="10">
        <v>46222</v>
      </c>
      <c r="AD756" s="31">
        <f t="shared" ca="1" si="235"/>
        <v>41</v>
      </c>
      <c r="AE756" s="36" t="s">
        <v>247</v>
      </c>
      <c r="AF756" t="s">
        <v>62</v>
      </c>
      <c r="AG756" s="10" t="s">
        <v>79</v>
      </c>
      <c r="AI756" s="9" t="s">
        <v>53</v>
      </c>
      <c r="AL756" s="9" t="s">
        <v>1319</v>
      </c>
      <c r="AM756" s="27" t="str">
        <f t="shared" si="236"/>
        <v>Atrasado</v>
      </c>
      <c r="AN756" s="27" t="str">
        <f t="shared" ca="1" si="234"/>
        <v>Estoque</v>
      </c>
      <c r="AO756" s="27" t="str">
        <f t="shared" ca="1" si="230"/>
        <v/>
      </c>
      <c r="AP756" t="s">
        <v>1318</v>
      </c>
    </row>
    <row r="757" spans="1:42" ht="15" hidden="1" customHeight="1">
      <c r="D757" t="s">
        <v>1253</v>
      </c>
      <c r="E757" s="23" t="s">
        <v>1924</v>
      </c>
      <c r="F757" s="24"/>
      <c r="I757" s="26"/>
      <c r="L757" s="27" t="str">
        <f t="shared" si="233"/>
        <v xml:space="preserve"> </v>
      </c>
      <c r="N757" s="27" t="str">
        <f t="shared" si="232"/>
        <v xml:space="preserve"> </v>
      </c>
      <c r="O757" s="27">
        <f t="shared" si="227"/>
        <v>0</v>
      </c>
      <c r="P757" s="28" t="str">
        <f t="shared" si="231"/>
        <v>On time</v>
      </c>
      <c r="Q757" s="27">
        <f t="shared" si="228"/>
        <v>0</v>
      </c>
      <c r="R757" s="29" t="s">
        <v>1273</v>
      </c>
      <c r="S757" s="12" t="s">
        <v>1274</v>
      </c>
      <c r="T757" s="35">
        <v>148</v>
      </c>
      <c r="U757" t="s">
        <v>1253</v>
      </c>
      <c r="V757" s="27">
        <v>30</v>
      </c>
      <c r="W757" s="9">
        <v>2.8</v>
      </c>
      <c r="X757" s="9">
        <f t="shared" si="229"/>
        <v>84</v>
      </c>
      <c r="Z757" s="10">
        <v>46021</v>
      </c>
      <c r="AA757" s="10">
        <v>46094</v>
      </c>
      <c r="AB757" s="10">
        <v>46157</v>
      </c>
      <c r="AC757" s="10">
        <v>46222</v>
      </c>
      <c r="AD757" s="31">
        <f t="shared" ca="1" si="235"/>
        <v>41</v>
      </c>
      <c r="AE757" s="36" t="s">
        <v>247</v>
      </c>
      <c r="AF757" t="s">
        <v>62</v>
      </c>
      <c r="AG757" s="10" t="s">
        <v>79</v>
      </c>
      <c r="AI757" s="9" t="s">
        <v>53</v>
      </c>
      <c r="AL757" s="9" t="s">
        <v>1319</v>
      </c>
      <c r="AM757" s="27" t="str">
        <f t="shared" si="236"/>
        <v>Atrasado</v>
      </c>
      <c r="AN757" s="27" t="str">
        <f t="shared" ca="1" si="234"/>
        <v>Estoque</v>
      </c>
      <c r="AO757" s="27" t="str">
        <f t="shared" ca="1" si="230"/>
        <v/>
      </c>
      <c r="AP757" t="s">
        <v>1318</v>
      </c>
    </row>
    <row r="758" spans="1:42" ht="15" hidden="1" customHeight="1">
      <c r="D758" t="s">
        <v>1254</v>
      </c>
      <c r="E758" s="23" t="s">
        <v>1925</v>
      </c>
      <c r="F758" s="24"/>
      <c r="I758" s="26"/>
      <c r="L758" s="27" t="str">
        <f t="shared" si="233"/>
        <v xml:space="preserve"> </v>
      </c>
      <c r="N758" s="27" t="str">
        <f t="shared" si="232"/>
        <v xml:space="preserve"> </v>
      </c>
      <c r="O758" s="27">
        <f t="shared" si="227"/>
        <v>0</v>
      </c>
      <c r="P758" s="28" t="str">
        <f t="shared" si="231"/>
        <v>On time</v>
      </c>
      <c r="Q758" s="27">
        <f t="shared" si="228"/>
        <v>0</v>
      </c>
      <c r="R758" s="29" t="s">
        <v>1273</v>
      </c>
      <c r="S758" s="12" t="s">
        <v>1274</v>
      </c>
      <c r="T758" s="35">
        <v>149</v>
      </c>
      <c r="U758" t="s">
        <v>1254</v>
      </c>
      <c r="V758" s="27">
        <v>50</v>
      </c>
      <c r="W758" s="9">
        <v>1.89</v>
      </c>
      <c r="X758" s="9">
        <f t="shared" si="229"/>
        <v>94.5</v>
      </c>
      <c r="Z758" s="10">
        <v>46021</v>
      </c>
      <c r="AA758" s="10">
        <v>46094</v>
      </c>
      <c r="AB758" s="10">
        <v>46157</v>
      </c>
      <c r="AC758" s="10">
        <v>46222</v>
      </c>
      <c r="AD758" s="31">
        <f t="shared" ca="1" si="235"/>
        <v>41</v>
      </c>
      <c r="AE758" s="36" t="s">
        <v>247</v>
      </c>
      <c r="AF758" t="s">
        <v>62</v>
      </c>
      <c r="AG758" s="10" t="s">
        <v>79</v>
      </c>
      <c r="AI758" s="9" t="s">
        <v>53</v>
      </c>
      <c r="AL758" s="9" t="s">
        <v>1319</v>
      </c>
      <c r="AM758" s="27" t="str">
        <f t="shared" si="236"/>
        <v>Atrasado</v>
      </c>
      <c r="AN758" s="27" t="str">
        <f t="shared" ca="1" si="234"/>
        <v>Estoque</v>
      </c>
      <c r="AO758" s="27" t="str">
        <f t="shared" ca="1" si="230"/>
        <v/>
      </c>
      <c r="AP758" t="s">
        <v>1318</v>
      </c>
    </row>
    <row r="759" spans="1:42" ht="15" hidden="1" customHeight="1">
      <c r="D759" t="s">
        <v>1255</v>
      </c>
      <c r="E759" s="23" t="s">
        <v>1926</v>
      </c>
      <c r="F759" s="24"/>
      <c r="I759" s="26"/>
      <c r="L759" s="27" t="str">
        <f t="shared" si="233"/>
        <v xml:space="preserve"> </v>
      </c>
      <c r="N759" s="27" t="str">
        <f t="shared" si="232"/>
        <v xml:space="preserve"> </v>
      </c>
      <c r="O759" s="27">
        <f t="shared" ref="O759:O817" si="237">M759-J759</f>
        <v>0</v>
      </c>
      <c r="P759" s="28" t="str">
        <f t="shared" si="231"/>
        <v>On time</v>
      </c>
      <c r="Q759" s="27">
        <f t="shared" ref="Q759:Q817" si="238">I759-J759</f>
        <v>0</v>
      </c>
      <c r="R759" s="29" t="s">
        <v>1273</v>
      </c>
      <c r="S759" s="12" t="s">
        <v>1274</v>
      </c>
      <c r="T759" s="35">
        <v>150</v>
      </c>
      <c r="U759" t="s">
        <v>1255</v>
      </c>
      <c r="V759" s="27">
        <v>500</v>
      </c>
      <c r="W759" s="9">
        <v>2.42</v>
      </c>
      <c r="X759" s="9">
        <f t="shared" si="229"/>
        <v>1210</v>
      </c>
      <c r="Z759" s="10">
        <v>46021</v>
      </c>
      <c r="AA759" s="10">
        <v>46094</v>
      </c>
      <c r="AB759" s="10">
        <v>46157</v>
      </c>
      <c r="AC759" s="10">
        <v>46222</v>
      </c>
      <c r="AD759" s="31">
        <f t="shared" ca="1" si="235"/>
        <v>41</v>
      </c>
      <c r="AE759" s="36" t="s">
        <v>247</v>
      </c>
      <c r="AF759" t="s">
        <v>62</v>
      </c>
      <c r="AG759" s="10" t="s">
        <v>79</v>
      </c>
      <c r="AI759" s="9" t="s">
        <v>53</v>
      </c>
      <c r="AL759" s="9" t="s">
        <v>1319</v>
      </c>
      <c r="AM759" s="27" t="str">
        <f t="shared" si="236"/>
        <v>Atrasado</v>
      </c>
      <c r="AN759" s="27" t="str">
        <f t="shared" ca="1" si="234"/>
        <v>Estoque</v>
      </c>
      <c r="AO759" s="27" t="str">
        <f t="shared" ca="1" si="230"/>
        <v/>
      </c>
      <c r="AP759" t="s">
        <v>1318</v>
      </c>
    </row>
    <row r="760" spans="1:42" ht="15" hidden="1" customHeight="1">
      <c r="D760" t="s">
        <v>1256</v>
      </c>
      <c r="E760" s="23" t="s">
        <v>1927</v>
      </c>
      <c r="F760" s="24"/>
      <c r="I760" s="26"/>
      <c r="L760" s="27" t="str">
        <f t="shared" si="233"/>
        <v xml:space="preserve"> </v>
      </c>
      <c r="N760" s="27" t="str">
        <f t="shared" si="232"/>
        <v xml:space="preserve"> </v>
      </c>
      <c r="O760" s="27">
        <f t="shared" si="237"/>
        <v>0</v>
      </c>
      <c r="P760" s="28" t="str">
        <f t="shared" si="231"/>
        <v>On time</v>
      </c>
      <c r="Q760" s="27">
        <f t="shared" si="238"/>
        <v>0</v>
      </c>
      <c r="R760" s="29" t="s">
        <v>1273</v>
      </c>
      <c r="S760" s="12" t="s">
        <v>1274</v>
      </c>
      <c r="T760" s="35">
        <v>151</v>
      </c>
      <c r="U760" t="s">
        <v>1256</v>
      </c>
      <c r="V760" s="27">
        <v>200</v>
      </c>
      <c r="W760" s="9">
        <v>2.42</v>
      </c>
      <c r="X760" s="9">
        <f t="shared" si="229"/>
        <v>484</v>
      </c>
      <c r="Z760" s="10">
        <v>46021</v>
      </c>
      <c r="AA760" s="10">
        <v>46094</v>
      </c>
      <c r="AB760" s="10">
        <v>46157</v>
      </c>
      <c r="AC760" s="10">
        <v>46222</v>
      </c>
      <c r="AD760" s="31">
        <f t="shared" ca="1" si="235"/>
        <v>41</v>
      </c>
      <c r="AE760" s="36" t="s">
        <v>247</v>
      </c>
      <c r="AF760" t="s">
        <v>62</v>
      </c>
      <c r="AG760" s="10" t="s">
        <v>79</v>
      </c>
      <c r="AI760" s="9" t="s">
        <v>53</v>
      </c>
      <c r="AL760" s="9" t="s">
        <v>1319</v>
      </c>
      <c r="AM760" s="27" t="str">
        <f t="shared" si="236"/>
        <v>Atrasado</v>
      </c>
      <c r="AN760" s="27" t="str">
        <f t="shared" ca="1" si="234"/>
        <v>Estoque</v>
      </c>
      <c r="AO760" s="27" t="str">
        <f t="shared" ca="1" si="230"/>
        <v/>
      </c>
      <c r="AP760" t="s">
        <v>1318</v>
      </c>
    </row>
    <row r="761" spans="1:42" ht="15" hidden="1" customHeight="1">
      <c r="D761" t="s">
        <v>1257</v>
      </c>
      <c r="E761" s="23" t="s">
        <v>1928</v>
      </c>
      <c r="F761" s="24"/>
      <c r="I761" s="26"/>
      <c r="L761" s="27" t="str">
        <f t="shared" si="233"/>
        <v xml:space="preserve"> </v>
      </c>
      <c r="N761" s="27" t="str">
        <f t="shared" si="232"/>
        <v xml:space="preserve"> </v>
      </c>
      <c r="O761" s="27">
        <f t="shared" si="237"/>
        <v>0</v>
      </c>
      <c r="P761" s="28" t="str">
        <f t="shared" si="231"/>
        <v>On time</v>
      </c>
      <c r="Q761" s="27">
        <f t="shared" si="238"/>
        <v>0</v>
      </c>
      <c r="R761" s="29" t="s">
        <v>1273</v>
      </c>
      <c r="S761" s="12" t="s">
        <v>1274</v>
      </c>
      <c r="T761" s="35">
        <v>152</v>
      </c>
      <c r="U761" t="s">
        <v>1257</v>
      </c>
      <c r="V761" s="27">
        <v>200</v>
      </c>
      <c r="W761" s="9">
        <v>2.42</v>
      </c>
      <c r="X761" s="9">
        <f t="shared" si="229"/>
        <v>484</v>
      </c>
      <c r="Z761" s="10">
        <v>46021</v>
      </c>
      <c r="AA761" s="10">
        <v>46094</v>
      </c>
      <c r="AB761" s="10">
        <v>46157</v>
      </c>
      <c r="AC761" s="10">
        <v>46222</v>
      </c>
      <c r="AD761" s="31">
        <f t="shared" ca="1" si="235"/>
        <v>41</v>
      </c>
      <c r="AE761" s="36" t="s">
        <v>247</v>
      </c>
      <c r="AF761" t="s">
        <v>62</v>
      </c>
      <c r="AG761" s="10" t="s">
        <v>79</v>
      </c>
      <c r="AI761" s="9" t="s">
        <v>53</v>
      </c>
      <c r="AL761" s="9" t="s">
        <v>1319</v>
      </c>
      <c r="AM761" s="27" t="str">
        <f t="shared" si="236"/>
        <v>Atrasado</v>
      </c>
      <c r="AN761" s="27" t="str">
        <f t="shared" ca="1" si="234"/>
        <v>Estoque</v>
      </c>
      <c r="AO761" s="27" t="str">
        <f t="shared" ca="1" si="230"/>
        <v/>
      </c>
      <c r="AP761" t="s">
        <v>1318</v>
      </c>
    </row>
    <row r="762" spans="1:42" ht="15" hidden="1" customHeight="1">
      <c r="A762">
        <v>514333</v>
      </c>
      <c r="B762">
        <v>4</v>
      </c>
      <c r="C762" t="s">
        <v>1276</v>
      </c>
      <c r="D762" t="s">
        <v>1258</v>
      </c>
      <c r="E762" s="23" t="s">
        <v>1278</v>
      </c>
      <c r="F762" s="24">
        <v>30</v>
      </c>
      <c r="G762" s="25">
        <v>20.37</v>
      </c>
      <c r="H762" s="25">
        <f>G762*F762</f>
        <v>611.1</v>
      </c>
      <c r="I762" s="26">
        <v>46188</v>
      </c>
      <c r="J762" s="10">
        <v>46113</v>
      </c>
      <c r="K762" s="10">
        <v>46113</v>
      </c>
      <c r="L762" s="27" t="str">
        <f t="shared" si="233"/>
        <v>On time</v>
      </c>
      <c r="M762" s="58">
        <v>46021</v>
      </c>
      <c r="N762" s="27" t="str">
        <f t="shared" si="232"/>
        <v>On time</v>
      </c>
      <c r="O762" s="27">
        <f t="shared" si="237"/>
        <v>-92</v>
      </c>
      <c r="P762" s="28" t="str">
        <f t="shared" si="231"/>
        <v>On time</v>
      </c>
      <c r="Q762" s="27">
        <f t="shared" si="238"/>
        <v>75</v>
      </c>
      <c r="R762" s="29" t="s">
        <v>1273</v>
      </c>
      <c r="S762" s="12" t="s">
        <v>1274</v>
      </c>
      <c r="T762" s="35">
        <v>153</v>
      </c>
      <c r="U762" t="s">
        <v>1258</v>
      </c>
      <c r="V762" s="27">
        <v>200</v>
      </c>
      <c r="W762" s="9">
        <v>1.29</v>
      </c>
      <c r="X762" s="9">
        <f t="shared" si="229"/>
        <v>258</v>
      </c>
      <c r="Y762">
        <v>0.59</v>
      </c>
      <c r="Z762" s="10">
        <v>46021</v>
      </c>
      <c r="AA762" s="10">
        <v>46094</v>
      </c>
      <c r="AB762" s="10">
        <v>46157</v>
      </c>
      <c r="AC762" s="10">
        <v>46222</v>
      </c>
      <c r="AD762" s="31">
        <f t="shared" ca="1" si="235"/>
        <v>41</v>
      </c>
      <c r="AE762" s="36" t="s">
        <v>247</v>
      </c>
      <c r="AF762" t="s">
        <v>62</v>
      </c>
      <c r="AG762" s="10" t="s">
        <v>79</v>
      </c>
      <c r="AI762" s="9" t="s">
        <v>53</v>
      </c>
      <c r="AL762" s="9" t="s">
        <v>2059</v>
      </c>
      <c r="AM762" s="27" t="str">
        <f t="shared" si="236"/>
        <v>Atrasado</v>
      </c>
      <c r="AN762" s="27" t="str">
        <f t="shared" ca="1" si="234"/>
        <v>Atrasado</v>
      </c>
      <c r="AO762" s="27" t="str">
        <f t="shared" ca="1" si="230"/>
        <v/>
      </c>
      <c r="AP762" t="s">
        <v>1318</v>
      </c>
    </row>
    <row r="763" spans="1:42" ht="15" hidden="1" customHeight="1">
      <c r="D763" t="s">
        <v>1259</v>
      </c>
      <c r="E763" s="23" t="s">
        <v>1929</v>
      </c>
      <c r="F763" s="24"/>
      <c r="I763" s="26"/>
      <c r="L763" s="27" t="str">
        <f t="shared" si="233"/>
        <v xml:space="preserve"> </v>
      </c>
      <c r="N763" s="27" t="str">
        <f t="shared" si="232"/>
        <v xml:space="preserve"> </v>
      </c>
      <c r="O763" s="27">
        <f t="shared" si="237"/>
        <v>0</v>
      </c>
      <c r="P763" s="28" t="str">
        <f t="shared" si="231"/>
        <v>On time</v>
      </c>
      <c r="Q763" s="27">
        <f t="shared" si="238"/>
        <v>0</v>
      </c>
      <c r="R763" s="29" t="s">
        <v>1273</v>
      </c>
      <c r="S763" s="12" t="s">
        <v>1274</v>
      </c>
      <c r="T763" s="35">
        <v>154</v>
      </c>
      <c r="U763" t="s">
        <v>1259</v>
      </c>
      <c r="V763" s="27">
        <v>100</v>
      </c>
      <c r="W763" s="9">
        <v>5.45</v>
      </c>
      <c r="X763" s="9">
        <f t="shared" si="229"/>
        <v>545</v>
      </c>
      <c r="Z763" s="10">
        <v>46021</v>
      </c>
      <c r="AA763" s="10">
        <v>46094</v>
      </c>
      <c r="AB763" s="10">
        <v>46157</v>
      </c>
      <c r="AC763" s="10">
        <v>46222</v>
      </c>
      <c r="AD763" s="31">
        <f t="shared" ca="1" si="235"/>
        <v>41</v>
      </c>
      <c r="AE763" s="36" t="s">
        <v>247</v>
      </c>
      <c r="AF763" t="s">
        <v>62</v>
      </c>
      <c r="AG763" s="10" t="s">
        <v>79</v>
      </c>
      <c r="AI763" s="9" t="s">
        <v>53</v>
      </c>
      <c r="AL763" s="9" t="s">
        <v>1319</v>
      </c>
      <c r="AM763" s="27" t="str">
        <f t="shared" si="236"/>
        <v>Atrasado</v>
      </c>
      <c r="AN763" s="27" t="str">
        <f t="shared" ca="1" si="234"/>
        <v>Estoque</v>
      </c>
      <c r="AO763" s="27" t="str">
        <f t="shared" ca="1" si="230"/>
        <v/>
      </c>
      <c r="AP763" t="s">
        <v>1318</v>
      </c>
    </row>
    <row r="764" spans="1:42" ht="15" hidden="1" customHeight="1">
      <c r="D764" t="s">
        <v>1260</v>
      </c>
      <c r="E764" s="23" t="s">
        <v>1930</v>
      </c>
      <c r="F764" s="24"/>
      <c r="I764" s="26"/>
      <c r="L764" s="27" t="str">
        <f t="shared" si="233"/>
        <v xml:space="preserve"> </v>
      </c>
      <c r="N764" s="27" t="str">
        <f t="shared" si="232"/>
        <v xml:space="preserve"> </v>
      </c>
      <c r="O764" s="27">
        <f t="shared" si="237"/>
        <v>0</v>
      </c>
      <c r="P764" s="28" t="str">
        <f t="shared" si="231"/>
        <v>On time</v>
      </c>
      <c r="Q764" s="27">
        <f t="shared" si="238"/>
        <v>0</v>
      </c>
      <c r="R764" s="29" t="s">
        <v>1273</v>
      </c>
      <c r="S764" s="12" t="s">
        <v>1274</v>
      </c>
      <c r="T764" s="35">
        <v>155</v>
      </c>
      <c r="U764" t="s">
        <v>1260</v>
      </c>
      <c r="V764" s="27">
        <v>500</v>
      </c>
      <c r="W764" s="9">
        <v>1.82</v>
      </c>
      <c r="X764" s="9">
        <f t="shared" ref="X764:X787" si="239">W764*V764</f>
        <v>910</v>
      </c>
      <c r="Z764" s="10">
        <v>46021</v>
      </c>
      <c r="AA764" s="10">
        <v>46094</v>
      </c>
      <c r="AB764" s="10">
        <v>46157</v>
      </c>
      <c r="AC764" s="10">
        <v>46222</v>
      </c>
      <c r="AD764" s="31">
        <f t="shared" ca="1" si="235"/>
        <v>41</v>
      </c>
      <c r="AE764" s="36" t="s">
        <v>247</v>
      </c>
      <c r="AF764" t="s">
        <v>62</v>
      </c>
      <c r="AG764" s="10" t="s">
        <v>79</v>
      </c>
      <c r="AI764" s="9" t="s">
        <v>53</v>
      </c>
      <c r="AL764" s="9" t="s">
        <v>1319</v>
      </c>
      <c r="AM764" s="27" t="str">
        <f t="shared" si="236"/>
        <v>Atrasado</v>
      </c>
      <c r="AN764" s="27" t="str">
        <f t="shared" ca="1" si="234"/>
        <v>Estoque</v>
      </c>
      <c r="AO764" s="27" t="str">
        <f t="shared" ca="1" si="230"/>
        <v/>
      </c>
      <c r="AP764" t="s">
        <v>1318</v>
      </c>
    </row>
    <row r="765" spans="1:42" ht="15" hidden="1" customHeight="1">
      <c r="D765" t="s">
        <v>1261</v>
      </c>
      <c r="E765" s="23" t="s">
        <v>1696</v>
      </c>
      <c r="F765" s="24"/>
      <c r="I765" s="26"/>
      <c r="L765" s="27" t="str">
        <f t="shared" si="233"/>
        <v xml:space="preserve"> </v>
      </c>
      <c r="N765" s="27" t="str">
        <f t="shared" si="232"/>
        <v xml:space="preserve"> </v>
      </c>
      <c r="O765" s="27">
        <f t="shared" si="237"/>
        <v>0</v>
      </c>
      <c r="P765" s="28" t="str">
        <f t="shared" si="231"/>
        <v>On time</v>
      </c>
      <c r="Q765" s="27">
        <f t="shared" si="238"/>
        <v>0</v>
      </c>
      <c r="R765" s="29" t="s">
        <v>1273</v>
      </c>
      <c r="S765" s="12" t="s">
        <v>1274</v>
      </c>
      <c r="T765" s="35">
        <v>156</v>
      </c>
      <c r="U765" t="s">
        <v>1261</v>
      </c>
      <c r="V765" s="27">
        <v>200</v>
      </c>
      <c r="W765" s="9">
        <v>5.45</v>
      </c>
      <c r="X765" s="9">
        <f t="shared" si="239"/>
        <v>1090</v>
      </c>
      <c r="Z765" s="10">
        <v>46021</v>
      </c>
      <c r="AA765" s="10">
        <v>46094</v>
      </c>
      <c r="AB765" s="10">
        <v>46157</v>
      </c>
      <c r="AC765" s="10">
        <v>46222</v>
      </c>
      <c r="AD765" s="31">
        <f t="shared" ca="1" si="235"/>
        <v>41</v>
      </c>
      <c r="AE765" s="36" t="s">
        <v>247</v>
      </c>
      <c r="AF765" t="s">
        <v>62</v>
      </c>
      <c r="AG765" s="10" t="s">
        <v>79</v>
      </c>
      <c r="AI765" s="9" t="s">
        <v>53</v>
      </c>
      <c r="AL765" s="9" t="s">
        <v>1319</v>
      </c>
      <c r="AM765" s="27" t="str">
        <f t="shared" si="236"/>
        <v>Atrasado</v>
      </c>
      <c r="AN765" s="27" t="str">
        <f t="shared" ca="1" si="234"/>
        <v>Estoque</v>
      </c>
      <c r="AO765" s="27" t="str">
        <f t="shared" ca="1" si="230"/>
        <v/>
      </c>
      <c r="AP765" t="s">
        <v>1318</v>
      </c>
    </row>
    <row r="766" spans="1:42" ht="15" hidden="1" customHeight="1">
      <c r="D766" t="s">
        <v>1262</v>
      </c>
      <c r="E766" s="23" t="s">
        <v>1931</v>
      </c>
      <c r="F766" s="24"/>
      <c r="I766" s="26"/>
      <c r="L766" s="27" t="str">
        <f t="shared" si="233"/>
        <v xml:space="preserve"> </v>
      </c>
      <c r="N766" s="27" t="str">
        <f t="shared" si="232"/>
        <v xml:space="preserve"> </v>
      </c>
      <c r="O766" s="27">
        <f t="shared" si="237"/>
        <v>0</v>
      </c>
      <c r="P766" s="28" t="str">
        <f t="shared" si="231"/>
        <v>On time</v>
      </c>
      <c r="Q766" s="27">
        <f t="shared" si="238"/>
        <v>0</v>
      </c>
      <c r="R766" s="29" t="s">
        <v>1273</v>
      </c>
      <c r="S766" s="12" t="s">
        <v>1274</v>
      </c>
      <c r="T766" s="35">
        <v>157</v>
      </c>
      <c r="U766" t="s">
        <v>1262</v>
      </c>
      <c r="V766" s="27">
        <v>50</v>
      </c>
      <c r="W766" s="9">
        <v>5.45</v>
      </c>
      <c r="X766" s="9">
        <f t="shared" si="239"/>
        <v>272.5</v>
      </c>
      <c r="Z766" s="10">
        <v>46021</v>
      </c>
      <c r="AA766" s="10">
        <v>46094</v>
      </c>
      <c r="AB766" s="10">
        <v>46157</v>
      </c>
      <c r="AC766" s="10">
        <v>46222</v>
      </c>
      <c r="AD766" s="31">
        <f t="shared" ca="1" si="235"/>
        <v>41</v>
      </c>
      <c r="AE766" s="36" t="s">
        <v>247</v>
      </c>
      <c r="AF766" t="s">
        <v>62</v>
      </c>
      <c r="AG766" s="10" t="s">
        <v>79</v>
      </c>
      <c r="AI766" s="9" t="s">
        <v>53</v>
      </c>
      <c r="AL766" s="9" t="s">
        <v>1319</v>
      </c>
      <c r="AM766" s="27" t="str">
        <f t="shared" si="236"/>
        <v>Atrasado</v>
      </c>
      <c r="AN766" s="27" t="str">
        <f t="shared" ca="1" si="234"/>
        <v>Estoque</v>
      </c>
      <c r="AO766" s="27" t="str">
        <f t="shared" ca="1" si="230"/>
        <v/>
      </c>
      <c r="AP766" t="s">
        <v>1318</v>
      </c>
    </row>
    <row r="767" spans="1:42" ht="15" hidden="1" customHeight="1">
      <c r="D767" t="s">
        <v>1263</v>
      </c>
      <c r="E767" s="23" t="s">
        <v>1932</v>
      </c>
      <c r="F767" s="24"/>
      <c r="I767" s="26"/>
      <c r="L767" s="27" t="str">
        <f t="shared" si="233"/>
        <v xml:space="preserve"> </v>
      </c>
      <c r="N767" s="27" t="str">
        <f t="shared" si="232"/>
        <v xml:space="preserve"> </v>
      </c>
      <c r="O767" s="27">
        <f t="shared" si="237"/>
        <v>0</v>
      </c>
      <c r="P767" s="28" t="str">
        <f t="shared" si="231"/>
        <v>On time</v>
      </c>
      <c r="Q767" s="27">
        <f t="shared" si="238"/>
        <v>0</v>
      </c>
      <c r="R767" s="29" t="s">
        <v>1273</v>
      </c>
      <c r="S767" s="12" t="s">
        <v>1274</v>
      </c>
      <c r="T767" s="35">
        <v>158</v>
      </c>
      <c r="U767" t="s">
        <v>1263</v>
      </c>
      <c r="V767" s="27">
        <v>50</v>
      </c>
      <c r="W767" s="9">
        <v>1.82</v>
      </c>
      <c r="X767" s="9">
        <f t="shared" si="239"/>
        <v>91</v>
      </c>
      <c r="Z767" s="10">
        <v>46021</v>
      </c>
      <c r="AA767" s="10">
        <v>46094</v>
      </c>
      <c r="AB767" s="10">
        <v>46157</v>
      </c>
      <c r="AC767" s="10">
        <v>46222</v>
      </c>
      <c r="AD767" s="31">
        <f t="shared" ca="1" si="235"/>
        <v>41</v>
      </c>
      <c r="AE767" s="36" t="s">
        <v>247</v>
      </c>
      <c r="AF767" t="s">
        <v>62</v>
      </c>
      <c r="AG767" s="10" t="s">
        <v>79</v>
      </c>
      <c r="AI767" s="9" t="s">
        <v>53</v>
      </c>
      <c r="AL767" s="9" t="s">
        <v>1319</v>
      </c>
      <c r="AM767" s="27" t="str">
        <f t="shared" si="236"/>
        <v>Atrasado</v>
      </c>
      <c r="AN767" s="27" t="str">
        <f t="shared" ca="1" si="234"/>
        <v>Estoque</v>
      </c>
      <c r="AO767" s="27" t="str">
        <f t="shared" ca="1" si="230"/>
        <v/>
      </c>
      <c r="AP767" t="s">
        <v>1318</v>
      </c>
    </row>
    <row r="768" spans="1:42" ht="15" hidden="1" customHeight="1">
      <c r="D768" t="s">
        <v>1264</v>
      </c>
      <c r="E768" s="23" t="s">
        <v>1933</v>
      </c>
      <c r="F768" s="24"/>
      <c r="I768" s="26"/>
      <c r="L768" s="27" t="str">
        <f t="shared" si="233"/>
        <v xml:space="preserve"> </v>
      </c>
      <c r="N768" s="27" t="str">
        <f t="shared" si="232"/>
        <v xml:space="preserve"> </v>
      </c>
      <c r="O768" s="27">
        <f t="shared" si="237"/>
        <v>0</v>
      </c>
      <c r="P768" s="28" t="str">
        <f t="shared" si="231"/>
        <v>On time</v>
      </c>
      <c r="Q768" s="27">
        <f t="shared" si="238"/>
        <v>0</v>
      </c>
      <c r="R768" s="29" t="s">
        <v>1273</v>
      </c>
      <c r="S768" s="12" t="s">
        <v>1274</v>
      </c>
      <c r="T768" s="35">
        <v>159</v>
      </c>
      <c r="U768" t="s">
        <v>1264</v>
      </c>
      <c r="V768" s="27">
        <v>20</v>
      </c>
      <c r="W768" s="9">
        <v>4.83</v>
      </c>
      <c r="X768" s="9">
        <f t="shared" si="239"/>
        <v>96.6</v>
      </c>
      <c r="Z768" s="10">
        <v>46021</v>
      </c>
      <c r="AA768" s="10">
        <v>46094</v>
      </c>
      <c r="AB768" s="10">
        <v>46157</v>
      </c>
      <c r="AC768" s="10">
        <v>46222</v>
      </c>
      <c r="AD768" s="31">
        <f t="shared" ca="1" si="235"/>
        <v>41</v>
      </c>
      <c r="AE768" s="36" t="s">
        <v>247</v>
      </c>
      <c r="AF768" t="s">
        <v>62</v>
      </c>
      <c r="AG768" s="10" t="s">
        <v>79</v>
      </c>
      <c r="AI768" s="9" t="s">
        <v>53</v>
      </c>
      <c r="AL768" s="9" t="s">
        <v>1319</v>
      </c>
      <c r="AM768" s="27" t="str">
        <f t="shared" si="236"/>
        <v>Atrasado</v>
      </c>
      <c r="AN768" s="27" t="str">
        <f t="shared" ca="1" si="234"/>
        <v>Estoque</v>
      </c>
      <c r="AO768" s="27" t="str">
        <f t="shared" ca="1" si="230"/>
        <v/>
      </c>
      <c r="AP768" t="s">
        <v>1318</v>
      </c>
    </row>
    <row r="769" spans="1:42" ht="15" hidden="1" customHeight="1">
      <c r="D769" t="s">
        <v>1265</v>
      </c>
      <c r="E769" s="23" t="s">
        <v>1934</v>
      </c>
      <c r="F769" s="24"/>
      <c r="I769" s="26"/>
      <c r="L769" s="27" t="str">
        <f t="shared" si="233"/>
        <v xml:space="preserve"> </v>
      </c>
      <c r="N769" s="27" t="str">
        <f t="shared" si="232"/>
        <v xml:space="preserve"> </v>
      </c>
      <c r="O769" s="27">
        <f t="shared" si="237"/>
        <v>0</v>
      </c>
      <c r="P769" s="28" t="str">
        <f t="shared" si="231"/>
        <v>On time</v>
      </c>
      <c r="Q769" s="27">
        <f t="shared" si="238"/>
        <v>0</v>
      </c>
      <c r="R769" s="29" t="s">
        <v>1273</v>
      </c>
      <c r="S769" s="12" t="s">
        <v>1274</v>
      </c>
      <c r="T769" s="35">
        <v>160</v>
      </c>
      <c r="U769" t="s">
        <v>1265</v>
      </c>
      <c r="V769" s="27">
        <v>100</v>
      </c>
      <c r="W769" s="9">
        <v>2.04</v>
      </c>
      <c r="X769" s="9">
        <f t="shared" si="239"/>
        <v>204</v>
      </c>
      <c r="Z769" s="10">
        <v>46021</v>
      </c>
      <c r="AA769" s="10">
        <v>46094</v>
      </c>
      <c r="AB769" s="10">
        <v>46157</v>
      </c>
      <c r="AC769" s="10">
        <v>46222</v>
      </c>
      <c r="AD769" s="31">
        <f t="shared" ca="1" si="235"/>
        <v>41</v>
      </c>
      <c r="AE769" s="36" t="s">
        <v>247</v>
      </c>
      <c r="AF769" t="s">
        <v>62</v>
      </c>
      <c r="AG769" s="10" t="s">
        <v>79</v>
      </c>
      <c r="AI769" s="9" t="s">
        <v>53</v>
      </c>
      <c r="AL769" s="9" t="s">
        <v>1319</v>
      </c>
      <c r="AM769" s="27" t="str">
        <f t="shared" si="236"/>
        <v>Atrasado</v>
      </c>
      <c r="AN769" s="27" t="str">
        <f t="shared" ca="1" si="234"/>
        <v>Estoque</v>
      </c>
      <c r="AO769" s="27" t="str">
        <f t="shared" ca="1" si="230"/>
        <v/>
      </c>
      <c r="AP769" t="s">
        <v>1318</v>
      </c>
    </row>
    <row r="770" spans="1:42" ht="15" hidden="1" customHeight="1">
      <c r="D770" t="s">
        <v>1266</v>
      </c>
      <c r="E770" s="23" t="s">
        <v>1935</v>
      </c>
      <c r="F770" s="24"/>
      <c r="I770" s="26"/>
      <c r="L770" s="27" t="str">
        <f t="shared" si="233"/>
        <v xml:space="preserve"> </v>
      </c>
      <c r="N770" s="27" t="str">
        <f t="shared" si="232"/>
        <v xml:space="preserve"> </v>
      </c>
      <c r="O770" s="27">
        <f t="shared" si="237"/>
        <v>0</v>
      </c>
      <c r="P770" s="28" t="str">
        <f t="shared" si="231"/>
        <v>On time</v>
      </c>
      <c r="Q770" s="27">
        <f t="shared" si="238"/>
        <v>0</v>
      </c>
      <c r="R770" s="29" t="s">
        <v>1273</v>
      </c>
      <c r="S770" s="12" t="s">
        <v>1274</v>
      </c>
      <c r="T770" s="35">
        <v>161</v>
      </c>
      <c r="U770" t="s">
        <v>1266</v>
      </c>
      <c r="V770" s="27">
        <v>50</v>
      </c>
      <c r="W770" s="9">
        <v>6.06</v>
      </c>
      <c r="X770" s="9">
        <f t="shared" si="239"/>
        <v>303</v>
      </c>
      <c r="Z770" s="10">
        <v>46021</v>
      </c>
      <c r="AA770" s="10">
        <v>46094</v>
      </c>
      <c r="AB770" s="10">
        <v>46157</v>
      </c>
      <c r="AC770" s="10">
        <v>46222</v>
      </c>
      <c r="AD770" s="31">
        <f t="shared" ca="1" si="235"/>
        <v>41</v>
      </c>
      <c r="AE770" s="36" t="s">
        <v>247</v>
      </c>
      <c r="AF770" t="s">
        <v>62</v>
      </c>
      <c r="AG770" s="10" t="s">
        <v>79</v>
      </c>
      <c r="AI770" s="9" t="s">
        <v>53</v>
      </c>
      <c r="AL770" s="9" t="s">
        <v>1319</v>
      </c>
      <c r="AM770" s="27" t="str">
        <f t="shared" si="236"/>
        <v>Atrasado</v>
      </c>
      <c r="AN770" s="27" t="str">
        <f t="shared" ca="1" si="234"/>
        <v>Estoque</v>
      </c>
      <c r="AO770" s="27" t="str">
        <f t="shared" ca="1" si="230"/>
        <v/>
      </c>
      <c r="AP770" t="s">
        <v>1318</v>
      </c>
    </row>
    <row r="771" spans="1:42" ht="15" hidden="1" customHeight="1">
      <c r="A771">
        <v>508100</v>
      </c>
      <c r="B771">
        <v>2</v>
      </c>
      <c r="C771" t="s">
        <v>98</v>
      </c>
      <c r="D771" t="s">
        <v>1267</v>
      </c>
      <c r="E771" s="23" t="s">
        <v>1279</v>
      </c>
      <c r="F771" s="24">
        <v>49</v>
      </c>
      <c r="G771" s="25">
        <v>79.41</v>
      </c>
      <c r="H771" s="25">
        <f>G771*F771</f>
        <v>3891.0899999999997</v>
      </c>
      <c r="I771" s="26">
        <v>46059</v>
      </c>
      <c r="J771" s="10">
        <v>46030</v>
      </c>
      <c r="K771" s="10">
        <v>46030</v>
      </c>
      <c r="L771" s="27" t="str">
        <f t="shared" si="233"/>
        <v>On time</v>
      </c>
      <c r="M771" s="58">
        <v>46021</v>
      </c>
      <c r="N771" s="27" t="str">
        <f t="shared" si="232"/>
        <v>On time</v>
      </c>
      <c r="O771" s="27">
        <f t="shared" si="237"/>
        <v>-9</v>
      </c>
      <c r="P771" s="28" t="str">
        <f t="shared" si="231"/>
        <v>On time</v>
      </c>
      <c r="Q771" s="27">
        <f t="shared" si="238"/>
        <v>29</v>
      </c>
      <c r="R771" s="29" t="s">
        <v>1273</v>
      </c>
      <c r="S771" s="12" t="s">
        <v>1274</v>
      </c>
      <c r="T771" s="35">
        <v>162</v>
      </c>
      <c r="U771" t="s">
        <v>1267</v>
      </c>
      <c r="V771" s="27">
        <v>400</v>
      </c>
      <c r="W771" s="9">
        <v>2.58</v>
      </c>
      <c r="X771" s="9">
        <f t="shared" si="239"/>
        <v>1032</v>
      </c>
      <c r="Y771">
        <v>0.52</v>
      </c>
      <c r="Z771" s="10">
        <v>46021</v>
      </c>
      <c r="AA771" s="10">
        <v>46094</v>
      </c>
      <c r="AB771" s="10">
        <v>46157</v>
      </c>
      <c r="AC771" s="10">
        <v>46222</v>
      </c>
      <c r="AD771" s="31">
        <f t="shared" ca="1" si="235"/>
        <v>41</v>
      </c>
      <c r="AE771" s="36" t="s">
        <v>247</v>
      </c>
      <c r="AF771" t="s">
        <v>62</v>
      </c>
      <c r="AG771" s="10" t="s">
        <v>79</v>
      </c>
      <c r="AI771" s="9" t="s">
        <v>53</v>
      </c>
      <c r="AL771" s="9" t="s">
        <v>2059</v>
      </c>
      <c r="AM771" s="27" t="str">
        <f t="shared" si="236"/>
        <v>Atrasado</v>
      </c>
      <c r="AN771" s="27" t="str">
        <f t="shared" ca="1" si="234"/>
        <v>Atrasado</v>
      </c>
      <c r="AO771" s="27" t="str">
        <f t="shared" ca="1" si="230"/>
        <v/>
      </c>
      <c r="AP771" t="s">
        <v>1318</v>
      </c>
    </row>
    <row r="772" spans="1:42" ht="15" hidden="1" customHeight="1">
      <c r="D772" t="s">
        <v>1268</v>
      </c>
      <c r="E772" s="23" t="s">
        <v>1936</v>
      </c>
      <c r="F772" s="24"/>
      <c r="I772" s="26"/>
      <c r="L772" s="27" t="str">
        <f t="shared" si="233"/>
        <v xml:space="preserve"> </v>
      </c>
      <c r="N772" s="27" t="str">
        <f t="shared" si="232"/>
        <v xml:space="preserve"> </v>
      </c>
      <c r="O772" s="27">
        <f t="shared" si="237"/>
        <v>0</v>
      </c>
      <c r="P772" s="28" t="str">
        <f t="shared" si="231"/>
        <v>On time</v>
      </c>
      <c r="Q772" s="27">
        <f t="shared" si="238"/>
        <v>0</v>
      </c>
      <c r="R772" s="29" t="s">
        <v>1273</v>
      </c>
      <c r="S772" s="12" t="s">
        <v>1274</v>
      </c>
      <c r="T772" s="35">
        <v>163</v>
      </c>
      <c r="U772" t="s">
        <v>1268</v>
      </c>
      <c r="V772" s="27">
        <v>300</v>
      </c>
      <c r="W772" s="9">
        <v>1.3</v>
      </c>
      <c r="X772" s="9">
        <f t="shared" si="239"/>
        <v>390</v>
      </c>
      <c r="Z772" s="10">
        <v>46021</v>
      </c>
      <c r="AA772" s="10">
        <v>46094</v>
      </c>
      <c r="AB772" s="10">
        <v>46157</v>
      </c>
      <c r="AC772" s="10">
        <v>46222</v>
      </c>
      <c r="AD772" s="31">
        <f t="shared" ca="1" si="235"/>
        <v>41</v>
      </c>
      <c r="AE772" s="36" t="s">
        <v>247</v>
      </c>
      <c r="AF772" t="s">
        <v>62</v>
      </c>
      <c r="AG772" s="10" t="s">
        <v>79</v>
      </c>
      <c r="AI772" s="9" t="s">
        <v>53</v>
      </c>
      <c r="AL772" s="9" t="s">
        <v>1319</v>
      </c>
      <c r="AM772" s="27" t="str">
        <f t="shared" si="236"/>
        <v>Atrasado</v>
      </c>
      <c r="AN772" s="27" t="str">
        <f t="shared" ca="1" si="234"/>
        <v>Estoque</v>
      </c>
      <c r="AO772" s="27" t="str">
        <f t="shared" ref="AO772:AO787" ca="1" si="240">IF(AN772="Chegou","Chegou HCI",IF(AND(AJ772&lt;&gt;"",AK772&lt;&gt;""),IF(TODAY()&gt;=AJ772,"Embarcado","Ag. embarque"),IF(AND(AJ772&lt;&gt;"",AK772=""),"Ag. booking","")))</f>
        <v/>
      </c>
      <c r="AP772" t="s">
        <v>1318</v>
      </c>
    </row>
    <row r="773" spans="1:42" ht="15" hidden="1" customHeight="1">
      <c r="D773" t="s">
        <v>1269</v>
      </c>
      <c r="E773" s="23" t="s">
        <v>1937</v>
      </c>
      <c r="F773" s="24"/>
      <c r="I773" s="26"/>
      <c r="L773" s="27" t="str">
        <f t="shared" si="233"/>
        <v xml:space="preserve"> </v>
      </c>
      <c r="N773" s="27" t="str">
        <f t="shared" si="232"/>
        <v xml:space="preserve"> </v>
      </c>
      <c r="O773" s="27">
        <f t="shared" si="237"/>
        <v>0</v>
      </c>
      <c r="P773" s="28" t="str">
        <f t="shared" ref="P773:P834" si="241">IF(Z773=0," ",IF(M773&gt;=Z773+6,"Atrasado","On time"))</f>
        <v>On time</v>
      </c>
      <c r="Q773" s="27">
        <f t="shared" si="238"/>
        <v>0</v>
      </c>
      <c r="R773" s="29" t="s">
        <v>1273</v>
      </c>
      <c r="S773" s="12" t="s">
        <v>1274</v>
      </c>
      <c r="T773" s="35">
        <v>164</v>
      </c>
      <c r="U773" t="s">
        <v>1269</v>
      </c>
      <c r="V773" s="27">
        <v>200</v>
      </c>
      <c r="W773" s="9">
        <v>2.73</v>
      </c>
      <c r="X773" s="9">
        <f t="shared" si="239"/>
        <v>546</v>
      </c>
      <c r="Z773" s="10">
        <v>46021</v>
      </c>
      <c r="AA773" s="10">
        <v>46094</v>
      </c>
      <c r="AB773" s="10">
        <v>46157</v>
      </c>
      <c r="AC773" s="10">
        <v>46222</v>
      </c>
      <c r="AD773" s="31">
        <f t="shared" ca="1" si="235"/>
        <v>41</v>
      </c>
      <c r="AE773" s="36" t="s">
        <v>247</v>
      </c>
      <c r="AF773" t="s">
        <v>62</v>
      </c>
      <c r="AG773" s="10" t="s">
        <v>79</v>
      </c>
      <c r="AI773" s="9" t="s">
        <v>53</v>
      </c>
      <c r="AL773" s="9" t="s">
        <v>1319</v>
      </c>
      <c r="AM773" s="27" t="str">
        <f t="shared" si="236"/>
        <v>Atrasado</v>
      </c>
      <c r="AN773" s="27" t="str">
        <f t="shared" ca="1" si="234"/>
        <v>Estoque</v>
      </c>
      <c r="AO773" s="27" t="str">
        <f t="shared" ca="1" si="240"/>
        <v/>
      </c>
      <c r="AP773" t="s">
        <v>1318</v>
      </c>
    </row>
    <row r="774" spans="1:42" ht="15" hidden="1" customHeight="1">
      <c r="D774" t="s">
        <v>1270</v>
      </c>
      <c r="E774" s="23" t="s">
        <v>1938</v>
      </c>
      <c r="F774" s="24"/>
      <c r="I774" s="26"/>
      <c r="L774" s="27" t="str">
        <f t="shared" si="233"/>
        <v xml:space="preserve"> </v>
      </c>
      <c r="N774" s="27" t="str">
        <f t="shared" si="232"/>
        <v xml:space="preserve"> </v>
      </c>
      <c r="O774" s="27">
        <f t="shared" si="237"/>
        <v>0</v>
      </c>
      <c r="P774" s="28" t="str">
        <f t="shared" si="241"/>
        <v>On time</v>
      </c>
      <c r="Q774" s="27">
        <f t="shared" si="238"/>
        <v>0</v>
      </c>
      <c r="R774" s="29" t="s">
        <v>1273</v>
      </c>
      <c r="S774" s="12" t="s">
        <v>1274</v>
      </c>
      <c r="T774" s="35">
        <v>166</v>
      </c>
      <c r="U774" t="s">
        <v>1270</v>
      </c>
      <c r="V774" s="27">
        <v>300</v>
      </c>
      <c r="W774" s="9">
        <v>1.06</v>
      </c>
      <c r="X774" s="9">
        <f t="shared" si="239"/>
        <v>318</v>
      </c>
      <c r="Z774" s="10">
        <v>46021</v>
      </c>
      <c r="AA774" s="10">
        <v>46094</v>
      </c>
      <c r="AB774" s="10">
        <v>46157</v>
      </c>
      <c r="AC774" s="10">
        <v>46222</v>
      </c>
      <c r="AD774" s="31">
        <f t="shared" ca="1" si="235"/>
        <v>41</v>
      </c>
      <c r="AE774" s="36" t="s">
        <v>247</v>
      </c>
      <c r="AF774" t="s">
        <v>62</v>
      </c>
      <c r="AG774" s="10" t="s">
        <v>79</v>
      </c>
      <c r="AI774" s="9" t="s">
        <v>53</v>
      </c>
      <c r="AL774" s="9" t="s">
        <v>1319</v>
      </c>
      <c r="AM774" s="27" t="str">
        <f t="shared" si="236"/>
        <v>Atrasado</v>
      </c>
      <c r="AN774" s="27" t="str">
        <f t="shared" ca="1" si="234"/>
        <v>Estoque</v>
      </c>
      <c r="AO774" s="27" t="str">
        <f t="shared" ca="1" si="240"/>
        <v/>
      </c>
      <c r="AP774" t="s">
        <v>1318</v>
      </c>
    </row>
    <row r="775" spans="1:42" ht="15" hidden="1" customHeight="1">
      <c r="A775">
        <v>510869</v>
      </c>
      <c r="B775">
        <v>1</v>
      </c>
      <c r="C775" t="s">
        <v>25</v>
      </c>
      <c r="D775" t="s">
        <v>1271</v>
      </c>
      <c r="E775" s="23" t="s">
        <v>1280</v>
      </c>
      <c r="F775" s="24">
        <v>80</v>
      </c>
      <c r="G775" s="25">
        <v>112.14</v>
      </c>
      <c r="H775" s="25">
        <f>G775*F775</f>
        <v>8971.2000000000007</v>
      </c>
      <c r="I775" s="26">
        <v>46234</v>
      </c>
      <c r="J775" s="10">
        <v>46064</v>
      </c>
      <c r="K775" s="10">
        <v>46064</v>
      </c>
      <c r="L775" s="27" t="str">
        <f t="shared" si="233"/>
        <v>On time</v>
      </c>
      <c r="M775" s="58">
        <v>46021</v>
      </c>
      <c r="N775" s="27" t="str">
        <f t="shared" si="232"/>
        <v>On time</v>
      </c>
      <c r="O775" s="27">
        <f t="shared" si="237"/>
        <v>-43</v>
      </c>
      <c r="P775" s="28" t="str">
        <f t="shared" si="241"/>
        <v>On time</v>
      </c>
      <c r="Q775" s="27">
        <f t="shared" si="238"/>
        <v>170</v>
      </c>
      <c r="R775" s="29" t="s">
        <v>1273</v>
      </c>
      <c r="S775" s="12" t="s">
        <v>1274</v>
      </c>
      <c r="T775" s="35">
        <v>167</v>
      </c>
      <c r="U775" t="s">
        <v>1271</v>
      </c>
      <c r="V775" s="27">
        <v>100</v>
      </c>
      <c r="W775" s="9">
        <v>2.73</v>
      </c>
      <c r="X775" s="9">
        <f t="shared" si="239"/>
        <v>273</v>
      </c>
      <c r="Y775">
        <v>0.4</v>
      </c>
      <c r="Z775" s="10">
        <v>46021</v>
      </c>
      <c r="AA775" s="10">
        <v>46094</v>
      </c>
      <c r="AB775" s="10">
        <v>46157</v>
      </c>
      <c r="AC775" s="10">
        <v>46222</v>
      </c>
      <c r="AD775" s="31">
        <f t="shared" ca="1" si="235"/>
        <v>41</v>
      </c>
      <c r="AE775" s="36" t="s">
        <v>247</v>
      </c>
      <c r="AF775" t="s">
        <v>62</v>
      </c>
      <c r="AG775" s="10" t="s">
        <v>79</v>
      </c>
      <c r="AI775" s="9" t="s">
        <v>53</v>
      </c>
      <c r="AL775" s="9" t="s">
        <v>2059</v>
      </c>
      <c r="AM775" s="27" t="str">
        <f t="shared" si="236"/>
        <v>Atrasado</v>
      </c>
      <c r="AN775" s="27" t="str">
        <f t="shared" ca="1" si="234"/>
        <v>Verificar aéreo</v>
      </c>
      <c r="AO775" s="27" t="str">
        <f t="shared" ca="1" si="240"/>
        <v/>
      </c>
      <c r="AP775" t="s">
        <v>1318</v>
      </c>
    </row>
    <row r="776" spans="1:42" ht="15" hidden="1" customHeight="1">
      <c r="D776" t="s">
        <v>1272</v>
      </c>
      <c r="E776" s="23" t="s">
        <v>1281</v>
      </c>
      <c r="F776" s="24"/>
      <c r="I776" s="26"/>
      <c r="L776" s="27" t="str">
        <f t="shared" si="233"/>
        <v xml:space="preserve"> </v>
      </c>
      <c r="N776" s="27" t="str">
        <f t="shared" si="232"/>
        <v xml:space="preserve"> </v>
      </c>
      <c r="O776" s="27">
        <f t="shared" si="237"/>
        <v>0</v>
      </c>
      <c r="P776" s="28" t="str">
        <f t="shared" si="241"/>
        <v>On time</v>
      </c>
      <c r="Q776" s="27">
        <f t="shared" si="238"/>
        <v>0</v>
      </c>
      <c r="R776" s="29" t="s">
        <v>1273</v>
      </c>
      <c r="S776" s="12" t="s">
        <v>1274</v>
      </c>
      <c r="T776" s="35">
        <v>168</v>
      </c>
      <c r="U776" t="s">
        <v>1272</v>
      </c>
      <c r="V776" s="27">
        <v>1</v>
      </c>
      <c r="W776" s="9">
        <v>2.27</v>
      </c>
      <c r="X776" s="9">
        <f t="shared" si="239"/>
        <v>2.27</v>
      </c>
      <c r="Z776" s="10">
        <v>46021</v>
      </c>
      <c r="AA776" s="10">
        <v>46094</v>
      </c>
      <c r="AB776" s="10">
        <v>46157</v>
      </c>
      <c r="AC776" s="10">
        <v>46222</v>
      </c>
      <c r="AD776" s="31">
        <f t="shared" ca="1" si="235"/>
        <v>41</v>
      </c>
      <c r="AE776" s="36" t="s">
        <v>247</v>
      </c>
      <c r="AF776" t="s">
        <v>62</v>
      </c>
      <c r="AG776" s="10" t="s">
        <v>79</v>
      </c>
      <c r="AI776" s="9" t="s">
        <v>53</v>
      </c>
      <c r="AL776" s="9" t="s">
        <v>1319</v>
      </c>
      <c r="AM776" s="27" t="str">
        <f t="shared" si="236"/>
        <v>Atrasado</v>
      </c>
      <c r="AN776" s="27" t="str">
        <f t="shared" ca="1" si="234"/>
        <v>Estoque</v>
      </c>
      <c r="AO776" s="27" t="str">
        <f t="shared" ca="1" si="240"/>
        <v/>
      </c>
      <c r="AP776" t="s">
        <v>1318</v>
      </c>
    </row>
    <row r="777" spans="1:42" ht="15" hidden="1" customHeight="1">
      <c r="A777">
        <v>514644</v>
      </c>
      <c r="B777">
        <v>1</v>
      </c>
      <c r="C777" t="s">
        <v>46</v>
      </c>
      <c r="D777" t="s">
        <v>1323</v>
      </c>
      <c r="E777" s="23" t="s">
        <v>1322</v>
      </c>
      <c r="F777" s="24">
        <v>2</v>
      </c>
      <c r="G777" s="25">
        <v>1145.0999999999999</v>
      </c>
      <c r="H777" s="25">
        <f>G777*F777</f>
        <v>2290.1999999999998</v>
      </c>
      <c r="I777" s="26">
        <v>46254</v>
      </c>
      <c r="J777" s="10">
        <v>46119</v>
      </c>
      <c r="K777" s="10">
        <v>46119</v>
      </c>
      <c r="L777" s="27" t="str">
        <f t="shared" si="233"/>
        <v>On time</v>
      </c>
      <c r="M777" s="58">
        <v>46119</v>
      </c>
      <c r="N777" s="27" t="str">
        <f t="shared" ref="N777:N840" si="242">IF(J777=0," ",IF(M777&lt;=J777+6,"On time","Atrasado"))</f>
        <v>On time</v>
      </c>
      <c r="O777" s="27">
        <f t="shared" si="237"/>
        <v>0</v>
      </c>
      <c r="P777" s="28" t="str">
        <f t="shared" si="241"/>
        <v>On time</v>
      </c>
      <c r="Q777" s="27">
        <f t="shared" si="238"/>
        <v>135</v>
      </c>
      <c r="R777" s="29" t="s">
        <v>1321</v>
      </c>
      <c r="S777" s="12" t="s">
        <v>524</v>
      </c>
      <c r="T777" s="35">
        <v>1</v>
      </c>
      <c r="U777" t="s">
        <v>525</v>
      </c>
      <c r="V777" s="27">
        <v>2</v>
      </c>
      <c r="W777" s="9">
        <v>55</v>
      </c>
      <c r="X777" s="9">
        <f t="shared" si="239"/>
        <v>110</v>
      </c>
      <c r="Y777">
        <v>10.76</v>
      </c>
      <c r="Z777" s="10">
        <v>46122</v>
      </c>
      <c r="AA777" s="10">
        <v>46142</v>
      </c>
      <c r="AB777" s="10">
        <v>46142</v>
      </c>
      <c r="AC777" s="10">
        <v>46207</v>
      </c>
      <c r="AD777" s="31">
        <f t="shared" ca="1" si="235"/>
        <v>-7</v>
      </c>
      <c r="AE777" s="36">
        <v>1</v>
      </c>
      <c r="AF777" t="s">
        <v>62</v>
      </c>
      <c r="AG777" s="10" t="s">
        <v>79</v>
      </c>
      <c r="AI777" s="9" t="s">
        <v>53</v>
      </c>
      <c r="AL777" t="s">
        <v>2213</v>
      </c>
      <c r="AM777" s="27" t="str">
        <f t="shared" si="236"/>
        <v>On time</v>
      </c>
      <c r="AN777" s="27" t="str">
        <f t="shared" ca="1" si="234"/>
        <v>No prazo</v>
      </c>
      <c r="AO777" s="27" t="str">
        <f t="shared" ca="1" si="240"/>
        <v/>
      </c>
    </row>
    <row r="778" spans="1:42" ht="15" customHeight="1">
      <c r="A778">
        <v>514515</v>
      </c>
      <c r="B778">
        <v>1</v>
      </c>
      <c r="C778" t="s">
        <v>25</v>
      </c>
      <c r="D778" t="s">
        <v>1325</v>
      </c>
      <c r="E778" s="23" t="s">
        <v>1327</v>
      </c>
      <c r="F778" s="24">
        <v>50</v>
      </c>
      <c r="G778" s="25">
        <v>70.44</v>
      </c>
      <c r="H778" s="25">
        <f>G778*F778</f>
        <v>3522</v>
      </c>
      <c r="I778" s="26">
        <v>46234</v>
      </c>
      <c r="J778" s="10">
        <v>46114</v>
      </c>
      <c r="K778" s="10">
        <v>46118</v>
      </c>
      <c r="L778" s="27" t="str">
        <f t="shared" ref="L778:L841" si="243">IF(J778=0," ",IF(K778&lt;=J778+6,"On time","Atrasado"))</f>
        <v>On time</v>
      </c>
      <c r="M778" s="58">
        <v>46122</v>
      </c>
      <c r="N778" s="27" t="str">
        <f t="shared" si="242"/>
        <v>Atrasado</v>
      </c>
      <c r="O778" s="27">
        <f t="shared" si="237"/>
        <v>8</v>
      </c>
      <c r="P778" s="28" t="str">
        <f t="shared" si="241"/>
        <v>On time</v>
      </c>
      <c r="Q778" s="27">
        <f t="shared" si="238"/>
        <v>120</v>
      </c>
      <c r="R778" s="29" t="s">
        <v>1324</v>
      </c>
      <c r="S778" s="12" t="s">
        <v>48</v>
      </c>
      <c r="T778" s="35">
        <v>1</v>
      </c>
      <c r="U778" t="s">
        <v>1325</v>
      </c>
      <c r="V778" s="27">
        <v>100</v>
      </c>
      <c r="W778" s="9">
        <v>4.12</v>
      </c>
      <c r="X778" s="9">
        <f t="shared" si="239"/>
        <v>412</v>
      </c>
      <c r="Y778">
        <v>0.8</v>
      </c>
      <c r="Z778" s="10">
        <v>46122</v>
      </c>
      <c r="AA778" s="10">
        <v>46142</v>
      </c>
      <c r="AB778" s="10">
        <v>46142</v>
      </c>
      <c r="AC778" s="10">
        <v>46207</v>
      </c>
      <c r="AD778" s="31">
        <f t="shared" ref="AD778" ca="1" si="244">TODAY()-AA778</f>
        <v>-7</v>
      </c>
      <c r="AE778" s="36">
        <v>1</v>
      </c>
      <c r="AF778" t="s">
        <v>62</v>
      </c>
      <c r="AG778" s="10" t="s">
        <v>78</v>
      </c>
      <c r="AI778" s="9" t="s">
        <v>53</v>
      </c>
      <c r="AL778" t="s">
        <v>2073</v>
      </c>
      <c r="AM778" s="27" t="str">
        <f t="shared" ref="AM778:AM779" si="245">IF(AB778=0," ",IF(AB778&lt;=AA778+10,"On time","Atrasado"))</f>
        <v>On time</v>
      </c>
      <c r="AN778" s="27" t="str">
        <f ca="1">IF(AND(AC778&lt;&gt;"",AC778&lt;=TODAY()),"Chegou",IF(A778="","Estoque",IF(OR(AC778="",I778=""),"",IF(I778-AC778&lt;=0,"Atrasado",IF(I778-AC778&lt;=9,"Crítico",IF(I778-AC778&lt;=20,"Verificar aéreo",IF(I778-AC778&lt;=25,"Alerta","No prazo")        ))))))</f>
        <v>No prazo</v>
      </c>
      <c r="AO778" s="27" t="str">
        <f t="shared" ca="1" si="240"/>
        <v/>
      </c>
      <c r="AP778" t="s">
        <v>1329</v>
      </c>
    </row>
    <row r="779" spans="1:42" ht="15" customHeight="1">
      <c r="A779">
        <v>514155</v>
      </c>
      <c r="B779">
        <v>2</v>
      </c>
      <c r="C779" t="s">
        <v>25</v>
      </c>
      <c r="D779" t="s">
        <v>1326</v>
      </c>
      <c r="E779" s="23" t="s">
        <v>1328</v>
      </c>
      <c r="F779" s="24">
        <v>6</v>
      </c>
      <c r="G779" s="25">
        <v>105.44</v>
      </c>
      <c r="H779" s="25">
        <f>G779*F779</f>
        <v>632.64</v>
      </c>
      <c r="I779" s="26">
        <v>46265</v>
      </c>
      <c r="J779" s="10">
        <v>46111</v>
      </c>
      <c r="K779" s="10">
        <v>46112</v>
      </c>
      <c r="L779" s="27" t="str">
        <f t="shared" si="243"/>
        <v>On time</v>
      </c>
      <c r="M779" s="58">
        <v>46122</v>
      </c>
      <c r="N779" s="27" t="str">
        <f t="shared" si="242"/>
        <v>Atrasado</v>
      </c>
      <c r="O779" s="27">
        <f t="shared" si="237"/>
        <v>11</v>
      </c>
      <c r="P779" s="28" t="str">
        <f t="shared" si="241"/>
        <v>On time</v>
      </c>
      <c r="Q779" s="27">
        <f t="shared" si="238"/>
        <v>154</v>
      </c>
      <c r="R779" s="29" t="s">
        <v>1324</v>
      </c>
      <c r="S779" s="12" t="s">
        <v>48</v>
      </c>
      <c r="T779" s="35">
        <v>2</v>
      </c>
      <c r="U779" t="s">
        <v>1326</v>
      </c>
      <c r="V779" s="27">
        <v>25</v>
      </c>
      <c r="W779" s="9">
        <v>5.15</v>
      </c>
      <c r="X779" s="9">
        <f t="shared" si="239"/>
        <v>128.75</v>
      </c>
      <c r="Y779">
        <v>0.19</v>
      </c>
      <c r="Z779" s="10">
        <v>46122</v>
      </c>
      <c r="AA779" s="10">
        <v>46142</v>
      </c>
      <c r="AB779" s="10">
        <v>46142</v>
      </c>
      <c r="AC779" s="10">
        <v>46207</v>
      </c>
      <c r="AD779" s="31">
        <f t="shared" ref="AD779" ca="1" si="246">TODAY()-AA779</f>
        <v>-7</v>
      </c>
      <c r="AE779" s="36">
        <v>1</v>
      </c>
      <c r="AF779" t="s">
        <v>62</v>
      </c>
      <c r="AG779" s="10" t="s">
        <v>78</v>
      </c>
      <c r="AI779" s="9" t="s">
        <v>53</v>
      </c>
      <c r="AL779" t="s">
        <v>2073</v>
      </c>
      <c r="AM779" s="27" t="str">
        <f t="shared" si="245"/>
        <v>On time</v>
      </c>
      <c r="AN779" s="27" t="str">
        <f t="shared" ca="1" si="234"/>
        <v>No prazo</v>
      </c>
      <c r="AO779" s="27" t="str">
        <f t="shared" ca="1" si="240"/>
        <v/>
      </c>
    </row>
    <row r="780" spans="1:42" ht="15" hidden="1" customHeight="1">
      <c r="A780">
        <v>514544</v>
      </c>
      <c r="B780">
        <v>2</v>
      </c>
      <c r="C780" t="s">
        <v>25</v>
      </c>
      <c r="D780" t="s">
        <v>1330</v>
      </c>
      <c r="E780" s="23" t="s">
        <v>1335</v>
      </c>
      <c r="F780" s="24">
        <v>13</v>
      </c>
      <c r="G780" s="25">
        <v>1029.3499999999999</v>
      </c>
      <c r="H780" s="25">
        <f t="shared" ref="H780:H790" si="247">G780*F780</f>
        <v>13381.55</v>
      </c>
      <c r="I780" s="26">
        <v>46268</v>
      </c>
      <c r="J780" s="10">
        <v>46118</v>
      </c>
      <c r="K780" s="10">
        <v>46118</v>
      </c>
      <c r="L780" s="27" t="str">
        <f t="shared" si="243"/>
        <v>On time</v>
      </c>
      <c r="M780" s="58">
        <v>46122</v>
      </c>
      <c r="N780" s="27" t="str">
        <f t="shared" si="242"/>
        <v>On time</v>
      </c>
      <c r="O780" s="27">
        <f t="shared" si="237"/>
        <v>4</v>
      </c>
      <c r="P780" s="28" t="str">
        <f t="shared" si="241"/>
        <v>On time</v>
      </c>
      <c r="Q780" s="27">
        <f t="shared" si="238"/>
        <v>150</v>
      </c>
      <c r="R780" s="29" t="s">
        <v>1334</v>
      </c>
      <c r="S780" s="12" t="s">
        <v>65</v>
      </c>
      <c r="T780" s="35">
        <v>1</v>
      </c>
      <c r="U780" t="s">
        <v>1330</v>
      </c>
      <c r="V780" s="27">
        <v>13</v>
      </c>
      <c r="W780" s="9">
        <v>43.8</v>
      </c>
      <c r="X780" s="9">
        <f t="shared" si="239"/>
        <v>569.4</v>
      </c>
      <c r="Y780">
        <v>6</v>
      </c>
      <c r="Z780" s="10">
        <v>46122</v>
      </c>
      <c r="AA780" s="10">
        <v>46142</v>
      </c>
      <c r="AB780" s="10">
        <v>46142</v>
      </c>
      <c r="AC780" s="10">
        <v>46207</v>
      </c>
      <c r="AD780" s="31">
        <f t="shared" ref="AD780:AD787" ca="1" si="248">TODAY()-AA780</f>
        <v>-7</v>
      </c>
      <c r="AE780" s="36">
        <v>1</v>
      </c>
      <c r="AF780" t="s">
        <v>62</v>
      </c>
      <c r="AG780" s="10" t="s">
        <v>79</v>
      </c>
      <c r="AI780" s="9" t="s">
        <v>53</v>
      </c>
      <c r="AL780" t="s">
        <v>2031</v>
      </c>
      <c r="AM780" s="27" t="str">
        <f t="shared" ref="AM780:AM785" si="249">IF(AB780=0," ",IF(AB780&lt;=AA780+10,"On time","Atrasado"))</f>
        <v>On time</v>
      </c>
      <c r="AN780" s="27" t="str">
        <f t="shared" ref="AN780:AN785" ca="1" si="250">IF(AND(AC780&lt;&gt;"",AC780&lt;=TODAY()),"Chegou",IF(A780="","Estoque",IF(OR(AC780="",I780=""),"",IF(I780-AC780&lt;=0,"Atrasado",IF(I780-AC780&lt;=9,"Crítico",IF(I780-AC780&lt;=20,"Verificar aéreo",IF(I780-AC780&lt;=25,"Alerta","No prazo")        ))))))</f>
        <v>No prazo</v>
      </c>
      <c r="AO780" s="27" t="str">
        <f t="shared" ca="1" si="240"/>
        <v/>
      </c>
      <c r="AP780" t="s">
        <v>2032</v>
      </c>
    </row>
    <row r="781" spans="1:42" ht="15" hidden="1" customHeight="1">
      <c r="A781">
        <v>514603</v>
      </c>
      <c r="B781">
        <v>1</v>
      </c>
      <c r="C781" t="s">
        <v>25</v>
      </c>
      <c r="D781" t="s">
        <v>1331</v>
      </c>
      <c r="E781" s="23" t="s">
        <v>1336</v>
      </c>
      <c r="F781" s="24">
        <v>123</v>
      </c>
      <c r="G781" s="25">
        <v>39.159999999999997</v>
      </c>
      <c r="H781" s="25">
        <f t="shared" si="247"/>
        <v>4816.6799999999994</v>
      </c>
      <c r="I781" s="26">
        <v>46268</v>
      </c>
      <c r="J781" s="10">
        <v>46118</v>
      </c>
      <c r="K781" s="10">
        <v>46119</v>
      </c>
      <c r="L781" s="27" t="str">
        <f t="shared" si="243"/>
        <v>On time</v>
      </c>
      <c r="M781" s="58">
        <v>46122</v>
      </c>
      <c r="N781" s="27" t="str">
        <f t="shared" si="242"/>
        <v>On time</v>
      </c>
      <c r="O781" s="27">
        <f t="shared" si="237"/>
        <v>4</v>
      </c>
      <c r="P781" s="28" t="str">
        <f t="shared" si="241"/>
        <v>On time</v>
      </c>
      <c r="Q781" s="27">
        <f t="shared" si="238"/>
        <v>150</v>
      </c>
      <c r="R781" s="29" t="s">
        <v>1334</v>
      </c>
      <c r="S781" s="12" t="s">
        <v>65</v>
      </c>
      <c r="T781" s="35">
        <v>2</v>
      </c>
      <c r="U781" t="s">
        <v>1331</v>
      </c>
      <c r="V781" s="27">
        <v>250</v>
      </c>
      <c r="W781" s="9">
        <v>1.9</v>
      </c>
      <c r="X781" s="9">
        <f t="shared" si="239"/>
        <v>475</v>
      </c>
      <c r="Y781">
        <v>0.2</v>
      </c>
      <c r="Z781" s="10">
        <v>46122</v>
      </c>
      <c r="AA781" s="10">
        <v>46142</v>
      </c>
      <c r="AB781" s="10">
        <v>46142</v>
      </c>
      <c r="AC781" s="10">
        <v>46207</v>
      </c>
      <c r="AD781" s="31">
        <f t="shared" ca="1" si="248"/>
        <v>-7</v>
      </c>
      <c r="AE781" s="36">
        <v>1</v>
      </c>
      <c r="AF781" t="s">
        <v>62</v>
      </c>
      <c r="AG781" s="10" t="s">
        <v>79</v>
      </c>
      <c r="AI781" s="9" t="s">
        <v>53</v>
      </c>
      <c r="AL781" t="s">
        <v>2031</v>
      </c>
      <c r="AM781" s="27" t="str">
        <f t="shared" si="249"/>
        <v>On time</v>
      </c>
      <c r="AN781" s="27" t="str">
        <f t="shared" ca="1" si="250"/>
        <v>No prazo</v>
      </c>
      <c r="AO781" s="27" t="str">
        <f t="shared" ca="1" si="240"/>
        <v/>
      </c>
      <c r="AP781" t="s">
        <v>2032</v>
      </c>
    </row>
    <row r="782" spans="1:42" ht="15" hidden="1" customHeight="1">
      <c r="A782">
        <v>514429</v>
      </c>
      <c r="B782">
        <v>1</v>
      </c>
      <c r="C782" t="s">
        <v>25</v>
      </c>
      <c r="D782" t="s">
        <v>1332</v>
      </c>
      <c r="E782" s="23" t="s">
        <v>1337</v>
      </c>
      <c r="F782" s="24">
        <v>6</v>
      </c>
      <c r="G782" s="25">
        <v>54.75</v>
      </c>
      <c r="H782" s="25">
        <f t="shared" si="247"/>
        <v>328.5</v>
      </c>
      <c r="I782" s="26">
        <v>46265</v>
      </c>
      <c r="J782" s="10">
        <v>46114</v>
      </c>
      <c r="K782" s="10">
        <v>46114</v>
      </c>
      <c r="L782" s="27" t="str">
        <f t="shared" si="243"/>
        <v>On time</v>
      </c>
      <c r="M782" s="58">
        <v>46122</v>
      </c>
      <c r="N782" s="27" t="str">
        <f t="shared" si="242"/>
        <v>Atrasado</v>
      </c>
      <c r="O782" s="27">
        <f t="shared" si="237"/>
        <v>8</v>
      </c>
      <c r="P782" s="28" t="str">
        <f t="shared" si="241"/>
        <v>On time</v>
      </c>
      <c r="Q782" s="27">
        <f t="shared" si="238"/>
        <v>151</v>
      </c>
      <c r="R782" s="29" t="s">
        <v>1334</v>
      </c>
      <c r="S782" s="12" t="s">
        <v>65</v>
      </c>
      <c r="T782" s="35">
        <v>3</v>
      </c>
      <c r="U782" t="s">
        <v>1332</v>
      </c>
      <c r="V782" s="79">
        <v>20</v>
      </c>
      <c r="W782" s="70">
        <v>3.59</v>
      </c>
      <c r="X782" s="80">
        <f t="shared" si="239"/>
        <v>71.8</v>
      </c>
      <c r="Y782">
        <v>1</v>
      </c>
      <c r="Z782" s="10">
        <v>46122</v>
      </c>
      <c r="AA782" s="10">
        <v>46142</v>
      </c>
      <c r="AB782" s="10">
        <v>46142</v>
      </c>
      <c r="AC782" s="10">
        <v>46207</v>
      </c>
      <c r="AD782" s="31">
        <f t="shared" ca="1" si="248"/>
        <v>-7</v>
      </c>
      <c r="AE782" s="36">
        <v>1</v>
      </c>
      <c r="AF782" t="s">
        <v>62</v>
      </c>
      <c r="AG782" s="10" t="s">
        <v>79</v>
      </c>
      <c r="AI782" s="9" t="s">
        <v>53</v>
      </c>
      <c r="AL782" t="s">
        <v>2031</v>
      </c>
      <c r="AM782" s="27" t="str">
        <f t="shared" si="249"/>
        <v>On time</v>
      </c>
      <c r="AN782" s="27" t="str">
        <f t="shared" ca="1" si="250"/>
        <v>No prazo</v>
      </c>
      <c r="AO782" s="27" t="str">
        <f t="shared" ca="1" si="240"/>
        <v/>
      </c>
    </row>
    <row r="783" spans="1:42" ht="15" hidden="1" customHeight="1">
      <c r="A783">
        <v>514429</v>
      </c>
      <c r="B783">
        <v>2</v>
      </c>
      <c r="C783" t="s">
        <v>25</v>
      </c>
      <c r="D783" t="s">
        <v>1332</v>
      </c>
      <c r="E783" s="23" t="s">
        <v>1337</v>
      </c>
      <c r="F783" s="24">
        <v>2</v>
      </c>
      <c r="G783" s="25">
        <v>54.75</v>
      </c>
      <c r="H783" s="25">
        <f t="shared" ref="H783" si="251">G783*F783</f>
        <v>109.5</v>
      </c>
      <c r="I783" s="26">
        <v>46265</v>
      </c>
      <c r="J783" s="10">
        <v>46114</v>
      </c>
      <c r="K783" s="10">
        <v>46114</v>
      </c>
      <c r="L783" s="27" t="str">
        <f t="shared" si="243"/>
        <v>On time</v>
      </c>
      <c r="M783" s="58">
        <v>46122</v>
      </c>
      <c r="N783" s="27" t="str">
        <f t="shared" si="242"/>
        <v>Atrasado</v>
      </c>
      <c r="O783" s="27">
        <f t="shared" si="237"/>
        <v>8</v>
      </c>
      <c r="P783" s="28" t="str">
        <f t="shared" si="241"/>
        <v>On time</v>
      </c>
      <c r="Q783" s="27">
        <f t="shared" si="238"/>
        <v>151</v>
      </c>
      <c r="R783" s="29" t="s">
        <v>1334</v>
      </c>
      <c r="S783" s="12" t="s">
        <v>65</v>
      </c>
      <c r="T783" s="35">
        <v>3</v>
      </c>
      <c r="U783" t="s">
        <v>1332</v>
      </c>
      <c r="V783" s="79"/>
      <c r="W783" s="70">
        <v>3.59</v>
      </c>
      <c r="X783" s="80"/>
      <c r="Y783">
        <v>1</v>
      </c>
      <c r="Z783" s="10">
        <v>46122</v>
      </c>
      <c r="AA783" s="10">
        <v>46142</v>
      </c>
      <c r="AB783" s="10">
        <v>46142</v>
      </c>
      <c r="AC783" s="10">
        <v>46207</v>
      </c>
      <c r="AD783" s="31">
        <f t="shared" ref="AD783" ca="1" si="252">TODAY()-AA783</f>
        <v>-7</v>
      </c>
      <c r="AE783" s="36">
        <v>1</v>
      </c>
      <c r="AF783" t="s">
        <v>62</v>
      </c>
      <c r="AG783" s="10" t="s">
        <v>79</v>
      </c>
      <c r="AI783" s="9" t="s">
        <v>53</v>
      </c>
      <c r="AL783" t="s">
        <v>2031</v>
      </c>
      <c r="AM783" s="27" t="str">
        <f t="shared" ref="AM783" si="253">IF(AB783=0," ",IF(AB783&lt;=AA783+10,"On time","Atrasado"))</f>
        <v>On time</v>
      </c>
      <c r="AN783" s="27" t="str">
        <f t="shared" ref="AN783" ca="1" si="254">IF(AND(AC783&lt;&gt;"",AC783&lt;=TODAY()),"Chegou",IF(A783="","Estoque",IF(OR(AC783="",I783=""),"",IF(I783-AC783&lt;=0,"Atrasado",IF(I783-AC783&lt;=9,"Crítico",IF(I783-AC783&lt;=20,"Verificar aéreo",IF(I783-AC783&lt;=25,"Alerta","No prazo")        ))))))</f>
        <v>No prazo</v>
      </c>
      <c r="AO783" s="27" t="str">
        <f t="shared" ca="1" si="240"/>
        <v/>
      </c>
    </row>
    <row r="784" spans="1:42" ht="15" hidden="1" customHeight="1">
      <c r="A784">
        <v>514600</v>
      </c>
      <c r="B784">
        <v>1</v>
      </c>
      <c r="C784" t="s">
        <v>25</v>
      </c>
      <c r="D784" t="s">
        <v>1333</v>
      </c>
      <c r="E784" s="23" t="s">
        <v>1338</v>
      </c>
      <c r="F784" s="24">
        <v>61</v>
      </c>
      <c r="G784" s="25">
        <v>134.35</v>
      </c>
      <c r="H784" s="25">
        <f t="shared" si="247"/>
        <v>8195.35</v>
      </c>
      <c r="I784" s="26">
        <v>46262</v>
      </c>
      <c r="J784" s="10">
        <v>46118</v>
      </c>
      <c r="K784" s="10">
        <v>46118</v>
      </c>
      <c r="L784" s="27" t="str">
        <f t="shared" si="243"/>
        <v>On time</v>
      </c>
      <c r="M784" s="58">
        <v>46122</v>
      </c>
      <c r="N784" s="27" t="str">
        <f t="shared" si="242"/>
        <v>On time</v>
      </c>
      <c r="O784" s="27">
        <f t="shared" si="237"/>
        <v>4</v>
      </c>
      <c r="P784" s="28" t="str">
        <f t="shared" si="241"/>
        <v>On time</v>
      </c>
      <c r="Q784" s="27">
        <f t="shared" si="238"/>
        <v>144</v>
      </c>
      <c r="R784" s="29" t="s">
        <v>1334</v>
      </c>
      <c r="S784" s="12" t="s">
        <v>65</v>
      </c>
      <c r="T784" s="35">
        <v>4</v>
      </c>
      <c r="U784" t="s">
        <v>1333</v>
      </c>
      <c r="V784" s="27">
        <v>200</v>
      </c>
      <c r="W784" s="9">
        <v>6.7</v>
      </c>
      <c r="X784" s="9">
        <f t="shared" si="239"/>
        <v>1340</v>
      </c>
      <c r="Y784">
        <v>0.28000000000000003</v>
      </c>
      <c r="Z784" s="10">
        <v>46122</v>
      </c>
      <c r="AA784" s="10">
        <v>46142</v>
      </c>
      <c r="AB784" s="10">
        <v>46142</v>
      </c>
      <c r="AC784" s="10">
        <v>46207</v>
      </c>
      <c r="AD784" s="31">
        <f t="shared" ca="1" si="248"/>
        <v>-7</v>
      </c>
      <c r="AE784" s="36">
        <v>1</v>
      </c>
      <c r="AF784" t="s">
        <v>62</v>
      </c>
      <c r="AG784" s="10" t="s">
        <v>79</v>
      </c>
      <c r="AI784" s="9" t="s">
        <v>53</v>
      </c>
      <c r="AL784" t="s">
        <v>2031</v>
      </c>
      <c r="AM784" s="27" t="str">
        <f t="shared" si="249"/>
        <v>On time</v>
      </c>
      <c r="AN784" s="27" t="str">
        <f t="shared" ca="1" si="250"/>
        <v>No prazo</v>
      </c>
      <c r="AO784" s="27" t="str">
        <f t="shared" ca="1" si="240"/>
        <v/>
      </c>
    </row>
    <row r="785" spans="1:42" ht="15" hidden="1" customHeight="1">
      <c r="A785">
        <v>514989</v>
      </c>
      <c r="B785">
        <v>1</v>
      </c>
      <c r="C785" t="s">
        <v>2019</v>
      </c>
      <c r="D785" t="s">
        <v>2018</v>
      </c>
      <c r="E785" s="23" t="s">
        <v>2020</v>
      </c>
      <c r="F785" s="24">
        <v>3</v>
      </c>
      <c r="G785" s="25">
        <v>1147.5</v>
      </c>
      <c r="H785" s="25">
        <f t="shared" si="247"/>
        <v>3442.5</v>
      </c>
      <c r="I785" s="26">
        <v>46258</v>
      </c>
      <c r="J785" s="10">
        <v>46123</v>
      </c>
      <c r="K785" s="10">
        <v>46123</v>
      </c>
      <c r="L785" s="27" t="str">
        <f t="shared" si="243"/>
        <v>On time</v>
      </c>
      <c r="M785" s="58">
        <v>46126</v>
      </c>
      <c r="N785" s="27" t="str">
        <f t="shared" si="242"/>
        <v>On time</v>
      </c>
      <c r="O785" s="27">
        <f t="shared" si="237"/>
        <v>3</v>
      </c>
      <c r="P785" s="28" t="str">
        <f t="shared" si="241"/>
        <v>On time</v>
      </c>
      <c r="Q785" s="27">
        <f t="shared" si="238"/>
        <v>135</v>
      </c>
      <c r="R785" s="29" t="s">
        <v>2017</v>
      </c>
      <c r="S785" s="12" t="s">
        <v>100</v>
      </c>
      <c r="T785" s="35">
        <v>1</v>
      </c>
      <c r="U785" t="s">
        <v>2018</v>
      </c>
      <c r="V785" s="27">
        <v>3</v>
      </c>
      <c r="W785" s="9">
        <v>41.75</v>
      </c>
      <c r="X785" s="9">
        <f t="shared" si="239"/>
        <v>125.25</v>
      </c>
      <c r="Y785">
        <v>52.4</v>
      </c>
      <c r="Z785" s="10">
        <v>46129</v>
      </c>
      <c r="AA785" s="10">
        <v>46149</v>
      </c>
      <c r="AB785" s="10">
        <v>46149</v>
      </c>
      <c r="AC785" s="10">
        <v>46214</v>
      </c>
      <c r="AD785" s="31">
        <f t="shared" ca="1" si="248"/>
        <v>-14</v>
      </c>
      <c r="AE785" s="36">
        <v>1</v>
      </c>
      <c r="AF785" t="s">
        <v>2037</v>
      </c>
      <c r="AG785" s="10" t="s">
        <v>78</v>
      </c>
      <c r="AI785" s="9" t="s">
        <v>53</v>
      </c>
      <c r="AL785" t="s">
        <v>2036</v>
      </c>
      <c r="AM785" s="27" t="str">
        <f t="shared" si="249"/>
        <v>On time</v>
      </c>
      <c r="AN785" s="27" t="str">
        <f t="shared" ca="1" si="250"/>
        <v>No prazo</v>
      </c>
      <c r="AO785" s="27" t="str">
        <f t="shared" ca="1" si="240"/>
        <v/>
      </c>
      <c r="AP785" t="s">
        <v>2038</v>
      </c>
    </row>
    <row r="786" spans="1:42" ht="15" hidden="1" customHeight="1">
      <c r="A786">
        <v>514488</v>
      </c>
      <c r="B786">
        <v>1</v>
      </c>
      <c r="C786" t="s">
        <v>2019</v>
      </c>
      <c r="D786" t="s">
        <v>2023</v>
      </c>
      <c r="E786" s="23" t="s">
        <v>2024</v>
      </c>
      <c r="F786" s="24">
        <v>6</v>
      </c>
      <c r="G786" s="25">
        <v>801</v>
      </c>
      <c r="H786" s="25">
        <f t="shared" si="247"/>
        <v>4806</v>
      </c>
      <c r="I786" s="26">
        <v>46188</v>
      </c>
      <c r="J786" s="10">
        <v>46118</v>
      </c>
      <c r="K786" s="10">
        <v>46118</v>
      </c>
      <c r="L786" s="27" t="str">
        <f t="shared" si="243"/>
        <v>On time</v>
      </c>
      <c r="M786" s="58">
        <v>46118</v>
      </c>
      <c r="N786" s="27" t="str">
        <f>IF(J786=0," ",IF(M786&lt;=J786+6,"On time","Atrasado"))</f>
        <v>On time</v>
      </c>
      <c r="O786" s="27">
        <f t="shared" si="237"/>
        <v>0</v>
      </c>
      <c r="P786" s="28" t="str">
        <f t="shared" si="241"/>
        <v>On time</v>
      </c>
      <c r="Q786" s="27">
        <f t="shared" si="238"/>
        <v>70</v>
      </c>
      <c r="R786" s="29" t="s">
        <v>2022</v>
      </c>
      <c r="S786" s="12" t="s">
        <v>524</v>
      </c>
      <c r="T786" s="35">
        <v>1</v>
      </c>
      <c r="U786" t="s">
        <v>2021</v>
      </c>
      <c r="V786" s="27">
        <v>6</v>
      </c>
      <c r="W786" s="9">
        <v>12.4</v>
      </c>
      <c r="X786" s="9">
        <f t="shared" si="239"/>
        <v>74.400000000000006</v>
      </c>
      <c r="Y786">
        <v>11.02</v>
      </c>
      <c r="Z786" s="10">
        <v>46129</v>
      </c>
      <c r="AA786" s="10">
        <v>46149</v>
      </c>
      <c r="AB786" s="10">
        <v>46149</v>
      </c>
      <c r="AC786" s="10">
        <v>46164</v>
      </c>
      <c r="AD786" s="31">
        <f t="shared" ca="1" si="248"/>
        <v>-14</v>
      </c>
      <c r="AE786" s="36">
        <v>1</v>
      </c>
      <c r="AF786" t="s">
        <v>62</v>
      </c>
      <c r="AG786" s="10" t="s">
        <v>79</v>
      </c>
      <c r="AI786" s="9" t="s">
        <v>57</v>
      </c>
      <c r="AL786" t="s">
        <v>2216</v>
      </c>
      <c r="AM786" s="27" t="str">
        <f t="shared" ref="AM786:AM787" si="255">IF(AB786=0," ",IF(AB786&lt;=AA786+10,"On time","Atrasado"))</f>
        <v>On time</v>
      </c>
      <c r="AN786" s="27" t="str">
        <f t="shared" ref="AN786:AN787" ca="1" si="256">IF(AND(AC786&lt;&gt;"",AC786&lt;=TODAY()),"Chegou",IF(A786="","Estoque",IF(OR(AC786="",I786=""),"",IF(I786-AC786&lt;=0,"Atrasado",IF(I786-AC786&lt;=9,"Crítico",IF(I786-AC786&lt;=20,"Verificar aéreo",IF(I786-AC786&lt;=25,"Alerta","No prazo")        ))))))</f>
        <v>Alerta</v>
      </c>
      <c r="AO786" s="27" t="str">
        <f t="shared" ca="1" si="240"/>
        <v/>
      </c>
    </row>
    <row r="787" spans="1:42" hidden="1">
      <c r="A787">
        <v>514993</v>
      </c>
      <c r="B787">
        <v>1</v>
      </c>
      <c r="C787" t="s">
        <v>25</v>
      </c>
      <c r="D787" t="s">
        <v>540</v>
      </c>
      <c r="E787" s="23" t="s">
        <v>2049</v>
      </c>
      <c r="F787" s="24">
        <v>3</v>
      </c>
      <c r="G787" s="25">
        <v>110.53</v>
      </c>
      <c r="H787" s="25">
        <f t="shared" si="247"/>
        <v>331.59000000000003</v>
      </c>
      <c r="I787" s="26">
        <v>46272</v>
      </c>
      <c r="J787" s="10">
        <v>46122</v>
      </c>
      <c r="K787" s="10">
        <v>46122</v>
      </c>
      <c r="L787" s="27" t="str">
        <f t="shared" si="243"/>
        <v>On time</v>
      </c>
      <c r="M787" s="58">
        <v>46127</v>
      </c>
      <c r="N787" s="27" t="str">
        <f t="shared" ref="N787:N790" si="257">IF(J787=0," ",IF(M787&lt;=J787+6,"On time","Atrasado"))</f>
        <v>On time</v>
      </c>
      <c r="O787" s="27">
        <f t="shared" si="237"/>
        <v>5</v>
      </c>
      <c r="P787" s="28" t="str">
        <f t="shared" si="241"/>
        <v>On time</v>
      </c>
      <c r="Q787" s="27">
        <f t="shared" si="238"/>
        <v>150</v>
      </c>
      <c r="R787" s="29" t="s">
        <v>2046</v>
      </c>
      <c r="S787" s="12" t="s">
        <v>524</v>
      </c>
      <c r="T787" s="35">
        <v>1</v>
      </c>
      <c r="U787" t="s">
        <v>540</v>
      </c>
      <c r="V787" s="27">
        <v>30</v>
      </c>
      <c r="W787" s="9">
        <v>3.43</v>
      </c>
      <c r="X787" s="9">
        <f t="shared" si="239"/>
        <v>102.9</v>
      </c>
      <c r="Y787">
        <v>0.8</v>
      </c>
      <c r="Z787" s="10">
        <v>46132</v>
      </c>
      <c r="AA787" s="10">
        <v>46152</v>
      </c>
      <c r="AB787" s="10">
        <v>46152</v>
      </c>
      <c r="AC787" s="10">
        <v>46217</v>
      </c>
      <c r="AD787" s="31">
        <f t="shared" ca="1" si="248"/>
        <v>-17</v>
      </c>
      <c r="AE787" s="36">
        <v>1</v>
      </c>
      <c r="AF787" t="s">
        <v>2214</v>
      </c>
      <c r="AG787" s="10" t="s">
        <v>79</v>
      </c>
      <c r="AI787" s="9" t="s">
        <v>53</v>
      </c>
      <c r="AL787" t="s">
        <v>2215</v>
      </c>
      <c r="AM787" s="27" t="str">
        <f t="shared" si="255"/>
        <v>On time</v>
      </c>
      <c r="AN787" s="27" t="str">
        <f t="shared" ca="1" si="256"/>
        <v>No prazo</v>
      </c>
      <c r="AO787" s="27" t="str">
        <f t="shared" ca="1" si="240"/>
        <v/>
      </c>
    </row>
    <row r="788" spans="1:42" hidden="1">
      <c r="A788">
        <v>514993</v>
      </c>
      <c r="B788">
        <v>3</v>
      </c>
      <c r="C788" t="s">
        <v>25</v>
      </c>
      <c r="D788" t="s">
        <v>272</v>
      </c>
      <c r="E788" t="s">
        <v>2050</v>
      </c>
      <c r="F788" s="24">
        <v>1</v>
      </c>
      <c r="G788" s="25">
        <v>57.57</v>
      </c>
      <c r="H788" s="25">
        <f t="shared" si="247"/>
        <v>57.57</v>
      </c>
      <c r="I788" s="26">
        <v>46272</v>
      </c>
      <c r="J788" s="10">
        <v>46122</v>
      </c>
      <c r="K788" s="10">
        <v>46122</v>
      </c>
      <c r="L788" s="27" t="str">
        <f t="shared" si="243"/>
        <v>On time</v>
      </c>
      <c r="M788" s="58">
        <v>46127</v>
      </c>
      <c r="N788" s="27" t="str">
        <f t="shared" si="257"/>
        <v>On time</v>
      </c>
      <c r="O788" s="27">
        <f t="shared" si="237"/>
        <v>5</v>
      </c>
      <c r="P788" s="28" t="str">
        <f t="shared" si="241"/>
        <v>On time</v>
      </c>
      <c r="Q788" s="27">
        <f t="shared" si="238"/>
        <v>150</v>
      </c>
      <c r="R788" s="29" t="s">
        <v>2046</v>
      </c>
      <c r="S788" s="12" t="s">
        <v>524</v>
      </c>
      <c r="T788" s="35">
        <v>2</v>
      </c>
      <c r="U788" t="s">
        <v>272</v>
      </c>
      <c r="V788" s="27">
        <v>100</v>
      </c>
      <c r="W788" s="9">
        <v>1.79</v>
      </c>
      <c r="X788" s="9">
        <f t="shared" ref="X788:X851" si="258">W788*V788</f>
        <v>179</v>
      </c>
      <c r="Y788">
        <v>0.27</v>
      </c>
      <c r="Z788" s="10">
        <v>46132</v>
      </c>
      <c r="AA788" s="10">
        <v>46152</v>
      </c>
      <c r="AB788" s="10">
        <v>46152</v>
      </c>
      <c r="AC788" s="10">
        <v>46217</v>
      </c>
      <c r="AD788" s="31">
        <f t="shared" ref="AD788:AD791" ca="1" si="259">TODAY()-AA788</f>
        <v>-17</v>
      </c>
      <c r="AE788" s="36">
        <v>1</v>
      </c>
      <c r="AF788" t="s">
        <v>2214</v>
      </c>
      <c r="AG788" s="10" t="s">
        <v>79</v>
      </c>
      <c r="AI788" s="9" t="s">
        <v>53</v>
      </c>
      <c r="AL788" t="s">
        <v>2215</v>
      </c>
      <c r="AM788" s="27" t="str">
        <f t="shared" ref="AM788:AM790" si="260">IF(AB788=0," ",IF(AB788&lt;=AA788+10,"On time","Atrasado"))</f>
        <v>On time</v>
      </c>
      <c r="AN788" s="27" t="str">
        <f t="shared" ref="AN788:AN790" ca="1" si="261">IF(AND(AC788&lt;&gt;"",AC788&lt;=TODAY()),"Chegou",IF(A788="","Estoque",IF(OR(AC788="",I788=""),"",IF(I788-AC788&lt;=0,"Atrasado",IF(I788-AC788&lt;=9,"Crítico",IF(I788-AC788&lt;=20,"Verificar aéreo",IF(I788-AC788&lt;=25,"Alerta","No prazo")        ))))))</f>
        <v>No prazo</v>
      </c>
    </row>
    <row r="789" spans="1:42" hidden="1">
      <c r="A789">
        <v>515080</v>
      </c>
      <c r="B789">
        <v>2</v>
      </c>
      <c r="C789" t="s">
        <v>25</v>
      </c>
      <c r="D789" t="s">
        <v>2047</v>
      </c>
      <c r="E789" t="s">
        <v>2051</v>
      </c>
      <c r="F789" s="24">
        <v>1</v>
      </c>
      <c r="G789" s="25">
        <v>955.27</v>
      </c>
      <c r="H789" s="25">
        <f t="shared" si="247"/>
        <v>955.27</v>
      </c>
      <c r="I789" s="26">
        <v>46307</v>
      </c>
      <c r="J789" s="10">
        <v>46126</v>
      </c>
      <c r="K789" s="10">
        <v>46126</v>
      </c>
      <c r="L789" s="27" t="str">
        <f t="shared" si="243"/>
        <v>On time</v>
      </c>
      <c r="M789" s="58">
        <v>46127</v>
      </c>
      <c r="N789" s="27" t="str">
        <f t="shared" si="257"/>
        <v>On time</v>
      </c>
      <c r="O789" s="27">
        <f t="shared" si="237"/>
        <v>1</v>
      </c>
      <c r="P789" s="28" t="str">
        <f t="shared" si="241"/>
        <v>On time</v>
      </c>
      <c r="Q789" s="27">
        <f t="shared" si="238"/>
        <v>181</v>
      </c>
      <c r="R789" s="29" t="s">
        <v>2046</v>
      </c>
      <c r="S789" s="12" t="s">
        <v>524</v>
      </c>
      <c r="T789" s="35">
        <v>3</v>
      </c>
      <c r="U789" t="s">
        <v>2047</v>
      </c>
      <c r="V789" s="27">
        <v>10</v>
      </c>
      <c r="W789" s="9">
        <v>30</v>
      </c>
      <c r="X789" s="9">
        <f t="shared" si="258"/>
        <v>300</v>
      </c>
      <c r="Y789">
        <v>18.3</v>
      </c>
      <c r="Z789" s="10">
        <v>46132</v>
      </c>
      <c r="AA789" s="10">
        <v>46152</v>
      </c>
      <c r="AB789" s="10">
        <v>46152</v>
      </c>
      <c r="AC789" s="10">
        <v>46217</v>
      </c>
      <c r="AD789" s="31">
        <f t="shared" ca="1" si="259"/>
        <v>-17</v>
      </c>
      <c r="AE789" s="36">
        <v>1</v>
      </c>
      <c r="AF789" t="s">
        <v>2214</v>
      </c>
      <c r="AG789" s="10" t="s">
        <v>79</v>
      </c>
      <c r="AI789" s="9" t="s">
        <v>53</v>
      </c>
      <c r="AL789" t="s">
        <v>2215</v>
      </c>
      <c r="AM789" s="27" t="str">
        <f t="shared" si="260"/>
        <v>On time</v>
      </c>
      <c r="AN789" s="27" t="str">
        <f t="shared" ca="1" si="261"/>
        <v>No prazo</v>
      </c>
    </row>
    <row r="790" spans="1:42" hidden="1">
      <c r="A790">
        <v>515080</v>
      </c>
      <c r="B790">
        <v>3</v>
      </c>
      <c r="C790" t="s">
        <v>25</v>
      </c>
      <c r="D790" t="s">
        <v>2048</v>
      </c>
      <c r="E790" t="s">
        <v>2052</v>
      </c>
      <c r="F790" s="24">
        <v>2</v>
      </c>
      <c r="G790" s="25">
        <v>427.07</v>
      </c>
      <c r="H790" s="25">
        <f t="shared" si="247"/>
        <v>854.14</v>
      </c>
      <c r="I790" s="26">
        <v>46307</v>
      </c>
      <c r="J790" s="10">
        <v>46126</v>
      </c>
      <c r="K790" s="10">
        <v>46126</v>
      </c>
      <c r="L790" s="27" t="str">
        <f t="shared" ref="L790" si="262">IF(J790=0," ",IF(K790&lt;=J790+6,"On time","Atrasado"))</f>
        <v>On time</v>
      </c>
      <c r="M790" s="58">
        <v>46127</v>
      </c>
      <c r="N790" s="27" t="str">
        <f t="shared" si="257"/>
        <v>On time</v>
      </c>
      <c r="O790" s="27">
        <f t="shared" si="237"/>
        <v>1</v>
      </c>
      <c r="P790" s="28" t="str">
        <f t="shared" si="241"/>
        <v>On time</v>
      </c>
      <c r="Q790" s="27">
        <f t="shared" si="238"/>
        <v>181</v>
      </c>
      <c r="R790" s="29" t="s">
        <v>2046</v>
      </c>
      <c r="S790" s="12" t="s">
        <v>524</v>
      </c>
      <c r="T790" s="35">
        <v>4</v>
      </c>
      <c r="U790" t="s">
        <v>2048</v>
      </c>
      <c r="V790" s="27">
        <v>20</v>
      </c>
      <c r="W790" s="9">
        <v>22.43</v>
      </c>
      <c r="X790" s="9">
        <f t="shared" si="258"/>
        <v>448.6</v>
      </c>
      <c r="Y790">
        <v>9.3000000000000007</v>
      </c>
      <c r="Z790" s="10">
        <v>46132</v>
      </c>
      <c r="AA790" s="10">
        <v>46152</v>
      </c>
      <c r="AB790" s="10">
        <v>46152</v>
      </c>
      <c r="AC790" s="10">
        <v>46217</v>
      </c>
      <c r="AD790" s="31">
        <f t="shared" ca="1" si="259"/>
        <v>-17</v>
      </c>
      <c r="AE790" s="36">
        <v>1</v>
      </c>
      <c r="AF790" t="s">
        <v>2214</v>
      </c>
      <c r="AG790" s="10" t="s">
        <v>79</v>
      </c>
      <c r="AI790" s="9" t="s">
        <v>53</v>
      </c>
      <c r="AL790" t="s">
        <v>2215</v>
      </c>
      <c r="AM790" s="27" t="str">
        <f t="shared" si="260"/>
        <v>On time</v>
      </c>
      <c r="AN790" s="27" t="str">
        <f t="shared" ca="1" si="261"/>
        <v>No prazo</v>
      </c>
    </row>
    <row r="791" spans="1:42" hidden="1">
      <c r="D791" t="s">
        <v>2076</v>
      </c>
      <c r="E791" t="s">
        <v>2135</v>
      </c>
      <c r="F791" s="24"/>
      <c r="I791" s="26"/>
      <c r="J791" s="10"/>
      <c r="K791" s="10"/>
      <c r="L791" s="27" t="str">
        <f t="shared" si="243"/>
        <v xml:space="preserve"> </v>
      </c>
      <c r="M791" s="58"/>
      <c r="N791" s="27" t="str">
        <f t="shared" si="242"/>
        <v xml:space="preserve"> </v>
      </c>
      <c r="O791" s="27">
        <f t="shared" si="237"/>
        <v>0</v>
      </c>
      <c r="P791" s="28" t="str">
        <f t="shared" si="241"/>
        <v>On time</v>
      </c>
      <c r="Q791" s="27">
        <f t="shared" si="238"/>
        <v>0</v>
      </c>
      <c r="R791" s="29" t="s">
        <v>2075</v>
      </c>
      <c r="S791" s="12" t="s">
        <v>100</v>
      </c>
      <c r="T791" s="35">
        <v>1</v>
      </c>
      <c r="U791" t="s">
        <v>2076</v>
      </c>
      <c r="V791" s="27">
        <v>50</v>
      </c>
      <c r="W791" s="9">
        <v>70.349999999999994</v>
      </c>
      <c r="X791" s="9">
        <f t="shared" si="258"/>
        <v>3517.4999999999995</v>
      </c>
      <c r="Y791">
        <v>45.43</v>
      </c>
      <c r="Z791" s="10">
        <v>46135</v>
      </c>
      <c r="AA791" s="10">
        <v>46160</v>
      </c>
      <c r="AB791" s="10">
        <v>46160</v>
      </c>
      <c r="AC791" s="10">
        <v>46225</v>
      </c>
      <c r="AD791" s="31">
        <f t="shared" ca="1" si="259"/>
        <v>-25</v>
      </c>
      <c r="AE791" s="36" t="s">
        <v>2134</v>
      </c>
      <c r="AF791" t="s">
        <v>1967</v>
      </c>
      <c r="AG791" s="10" t="s">
        <v>78</v>
      </c>
      <c r="AI791" s="9" t="s">
        <v>53</v>
      </c>
      <c r="AM791" s="27" t="str">
        <f t="shared" ref="AM791" si="263">IF(AB791=0," ",IF(AB791&lt;=AA791+10,"On time","Atrasado"))</f>
        <v>On time</v>
      </c>
      <c r="AN791" s="27" t="str">
        <f t="shared" ref="AN791" ca="1" si="264">IF(AND(AC791&lt;&gt;"",AC791&lt;=TODAY()),"Chegou",IF(A791="","Estoque",IF(OR(AC791="",I791=""),"",IF(I791-AC791&lt;=0,"Atrasado",IF(I791-AC791&lt;=9,"Crítico",IF(I791-AC791&lt;=20,"Verificar aéreo",IF(I791-AC791&lt;=25,"Alerta","No prazo")        ))))))</f>
        <v>Estoque</v>
      </c>
    </row>
    <row r="792" spans="1:42" hidden="1">
      <c r="D792" t="s">
        <v>253</v>
      </c>
      <c r="E792" t="s">
        <v>2136</v>
      </c>
      <c r="F792" s="24"/>
      <c r="I792" s="26"/>
      <c r="J792" s="10"/>
      <c r="K792" s="10"/>
      <c r="L792" s="27" t="str">
        <f t="shared" si="243"/>
        <v xml:space="preserve"> </v>
      </c>
      <c r="M792" s="58"/>
      <c r="N792" s="27" t="str">
        <f t="shared" si="242"/>
        <v xml:space="preserve"> </v>
      </c>
      <c r="O792" s="27">
        <f t="shared" si="237"/>
        <v>0</v>
      </c>
      <c r="P792" s="28" t="str">
        <f t="shared" si="241"/>
        <v>On time</v>
      </c>
      <c r="Q792" s="27">
        <f t="shared" si="238"/>
        <v>0</v>
      </c>
      <c r="R792" s="29" t="s">
        <v>2075</v>
      </c>
      <c r="S792" s="12" t="s">
        <v>100</v>
      </c>
      <c r="T792" s="35">
        <v>2</v>
      </c>
      <c r="U792" t="s">
        <v>253</v>
      </c>
      <c r="V792" s="27">
        <v>20</v>
      </c>
      <c r="W792" s="9">
        <v>87.55</v>
      </c>
      <c r="X792" s="9">
        <f t="shared" si="258"/>
        <v>1751</v>
      </c>
      <c r="Y792">
        <v>56.38</v>
      </c>
      <c r="Z792" s="10">
        <v>46135</v>
      </c>
      <c r="AA792" s="10">
        <v>46160</v>
      </c>
      <c r="AB792" s="10">
        <v>46160</v>
      </c>
      <c r="AC792" s="10">
        <v>46225</v>
      </c>
      <c r="AD792" s="31">
        <f t="shared" ref="AD792:AD853" ca="1" si="265">TODAY()-AA792</f>
        <v>-25</v>
      </c>
      <c r="AE792" s="36" t="s">
        <v>2134</v>
      </c>
      <c r="AF792" t="s">
        <v>1967</v>
      </c>
      <c r="AG792" s="10" t="s">
        <v>78</v>
      </c>
      <c r="AI792" s="9" t="s">
        <v>53</v>
      </c>
      <c r="AM792" s="27" t="str">
        <f t="shared" ref="AM792:AM853" si="266">IF(AB792=0," ",IF(AB792&lt;=AA792+10,"On time","Atrasado"))</f>
        <v>On time</v>
      </c>
      <c r="AN792" s="27" t="str">
        <f t="shared" ref="AN792:AN853" ca="1" si="267">IF(AND(AC792&lt;&gt;"",AC792&lt;=TODAY()),"Chegou",IF(A792="","Estoque",IF(OR(AC792="",I792=""),"",IF(I792-AC792&lt;=0,"Atrasado",IF(I792-AC792&lt;=9,"Crítico",IF(I792-AC792&lt;=20,"Verificar aéreo",IF(I792-AC792&lt;=25,"Alerta","No prazo")        ))))))</f>
        <v>Estoque</v>
      </c>
    </row>
    <row r="793" spans="1:42" hidden="1">
      <c r="D793" t="s">
        <v>2077</v>
      </c>
      <c r="E793" t="s">
        <v>2137</v>
      </c>
      <c r="F793" s="24"/>
      <c r="I793" s="26"/>
      <c r="J793" s="10"/>
      <c r="K793" s="10"/>
      <c r="L793" s="27" t="str">
        <f t="shared" si="243"/>
        <v xml:space="preserve"> </v>
      </c>
      <c r="M793" s="58"/>
      <c r="N793" s="27" t="str">
        <f t="shared" si="242"/>
        <v xml:space="preserve"> </v>
      </c>
      <c r="O793" s="27">
        <f t="shared" si="237"/>
        <v>0</v>
      </c>
      <c r="P793" s="28" t="str">
        <f t="shared" si="241"/>
        <v>On time</v>
      </c>
      <c r="Q793" s="27">
        <f t="shared" si="238"/>
        <v>0</v>
      </c>
      <c r="R793" s="29" t="s">
        <v>2075</v>
      </c>
      <c r="S793" s="12" t="s">
        <v>100</v>
      </c>
      <c r="T793" s="35">
        <v>3</v>
      </c>
      <c r="U793" t="s">
        <v>2077</v>
      </c>
      <c r="V793" s="27">
        <v>30</v>
      </c>
      <c r="W793" s="9">
        <v>90.54</v>
      </c>
      <c r="X793" s="9">
        <f t="shared" si="258"/>
        <v>2716.2000000000003</v>
      </c>
      <c r="Y793">
        <v>63.09</v>
      </c>
      <c r="Z793" s="10">
        <v>46135</v>
      </c>
      <c r="AA793" s="10">
        <v>46160</v>
      </c>
      <c r="AB793" s="10">
        <v>46160</v>
      </c>
      <c r="AC793" s="10">
        <v>46225</v>
      </c>
      <c r="AD793" s="31">
        <f t="shared" ca="1" si="265"/>
        <v>-25</v>
      </c>
      <c r="AE793" s="36" t="s">
        <v>2134</v>
      </c>
      <c r="AF793" t="s">
        <v>1967</v>
      </c>
      <c r="AG793" s="10" t="s">
        <v>78</v>
      </c>
      <c r="AI793" s="9" t="s">
        <v>53</v>
      </c>
      <c r="AM793" s="27" t="str">
        <f t="shared" si="266"/>
        <v>On time</v>
      </c>
      <c r="AN793" s="27" t="str">
        <f t="shared" ca="1" si="267"/>
        <v>Estoque</v>
      </c>
    </row>
    <row r="794" spans="1:42" hidden="1">
      <c r="D794" t="s">
        <v>2078</v>
      </c>
      <c r="E794" t="s">
        <v>2138</v>
      </c>
      <c r="F794" s="24"/>
      <c r="I794" s="26"/>
      <c r="J794" s="10"/>
      <c r="K794" s="10"/>
      <c r="L794" s="27" t="str">
        <f t="shared" si="243"/>
        <v xml:space="preserve"> </v>
      </c>
      <c r="M794" s="58"/>
      <c r="N794" s="27" t="str">
        <f t="shared" si="242"/>
        <v xml:space="preserve"> </v>
      </c>
      <c r="O794" s="27">
        <f t="shared" si="237"/>
        <v>0</v>
      </c>
      <c r="P794" s="28" t="str">
        <f t="shared" si="241"/>
        <v>On time</v>
      </c>
      <c r="Q794" s="27">
        <f t="shared" si="238"/>
        <v>0</v>
      </c>
      <c r="R794" s="29" t="s">
        <v>2075</v>
      </c>
      <c r="S794" s="12" t="s">
        <v>100</v>
      </c>
      <c r="T794" s="35">
        <v>4</v>
      </c>
      <c r="U794" t="s">
        <v>2078</v>
      </c>
      <c r="V794" s="27">
        <v>5</v>
      </c>
      <c r="W794" s="9">
        <v>121.54</v>
      </c>
      <c r="X794" s="9">
        <f t="shared" si="258"/>
        <v>607.70000000000005</v>
      </c>
      <c r="Y794">
        <v>78.45</v>
      </c>
      <c r="Z794" s="10">
        <v>46135</v>
      </c>
      <c r="AA794" s="10">
        <v>46160</v>
      </c>
      <c r="AB794" s="10">
        <v>46160</v>
      </c>
      <c r="AC794" s="10">
        <v>46225</v>
      </c>
      <c r="AD794" s="31">
        <f t="shared" ca="1" si="265"/>
        <v>-25</v>
      </c>
      <c r="AE794" s="36" t="s">
        <v>2134</v>
      </c>
      <c r="AF794" t="s">
        <v>1967</v>
      </c>
      <c r="AG794" s="10" t="s">
        <v>78</v>
      </c>
      <c r="AI794" s="9" t="s">
        <v>53</v>
      </c>
      <c r="AM794" s="27" t="str">
        <f t="shared" si="266"/>
        <v>On time</v>
      </c>
      <c r="AN794" s="27" t="str">
        <f t="shared" ca="1" si="267"/>
        <v>Estoque</v>
      </c>
    </row>
    <row r="795" spans="1:42" hidden="1">
      <c r="D795" t="s">
        <v>2079</v>
      </c>
      <c r="E795" t="s">
        <v>2139</v>
      </c>
      <c r="F795" s="24"/>
      <c r="I795" s="26"/>
      <c r="J795" s="10"/>
      <c r="K795" s="10"/>
      <c r="L795" s="27" t="str">
        <f t="shared" si="243"/>
        <v xml:space="preserve"> </v>
      </c>
      <c r="M795" s="58"/>
      <c r="N795" s="27" t="str">
        <f t="shared" si="242"/>
        <v xml:space="preserve"> </v>
      </c>
      <c r="O795" s="27">
        <f t="shared" si="237"/>
        <v>0</v>
      </c>
      <c r="P795" s="28" t="str">
        <f t="shared" si="241"/>
        <v>On time</v>
      </c>
      <c r="Q795" s="27">
        <f t="shared" si="238"/>
        <v>0</v>
      </c>
      <c r="R795" s="29" t="s">
        <v>2075</v>
      </c>
      <c r="S795" s="12" t="s">
        <v>100</v>
      </c>
      <c r="T795" s="35">
        <v>5</v>
      </c>
      <c r="U795" t="s">
        <v>2079</v>
      </c>
      <c r="V795" s="27">
        <v>350</v>
      </c>
      <c r="W795" s="9">
        <v>32.15</v>
      </c>
      <c r="X795" s="9">
        <f t="shared" si="258"/>
        <v>11252.5</v>
      </c>
      <c r="Y795">
        <v>22.52</v>
      </c>
      <c r="Z795" s="10">
        <v>46135</v>
      </c>
      <c r="AA795" s="10">
        <v>46160</v>
      </c>
      <c r="AB795" s="10">
        <v>46160</v>
      </c>
      <c r="AC795" s="10">
        <v>46225</v>
      </c>
      <c r="AD795" s="31">
        <f t="shared" ca="1" si="265"/>
        <v>-25</v>
      </c>
      <c r="AE795" s="36" t="s">
        <v>2134</v>
      </c>
      <c r="AF795" t="s">
        <v>1967</v>
      </c>
      <c r="AG795" s="10" t="s">
        <v>78</v>
      </c>
      <c r="AI795" s="9" t="s">
        <v>53</v>
      </c>
      <c r="AM795" s="27" t="str">
        <f t="shared" si="266"/>
        <v>On time</v>
      </c>
      <c r="AN795" s="27" t="str">
        <f t="shared" ca="1" si="267"/>
        <v>Estoque</v>
      </c>
    </row>
    <row r="796" spans="1:42" hidden="1">
      <c r="D796" t="s">
        <v>2080</v>
      </c>
      <c r="E796" t="s">
        <v>2140</v>
      </c>
      <c r="F796" s="24"/>
      <c r="I796" s="26"/>
      <c r="J796" s="10"/>
      <c r="K796" s="10"/>
      <c r="L796" s="27" t="str">
        <f t="shared" si="243"/>
        <v xml:space="preserve"> </v>
      </c>
      <c r="M796" s="58"/>
      <c r="N796" s="27" t="str">
        <f t="shared" si="242"/>
        <v xml:space="preserve"> </v>
      </c>
      <c r="O796" s="27">
        <f t="shared" si="237"/>
        <v>0</v>
      </c>
      <c r="P796" s="28" t="str">
        <f t="shared" si="241"/>
        <v>On time</v>
      </c>
      <c r="Q796" s="27">
        <f t="shared" si="238"/>
        <v>0</v>
      </c>
      <c r="R796" s="29" t="s">
        <v>2075</v>
      </c>
      <c r="S796" s="12" t="s">
        <v>100</v>
      </c>
      <c r="T796" s="35">
        <v>6</v>
      </c>
      <c r="U796" t="s">
        <v>2080</v>
      </c>
      <c r="V796" s="27">
        <v>30</v>
      </c>
      <c r="W796" s="9">
        <v>48.67</v>
      </c>
      <c r="X796" s="9">
        <f t="shared" si="258"/>
        <v>1460.1000000000001</v>
      </c>
      <c r="Y796">
        <v>34.18</v>
      </c>
      <c r="Z796" s="10">
        <v>46135</v>
      </c>
      <c r="AA796" s="10">
        <v>46160</v>
      </c>
      <c r="AB796" s="10">
        <v>46160</v>
      </c>
      <c r="AC796" s="10">
        <v>46225</v>
      </c>
      <c r="AD796" s="31">
        <f t="shared" ca="1" si="265"/>
        <v>-25</v>
      </c>
      <c r="AE796" s="36" t="s">
        <v>2134</v>
      </c>
      <c r="AF796" t="s">
        <v>1967</v>
      </c>
      <c r="AG796" s="10" t="s">
        <v>78</v>
      </c>
      <c r="AI796" s="9" t="s">
        <v>53</v>
      </c>
      <c r="AM796" s="27" t="str">
        <f t="shared" si="266"/>
        <v>On time</v>
      </c>
      <c r="AN796" s="27" t="str">
        <f t="shared" ca="1" si="267"/>
        <v>Estoque</v>
      </c>
    </row>
    <row r="797" spans="1:42" hidden="1">
      <c r="D797" t="s">
        <v>2081</v>
      </c>
      <c r="E797" t="s">
        <v>2141</v>
      </c>
      <c r="F797" s="24"/>
      <c r="I797" s="26"/>
      <c r="J797" s="10"/>
      <c r="K797" s="10"/>
      <c r="L797" s="27" t="str">
        <f t="shared" si="243"/>
        <v xml:space="preserve"> </v>
      </c>
      <c r="M797" s="58"/>
      <c r="N797" s="27" t="str">
        <f t="shared" si="242"/>
        <v xml:space="preserve"> </v>
      </c>
      <c r="O797" s="27">
        <f t="shared" si="237"/>
        <v>0</v>
      </c>
      <c r="P797" s="28" t="str">
        <f t="shared" si="241"/>
        <v>On time</v>
      </c>
      <c r="Q797" s="27">
        <f t="shared" si="238"/>
        <v>0</v>
      </c>
      <c r="R797" s="29" t="s">
        <v>2075</v>
      </c>
      <c r="S797" s="12" t="s">
        <v>100</v>
      </c>
      <c r="T797" s="35">
        <v>7</v>
      </c>
      <c r="U797" t="s">
        <v>2081</v>
      </c>
      <c r="V797" s="27">
        <v>10</v>
      </c>
      <c r="W797" s="9">
        <v>35.119999999999997</v>
      </c>
      <c r="X797" s="9">
        <f t="shared" si="258"/>
        <v>351.2</v>
      </c>
      <c r="Y797">
        <v>28.03</v>
      </c>
      <c r="Z797" s="10">
        <v>46135</v>
      </c>
      <c r="AA797" s="10">
        <v>46160</v>
      </c>
      <c r="AB797" s="10">
        <v>46160</v>
      </c>
      <c r="AC797" s="10">
        <v>46225</v>
      </c>
      <c r="AD797" s="31">
        <f t="shared" ca="1" si="265"/>
        <v>-25</v>
      </c>
      <c r="AE797" s="36" t="s">
        <v>2134</v>
      </c>
      <c r="AF797" t="s">
        <v>1967</v>
      </c>
      <c r="AG797" s="10" t="s">
        <v>78</v>
      </c>
      <c r="AI797" s="9" t="s">
        <v>53</v>
      </c>
      <c r="AM797" s="27" t="str">
        <f t="shared" si="266"/>
        <v>On time</v>
      </c>
      <c r="AN797" s="27" t="str">
        <f t="shared" ca="1" si="267"/>
        <v>Estoque</v>
      </c>
    </row>
    <row r="798" spans="1:42" hidden="1">
      <c r="D798" t="s">
        <v>2082</v>
      </c>
      <c r="E798" t="s">
        <v>2142</v>
      </c>
      <c r="F798" s="24"/>
      <c r="I798" s="26"/>
      <c r="J798" s="10"/>
      <c r="K798" s="10"/>
      <c r="L798" s="27" t="str">
        <f t="shared" si="243"/>
        <v xml:space="preserve"> </v>
      </c>
      <c r="M798" s="58"/>
      <c r="N798" s="27" t="str">
        <f t="shared" si="242"/>
        <v xml:space="preserve"> </v>
      </c>
      <c r="O798" s="27">
        <f t="shared" si="237"/>
        <v>0</v>
      </c>
      <c r="P798" s="28" t="str">
        <f t="shared" si="241"/>
        <v>On time</v>
      </c>
      <c r="Q798" s="27">
        <f t="shared" si="238"/>
        <v>0</v>
      </c>
      <c r="R798" s="29" t="s">
        <v>2075</v>
      </c>
      <c r="S798" s="12" t="s">
        <v>100</v>
      </c>
      <c r="T798" s="35">
        <v>8</v>
      </c>
      <c r="U798" t="s">
        <v>2082</v>
      </c>
      <c r="V798" s="27">
        <v>20</v>
      </c>
      <c r="W798" s="9">
        <v>9.82</v>
      </c>
      <c r="X798" s="9">
        <f t="shared" si="258"/>
        <v>196.4</v>
      </c>
      <c r="Y798">
        <v>8.52</v>
      </c>
      <c r="Z798" s="10">
        <v>46135</v>
      </c>
      <c r="AA798" s="10">
        <v>46160</v>
      </c>
      <c r="AB798" s="10">
        <v>46160</v>
      </c>
      <c r="AC798" s="10">
        <v>46225</v>
      </c>
      <c r="AD798" s="31">
        <f t="shared" ca="1" si="265"/>
        <v>-25</v>
      </c>
      <c r="AE798" s="36" t="s">
        <v>2134</v>
      </c>
      <c r="AF798" t="s">
        <v>1967</v>
      </c>
      <c r="AG798" s="10" t="s">
        <v>78</v>
      </c>
      <c r="AI798" s="9" t="s">
        <v>53</v>
      </c>
      <c r="AM798" s="27" t="str">
        <f t="shared" si="266"/>
        <v>On time</v>
      </c>
      <c r="AN798" s="27" t="str">
        <f t="shared" ca="1" si="267"/>
        <v>Estoque</v>
      </c>
    </row>
    <row r="799" spans="1:42" hidden="1">
      <c r="D799" t="s">
        <v>2083</v>
      </c>
      <c r="E799" t="s">
        <v>2143</v>
      </c>
      <c r="F799" s="24"/>
      <c r="I799" s="26"/>
      <c r="J799" s="10"/>
      <c r="K799" s="10"/>
      <c r="L799" s="27" t="str">
        <f t="shared" si="243"/>
        <v xml:space="preserve"> </v>
      </c>
      <c r="M799" s="58"/>
      <c r="N799" s="27" t="str">
        <f t="shared" si="242"/>
        <v xml:space="preserve"> </v>
      </c>
      <c r="O799" s="27">
        <f t="shared" si="237"/>
        <v>0</v>
      </c>
      <c r="P799" s="28" t="str">
        <f t="shared" si="241"/>
        <v>On time</v>
      </c>
      <c r="Q799" s="27">
        <f t="shared" si="238"/>
        <v>0</v>
      </c>
      <c r="R799" s="29" t="s">
        <v>2075</v>
      </c>
      <c r="S799" s="12" t="s">
        <v>100</v>
      </c>
      <c r="T799" s="35">
        <v>9</v>
      </c>
      <c r="U799" t="s">
        <v>2083</v>
      </c>
      <c r="V799" s="27">
        <v>20</v>
      </c>
      <c r="W799" s="9">
        <v>16.920000000000002</v>
      </c>
      <c r="X799" s="9">
        <f t="shared" si="258"/>
        <v>338.40000000000003</v>
      </c>
      <c r="Y799">
        <v>14.38</v>
      </c>
      <c r="Z799" s="10">
        <v>46135</v>
      </c>
      <c r="AA799" s="10">
        <v>46160</v>
      </c>
      <c r="AB799" s="10">
        <v>46160</v>
      </c>
      <c r="AC799" s="10">
        <v>46225</v>
      </c>
      <c r="AD799" s="31">
        <f t="shared" ca="1" si="265"/>
        <v>-25</v>
      </c>
      <c r="AE799" s="36" t="s">
        <v>2134</v>
      </c>
      <c r="AF799" t="s">
        <v>1967</v>
      </c>
      <c r="AG799" s="10" t="s">
        <v>78</v>
      </c>
      <c r="AI799" s="9" t="s">
        <v>53</v>
      </c>
      <c r="AM799" s="27" t="str">
        <f t="shared" si="266"/>
        <v>On time</v>
      </c>
      <c r="AN799" s="27" t="str">
        <f t="shared" ca="1" si="267"/>
        <v>Estoque</v>
      </c>
    </row>
    <row r="800" spans="1:42" hidden="1">
      <c r="D800" t="s">
        <v>2084</v>
      </c>
      <c r="E800" t="s">
        <v>2144</v>
      </c>
      <c r="F800" s="24"/>
      <c r="I800" s="26"/>
      <c r="J800" s="10"/>
      <c r="K800" s="10"/>
      <c r="L800" s="27" t="str">
        <f t="shared" si="243"/>
        <v xml:space="preserve"> </v>
      </c>
      <c r="M800" s="58"/>
      <c r="N800" s="27" t="str">
        <f t="shared" si="242"/>
        <v xml:space="preserve"> </v>
      </c>
      <c r="O800" s="27">
        <f t="shared" si="237"/>
        <v>0</v>
      </c>
      <c r="P800" s="28" t="str">
        <f t="shared" si="241"/>
        <v>On time</v>
      </c>
      <c r="Q800" s="27">
        <f t="shared" si="238"/>
        <v>0</v>
      </c>
      <c r="R800" s="29" t="s">
        <v>2075</v>
      </c>
      <c r="S800" s="12" t="s">
        <v>100</v>
      </c>
      <c r="T800" s="35">
        <v>10</v>
      </c>
      <c r="U800" t="s">
        <v>2084</v>
      </c>
      <c r="V800" s="27">
        <v>20</v>
      </c>
      <c r="W800" s="9">
        <v>3.22</v>
      </c>
      <c r="X800" s="9">
        <f t="shared" si="258"/>
        <v>64.400000000000006</v>
      </c>
      <c r="Y800">
        <v>2.0099999999999998</v>
      </c>
      <c r="Z800" s="10">
        <v>46135</v>
      </c>
      <c r="AA800" s="10">
        <v>46160</v>
      </c>
      <c r="AB800" s="10">
        <v>46160</v>
      </c>
      <c r="AC800" s="10">
        <v>46225</v>
      </c>
      <c r="AD800" s="31">
        <f t="shared" ca="1" si="265"/>
        <v>-25</v>
      </c>
      <c r="AE800" s="36" t="s">
        <v>2134</v>
      </c>
      <c r="AF800" t="s">
        <v>1967</v>
      </c>
      <c r="AG800" s="10" t="s">
        <v>78</v>
      </c>
      <c r="AI800" s="9" t="s">
        <v>53</v>
      </c>
      <c r="AM800" s="27" t="str">
        <f t="shared" si="266"/>
        <v>On time</v>
      </c>
      <c r="AN800" s="27" t="str">
        <f t="shared" ca="1" si="267"/>
        <v>Estoque</v>
      </c>
    </row>
    <row r="801" spans="4:42" hidden="1">
      <c r="D801" t="s">
        <v>1078</v>
      </c>
      <c r="E801" t="s">
        <v>2145</v>
      </c>
      <c r="F801" s="24"/>
      <c r="I801" s="26"/>
      <c r="J801" s="10"/>
      <c r="K801" s="10"/>
      <c r="L801" s="27" t="str">
        <f t="shared" si="243"/>
        <v xml:space="preserve"> </v>
      </c>
      <c r="M801" s="58"/>
      <c r="N801" s="27" t="str">
        <f t="shared" si="242"/>
        <v xml:space="preserve"> </v>
      </c>
      <c r="O801" s="27">
        <f t="shared" si="237"/>
        <v>0</v>
      </c>
      <c r="P801" s="28" t="str">
        <f t="shared" si="241"/>
        <v>On time</v>
      </c>
      <c r="Q801" s="27">
        <f t="shared" si="238"/>
        <v>0</v>
      </c>
      <c r="R801" s="29" t="s">
        <v>2075</v>
      </c>
      <c r="S801" s="12" t="s">
        <v>100</v>
      </c>
      <c r="T801" s="35">
        <v>11</v>
      </c>
      <c r="U801" t="s">
        <v>1078</v>
      </c>
      <c r="V801" s="27">
        <v>100</v>
      </c>
      <c r="W801" s="9">
        <v>22.15</v>
      </c>
      <c r="X801" s="9">
        <f t="shared" si="258"/>
        <v>2215</v>
      </c>
      <c r="Y801">
        <v>17.829999999999998</v>
      </c>
      <c r="Z801" s="10">
        <v>46135</v>
      </c>
      <c r="AA801" s="10">
        <v>46160</v>
      </c>
      <c r="AB801" s="10">
        <v>46160</v>
      </c>
      <c r="AC801" s="10">
        <v>46225</v>
      </c>
      <c r="AD801" s="31">
        <f t="shared" ca="1" si="265"/>
        <v>-25</v>
      </c>
      <c r="AE801" s="36" t="s">
        <v>2134</v>
      </c>
      <c r="AF801" t="s">
        <v>1967</v>
      </c>
      <c r="AG801" s="10" t="s">
        <v>78</v>
      </c>
      <c r="AI801" s="9" t="s">
        <v>53</v>
      </c>
      <c r="AM801" s="27" t="str">
        <f t="shared" si="266"/>
        <v>On time</v>
      </c>
      <c r="AN801" s="27" t="str">
        <f t="shared" ca="1" si="267"/>
        <v>Estoque</v>
      </c>
    </row>
    <row r="802" spans="4:42" hidden="1">
      <c r="D802" t="s">
        <v>1085</v>
      </c>
      <c r="E802" t="s">
        <v>2146</v>
      </c>
      <c r="F802" s="24"/>
      <c r="I802" s="26"/>
      <c r="J802" s="10"/>
      <c r="K802" s="10"/>
      <c r="L802" s="27" t="str">
        <f t="shared" si="243"/>
        <v xml:space="preserve"> </v>
      </c>
      <c r="M802" s="58"/>
      <c r="N802" s="27" t="str">
        <f t="shared" si="242"/>
        <v xml:space="preserve"> </v>
      </c>
      <c r="O802" s="27">
        <f t="shared" si="237"/>
        <v>0</v>
      </c>
      <c r="P802" s="28" t="str">
        <f t="shared" si="241"/>
        <v>On time</v>
      </c>
      <c r="Q802" s="27">
        <f t="shared" si="238"/>
        <v>0</v>
      </c>
      <c r="R802" s="29" t="s">
        <v>2075</v>
      </c>
      <c r="S802" s="12" t="s">
        <v>100</v>
      </c>
      <c r="T802" s="35">
        <v>12</v>
      </c>
      <c r="U802" t="s">
        <v>1085</v>
      </c>
      <c r="V802" s="27">
        <v>50</v>
      </c>
      <c r="W802" s="9">
        <v>31.73</v>
      </c>
      <c r="X802" s="9">
        <f t="shared" si="258"/>
        <v>1586.5</v>
      </c>
      <c r="Y802">
        <v>24.4</v>
      </c>
      <c r="Z802" s="10">
        <v>46135</v>
      </c>
      <c r="AA802" s="10">
        <v>46160</v>
      </c>
      <c r="AB802" s="10">
        <v>46160</v>
      </c>
      <c r="AC802" s="10">
        <v>46225</v>
      </c>
      <c r="AD802" s="31">
        <f t="shared" ca="1" si="265"/>
        <v>-25</v>
      </c>
      <c r="AE802" s="36" t="s">
        <v>2134</v>
      </c>
      <c r="AF802" t="s">
        <v>1967</v>
      </c>
      <c r="AG802" s="10" t="s">
        <v>78</v>
      </c>
      <c r="AI802" s="9" t="s">
        <v>53</v>
      </c>
      <c r="AM802" s="27" t="str">
        <f t="shared" si="266"/>
        <v>On time</v>
      </c>
      <c r="AN802" s="27" t="str">
        <f t="shared" ca="1" si="267"/>
        <v>Estoque</v>
      </c>
    </row>
    <row r="803" spans="4:42" hidden="1">
      <c r="D803" t="s">
        <v>2085</v>
      </c>
      <c r="E803" t="s">
        <v>2147</v>
      </c>
      <c r="F803" s="24"/>
      <c r="I803" s="26"/>
      <c r="J803" s="10"/>
      <c r="K803" s="10"/>
      <c r="L803" s="27" t="str">
        <f t="shared" si="243"/>
        <v xml:space="preserve"> </v>
      </c>
      <c r="M803" s="58"/>
      <c r="N803" s="27" t="str">
        <f t="shared" si="242"/>
        <v xml:space="preserve"> </v>
      </c>
      <c r="O803" s="27">
        <f t="shared" si="237"/>
        <v>0</v>
      </c>
      <c r="P803" s="28" t="str">
        <f t="shared" si="241"/>
        <v>On time</v>
      </c>
      <c r="Q803" s="27">
        <f t="shared" si="238"/>
        <v>0</v>
      </c>
      <c r="R803" s="29" t="s">
        <v>2075</v>
      </c>
      <c r="S803" s="12" t="s">
        <v>100</v>
      </c>
      <c r="T803" s="35">
        <v>13</v>
      </c>
      <c r="U803" t="s">
        <v>2085</v>
      </c>
      <c r="V803" s="27">
        <v>20</v>
      </c>
      <c r="W803" s="9">
        <v>46.32</v>
      </c>
      <c r="X803" s="9">
        <f t="shared" si="258"/>
        <v>926.4</v>
      </c>
      <c r="Y803">
        <v>36.94</v>
      </c>
      <c r="Z803" s="10">
        <v>46135</v>
      </c>
      <c r="AA803" s="10">
        <v>46160</v>
      </c>
      <c r="AB803" s="10">
        <v>46160</v>
      </c>
      <c r="AC803" s="10">
        <v>46225</v>
      </c>
      <c r="AD803" s="31">
        <f t="shared" ca="1" si="265"/>
        <v>-25</v>
      </c>
      <c r="AE803" s="36" t="s">
        <v>2134</v>
      </c>
      <c r="AF803" t="s">
        <v>1967</v>
      </c>
      <c r="AG803" s="10" t="s">
        <v>78</v>
      </c>
      <c r="AI803" s="9" t="s">
        <v>53</v>
      </c>
      <c r="AM803" s="27" t="str">
        <f t="shared" si="266"/>
        <v>On time</v>
      </c>
      <c r="AN803" s="27" t="str">
        <f t="shared" ca="1" si="267"/>
        <v>Estoque</v>
      </c>
    </row>
    <row r="804" spans="4:42" hidden="1">
      <c r="D804" t="s">
        <v>2086</v>
      </c>
      <c r="E804" t="s">
        <v>2148</v>
      </c>
      <c r="F804" s="24"/>
      <c r="I804" s="26"/>
      <c r="J804" s="10"/>
      <c r="K804" s="10"/>
      <c r="L804" s="27" t="str">
        <f t="shared" si="243"/>
        <v xml:space="preserve"> </v>
      </c>
      <c r="M804" s="58"/>
      <c r="N804" s="27" t="str">
        <f t="shared" si="242"/>
        <v xml:space="preserve"> </v>
      </c>
      <c r="O804" s="27">
        <f t="shared" si="237"/>
        <v>0</v>
      </c>
      <c r="P804" s="28" t="str">
        <f t="shared" si="241"/>
        <v>On time</v>
      </c>
      <c r="Q804" s="27">
        <f t="shared" si="238"/>
        <v>0</v>
      </c>
      <c r="R804" s="29" t="s">
        <v>2075</v>
      </c>
      <c r="S804" s="12" t="s">
        <v>100</v>
      </c>
      <c r="T804" s="35">
        <v>14</v>
      </c>
      <c r="U804" t="s">
        <v>2086</v>
      </c>
      <c r="V804" s="27">
        <v>10</v>
      </c>
      <c r="W804" s="9">
        <v>97.34</v>
      </c>
      <c r="X804" s="9">
        <f t="shared" si="258"/>
        <v>973.40000000000009</v>
      </c>
      <c r="Y804">
        <v>67.930000000000007</v>
      </c>
      <c r="Z804" s="10">
        <v>46135</v>
      </c>
      <c r="AA804" s="10">
        <v>46160</v>
      </c>
      <c r="AB804" s="10">
        <v>46160</v>
      </c>
      <c r="AC804" s="10">
        <v>46225</v>
      </c>
      <c r="AD804" s="31">
        <f t="shared" ca="1" si="265"/>
        <v>-25</v>
      </c>
      <c r="AE804" s="36" t="s">
        <v>2134</v>
      </c>
      <c r="AF804" t="s">
        <v>1967</v>
      </c>
      <c r="AG804" s="10" t="s">
        <v>78</v>
      </c>
      <c r="AI804" s="9" t="s">
        <v>53</v>
      </c>
      <c r="AM804" s="27" t="str">
        <f t="shared" si="266"/>
        <v>On time</v>
      </c>
      <c r="AN804" s="27" t="str">
        <f t="shared" ca="1" si="267"/>
        <v>Estoque</v>
      </c>
    </row>
    <row r="805" spans="4:42" hidden="1">
      <c r="D805" t="s">
        <v>2087</v>
      </c>
      <c r="E805" t="s">
        <v>2149</v>
      </c>
      <c r="F805" s="24"/>
      <c r="I805" s="26"/>
      <c r="J805" s="10"/>
      <c r="K805" s="10"/>
      <c r="L805" s="27" t="str">
        <f t="shared" si="243"/>
        <v xml:space="preserve"> </v>
      </c>
      <c r="M805" s="58"/>
      <c r="N805" s="27" t="str">
        <f t="shared" si="242"/>
        <v xml:space="preserve"> </v>
      </c>
      <c r="O805" s="27">
        <f t="shared" si="237"/>
        <v>0</v>
      </c>
      <c r="P805" s="28" t="str">
        <f t="shared" si="241"/>
        <v>On time</v>
      </c>
      <c r="Q805" s="27">
        <f t="shared" si="238"/>
        <v>0</v>
      </c>
      <c r="R805" s="29" t="s">
        <v>2075</v>
      </c>
      <c r="S805" s="12" t="s">
        <v>100</v>
      </c>
      <c r="T805" s="35">
        <v>15</v>
      </c>
      <c r="U805" t="s">
        <v>2087</v>
      </c>
      <c r="V805" s="27">
        <v>10</v>
      </c>
      <c r="W805" s="9">
        <v>117.42</v>
      </c>
      <c r="X805" s="9">
        <f t="shared" si="258"/>
        <v>1174.2</v>
      </c>
      <c r="Y805">
        <v>84.03</v>
      </c>
      <c r="Z805" s="10">
        <v>46135</v>
      </c>
      <c r="AA805" s="10">
        <v>46160</v>
      </c>
      <c r="AB805" s="10">
        <v>46160</v>
      </c>
      <c r="AC805" s="10">
        <v>46225</v>
      </c>
      <c r="AD805" s="31">
        <f t="shared" ca="1" si="265"/>
        <v>-25</v>
      </c>
      <c r="AE805" s="36" t="s">
        <v>2134</v>
      </c>
      <c r="AF805" t="s">
        <v>1967</v>
      </c>
      <c r="AG805" s="10" t="s">
        <v>78</v>
      </c>
      <c r="AI805" s="9" t="s">
        <v>53</v>
      </c>
      <c r="AM805" s="27" t="str">
        <f t="shared" si="266"/>
        <v>On time</v>
      </c>
      <c r="AN805" s="27" t="str">
        <f t="shared" ca="1" si="267"/>
        <v>Estoque</v>
      </c>
    </row>
    <row r="806" spans="4:42" hidden="1">
      <c r="D806" t="s">
        <v>2088</v>
      </c>
      <c r="E806" t="s">
        <v>2150</v>
      </c>
      <c r="F806" s="24"/>
      <c r="I806" s="26"/>
      <c r="J806" s="10"/>
      <c r="K806" s="10"/>
      <c r="L806" s="27" t="str">
        <f t="shared" si="243"/>
        <v xml:space="preserve"> </v>
      </c>
      <c r="M806" s="58"/>
      <c r="N806" s="27" t="str">
        <f t="shared" si="242"/>
        <v xml:space="preserve"> </v>
      </c>
      <c r="O806" s="27">
        <f t="shared" si="237"/>
        <v>0</v>
      </c>
      <c r="P806" s="28" t="str">
        <f t="shared" si="241"/>
        <v>On time</v>
      </c>
      <c r="Q806" s="27">
        <f t="shared" si="238"/>
        <v>0</v>
      </c>
      <c r="R806" s="29" t="s">
        <v>2075</v>
      </c>
      <c r="S806" s="12" t="s">
        <v>100</v>
      </c>
      <c r="T806" s="35">
        <v>16</v>
      </c>
      <c r="U806" t="s">
        <v>2088</v>
      </c>
      <c r="V806" s="27">
        <v>30</v>
      </c>
      <c r="W806" s="9">
        <v>6.27</v>
      </c>
      <c r="X806" s="9">
        <f t="shared" si="258"/>
        <v>188.1</v>
      </c>
      <c r="Y806">
        <v>4.3</v>
      </c>
      <c r="Z806" s="10">
        <v>46135</v>
      </c>
      <c r="AA806" s="10">
        <v>46160</v>
      </c>
      <c r="AB806" s="10">
        <v>46160</v>
      </c>
      <c r="AC806" s="10">
        <v>46225</v>
      </c>
      <c r="AD806" s="31">
        <f t="shared" ca="1" si="265"/>
        <v>-25</v>
      </c>
      <c r="AE806" s="36" t="s">
        <v>2134</v>
      </c>
      <c r="AF806" t="s">
        <v>1967</v>
      </c>
      <c r="AG806" s="10" t="s">
        <v>78</v>
      </c>
      <c r="AI806" s="9" t="s">
        <v>53</v>
      </c>
      <c r="AM806" s="27" t="str">
        <f t="shared" si="266"/>
        <v>On time</v>
      </c>
      <c r="AN806" s="27" t="str">
        <f t="shared" ca="1" si="267"/>
        <v>Estoque</v>
      </c>
    </row>
    <row r="807" spans="4:42" hidden="1">
      <c r="D807" t="s">
        <v>2089</v>
      </c>
      <c r="E807" t="s">
        <v>2151</v>
      </c>
      <c r="F807" s="24"/>
      <c r="I807" s="26"/>
      <c r="J807" s="10"/>
      <c r="K807" s="10"/>
      <c r="L807" s="27" t="str">
        <f t="shared" si="243"/>
        <v xml:space="preserve"> </v>
      </c>
      <c r="M807" s="58"/>
      <c r="N807" s="27" t="str">
        <f t="shared" si="242"/>
        <v xml:space="preserve"> </v>
      </c>
      <c r="O807" s="27">
        <f t="shared" si="237"/>
        <v>0</v>
      </c>
      <c r="P807" s="28" t="str">
        <f t="shared" si="241"/>
        <v>On time</v>
      </c>
      <c r="Q807" s="27">
        <f t="shared" si="238"/>
        <v>0</v>
      </c>
      <c r="R807" s="29" t="s">
        <v>2075</v>
      </c>
      <c r="S807" s="12" t="s">
        <v>100</v>
      </c>
      <c r="T807" s="35">
        <v>17</v>
      </c>
      <c r="U807" t="s">
        <v>2089</v>
      </c>
      <c r="V807" s="27">
        <v>100</v>
      </c>
      <c r="W807" s="9">
        <v>7</v>
      </c>
      <c r="X807" s="9">
        <f t="shared" si="258"/>
        <v>700</v>
      </c>
      <c r="Y807">
        <v>5.43</v>
      </c>
      <c r="Z807" s="10">
        <v>46135</v>
      </c>
      <c r="AA807" s="10">
        <v>46160</v>
      </c>
      <c r="AB807" s="10">
        <v>46160</v>
      </c>
      <c r="AC807" s="10">
        <v>46225</v>
      </c>
      <c r="AD807" s="31">
        <f t="shared" ca="1" si="265"/>
        <v>-25</v>
      </c>
      <c r="AE807" s="36" t="s">
        <v>2134</v>
      </c>
      <c r="AF807" t="s">
        <v>1967</v>
      </c>
      <c r="AG807" s="10" t="s">
        <v>78</v>
      </c>
      <c r="AI807" s="9" t="s">
        <v>53</v>
      </c>
      <c r="AM807" s="27" t="str">
        <f t="shared" si="266"/>
        <v>On time</v>
      </c>
      <c r="AN807" s="27" t="str">
        <f t="shared" ca="1" si="267"/>
        <v>Estoque</v>
      </c>
    </row>
    <row r="808" spans="4:42" hidden="1">
      <c r="D808" t="s">
        <v>2090</v>
      </c>
      <c r="E808" t="s">
        <v>2152</v>
      </c>
      <c r="F808" s="24"/>
      <c r="I808" s="26"/>
      <c r="J808" s="10"/>
      <c r="K808" s="10"/>
      <c r="L808" s="27" t="str">
        <f t="shared" si="243"/>
        <v xml:space="preserve"> </v>
      </c>
      <c r="M808" s="58"/>
      <c r="N808" s="27" t="str">
        <f t="shared" si="242"/>
        <v xml:space="preserve"> </v>
      </c>
      <c r="O808" s="27">
        <f t="shared" si="237"/>
        <v>0</v>
      </c>
      <c r="P808" s="28" t="str">
        <f t="shared" si="241"/>
        <v>On time</v>
      </c>
      <c r="Q808" s="27">
        <f t="shared" si="238"/>
        <v>0</v>
      </c>
      <c r="R808" s="29" t="s">
        <v>2075</v>
      </c>
      <c r="S808" s="12" t="s">
        <v>100</v>
      </c>
      <c r="T808" s="35">
        <v>18</v>
      </c>
      <c r="U808" t="s">
        <v>2090</v>
      </c>
      <c r="V808" s="27">
        <v>5</v>
      </c>
      <c r="W808" s="9">
        <v>72.099999999999994</v>
      </c>
      <c r="X808" s="9">
        <f t="shared" si="258"/>
        <v>360.5</v>
      </c>
      <c r="Y808">
        <v>52.12</v>
      </c>
      <c r="Z808" s="10">
        <v>46135</v>
      </c>
      <c r="AA808" s="10">
        <v>46160</v>
      </c>
      <c r="AB808" s="10">
        <v>46160</v>
      </c>
      <c r="AC808" s="10">
        <v>46225</v>
      </c>
      <c r="AD808" s="31">
        <f t="shared" ca="1" si="265"/>
        <v>-25</v>
      </c>
      <c r="AE808" s="36" t="s">
        <v>2134</v>
      </c>
      <c r="AF808" t="s">
        <v>1967</v>
      </c>
      <c r="AG808" s="10" t="s">
        <v>78</v>
      </c>
      <c r="AI808" s="9" t="s">
        <v>53</v>
      </c>
      <c r="AM808" s="27" t="str">
        <f t="shared" si="266"/>
        <v>On time</v>
      </c>
      <c r="AN808" s="27" t="str">
        <f t="shared" ca="1" si="267"/>
        <v>Estoque</v>
      </c>
    </row>
    <row r="809" spans="4:42" hidden="1">
      <c r="D809" t="s">
        <v>2091</v>
      </c>
      <c r="E809" t="s">
        <v>2153</v>
      </c>
      <c r="F809" s="24"/>
      <c r="I809" s="26"/>
      <c r="J809" s="10"/>
      <c r="K809" s="10"/>
      <c r="L809" s="27" t="str">
        <f t="shared" si="243"/>
        <v xml:space="preserve"> </v>
      </c>
      <c r="M809" s="58"/>
      <c r="N809" s="27" t="str">
        <f t="shared" si="242"/>
        <v xml:space="preserve"> </v>
      </c>
      <c r="O809" s="27">
        <f t="shared" si="237"/>
        <v>0</v>
      </c>
      <c r="P809" s="28" t="str">
        <f t="shared" si="241"/>
        <v>On time</v>
      </c>
      <c r="Q809" s="27">
        <f t="shared" si="238"/>
        <v>0</v>
      </c>
      <c r="R809" s="29" t="s">
        <v>2075</v>
      </c>
      <c r="S809" s="12" t="s">
        <v>100</v>
      </c>
      <c r="T809" s="35">
        <v>19</v>
      </c>
      <c r="U809" t="s">
        <v>2091</v>
      </c>
      <c r="V809" s="27">
        <v>10</v>
      </c>
      <c r="W809" s="9">
        <v>116.19</v>
      </c>
      <c r="X809" s="9">
        <f t="shared" si="258"/>
        <v>1161.9000000000001</v>
      </c>
      <c r="Y809">
        <v>89.52</v>
      </c>
      <c r="Z809" s="10">
        <v>46135</v>
      </c>
      <c r="AA809" s="10">
        <v>46160</v>
      </c>
      <c r="AB809" s="10">
        <v>46160</v>
      </c>
      <c r="AC809" s="10">
        <v>46225</v>
      </c>
      <c r="AD809" s="31">
        <f t="shared" ca="1" si="265"/>
        <v>-25</v>
      </c>
      <c r="AE809" s="36" t="s">
        <v>2134</v>
      </c>
      <c r="AF809" t="s">
        <v>1967</v>
      </c>
      <c r="AG809" s="10" t="s">
        <v>78</v>
      </c>
      <c r="AI809" s="9" t="s">
        <v>53</v>
      </c>
      <c r="AM809" s="27" t="str">
        <f t="shared" si="266"/>
        <v>On time</v>
      </c>
      <c r="AN809" s="27" t="str">
        <f t="shared" ca="1" si="267"/>
        <v>Estoque</v>
      </c>
    </row>
    <row r="810" spans="4:42" hidden="1">
      <c r="D810" t="s">
        <v>2092</v>
      </c>
      <c r="E810" t="s">
        <v>2154</v>
      </c>
      <c r="F810" s="24"/>
      <c r="I810" s="26"/>
      <c r="J810" s="10"/>
      <c r="K810" s="10"/>
      <c r="L810" s="27" t="str">
        <f t="shared" si="243"/>
        <v xml:space="preserve"> </v>
      </c>
      <c r="M810" s="58"/>
      <c r="N810" s="27" t="str">
        <f t="shared" si="242"/>
        <v xml:space="preserve"> </v>
      </c>
      <c r="O810" s="27">
        <f t="shared" si="237"/>
        <v>0</v>
      </c>
      <c r="P810" s="28" t="str">
        <f t="shared" si="241"/>
        <v>On time</v>
      </c>
      <c r="Q810" s="27">
        <f t="shared" si="238"/>
        <v>0</v>
      </c>
      <c r="R810" s="29" t="s">
        <v>2075</v>
      </c>
      <c r="S810" s="12" t="s">
        <v>100</v>
      </c>
      <c r="T810" s="35">
        <v>20</v>
      </c>
      <c r="U810" t="s">
        <v>2092</v>
      </c>
      <c r="V810" s="27">
        <v>5</v>
      </c>
      <c r="W810" s="9">
        <v>164.96</v>
      </c>
      <c r="X810" s="9">
        <f t="shared" si="258"/>
        <v>824.80000000000007</v>
      </c>
      <c r="Y810">
        <v>121.54</v>
      </c>
      <c r="Z810" s="10">
        <v>46135</v>
      </c>
      <c r="AA810" s="10">
        <v>46160</v>
      </c>
      <c r="AB810" s="10">
        <v>46160</v>
      </c>
      <c r="AC810" s="10">
        <v>46225</v>
      </c>
      <c r="AD810" s="31">
        <f t="shared" ca="1" si="265"/>
        <v>-25</v>
      </c>
      <c r="AE810" s="36" t="s">
        <v>2134</v>
      </c>
      <c r="AF810" t="s">
        <v>1967</v>
      </c>
      <c r="AG810" s="10" t="s">
        <v>78</v>
      </c>
      <c r="AI810" s="9" t="s">
        <v>53</v>
      </c>
      <c r="AM810" s="27" t="str">
        <f t="shared" si="266"/>
        <v>On time</v>
      </c>
      <c r="AN810" s="27" t="str">
        <f t="shared" ca="1" si="267"/>
        <v>Estoque</v>
      </c>
    </row>
    <row r="811" spans="4:42" hidden="1">
      <c r="D811" t="s">
        <v>2093</v>
      </c>
      <c r="E811" t="s">
        <v>2155</v>
      </c>
      <c r="F811" s="24"/>
      <c r="I811" s="26"/>
      <c r="J811" s="10"/>
      <c r="K811" s="10"/>
      <c r="L811" s="27" t="str">
        <f t="shared" si="243"/>
        <v xml:space="preserve"> </v>
      </c>
      <c r="M811" s="58"/>
      <c r="N811" s="27" t="str">
        <f t="shared" si="242"/>
        <v xml:space="preserve"> </v>
      </c>
      <c r="O811" s="27">
        <f t="shared" si="237"/>
        <v>0</v>
      </c>
      <c r="P811" s="28" t="str">
        <f t="shared" si="241"/>
        <v>On time</v>
      </c>
      <c r="Q811" s="27">
        <f t="shared" si="238"/>
        <v>0</v>
      </c>
      <c r="R811" s="29" t="s">
        <v>2075</v>
      </c>
      <c r="S811" s="12" t="s">
        <v>100</v>
      </c>
      <c r="T811" s="35">
        <v>21</v>
      </c>
      <c r="U811" t="s">
        <v>2093</v>
      </c>
      <c r="V811" s="27">
        <v>150</v>
      </c>
      <c r="W811" s="9">
        <v>3.28</v>
      </c>
      <c r="X811" s="9">
        <f t="shared" si="258"/>
        <v>491.99999999999994</v>
      </c>
      <c r="Y811">
        <v>1.9</v>
      </c>
      <c r="Z811" s="10">
        <v>46135</v>
      </c>
      <c r="AA811" s="10">
        <v>46160</v>
      </c>
      <c r="AB811" s="10">
        <v>46160</v>
      </c>
      <c r="AC811" s="10">
        <v>46225</v>
      </c>
      <c r="AD811" s="31">
        <f t="shared" ca="1" si="265"/>
        <v>-25</v>
      </c>
      <c r="AE811" s="36" t="s">
        <v>2134</v>
      </c>
      <c r="AF811" t="s">
        <v>1967</v>
      </c>
      <c r="AG811" s="10" t="s">
        <v>78</v>
      </c>
      <c r="AI811" s="9" t="s">
        <v>53</v>
      </c>
      <c r="AM811" s="27" t="str">
        <f t="shared" si="266"/>
        <v>On time</v>
      </c>
      <c r="AN811" s="27" t="str">
        <f t="shared" ca="1" si="267"/>
        <v>Estoque</v>
      </c>
    </row>
    <row r="812" spans="4:42" hidden="1">
      <c r="D812" t="s">
        <v>2094</v>
      </c>
      <c r="E812" t="s">
        <v>2156</v>
      </c>
      <c r="F812" s="24"/>
      <c r="I812" s="26"/>
      <c r="J812" s="10"/>
      <c r="K812" s="10"/>
      <c r="L812" s="27" t="str">
        <f t="shared" si="243"/>
        <v xml:space="preserve"> </v>
      </c>
      <c r="M812" s="58"/>
      <c r="N812" s="27" t="str">
        <f t="shared" si="242"/>
        <v xml:space="preserve"> </v>
      </c>
      <c r="O812" s="27">
        <f t="shared" si="237"/>
        <v>0</v>
      </c>
      <c r="P812" s="28" t="str">
        <f t="shared" si="241"/>
        <v>On time</v>
      </c>
      <c r="Q812" s="27">
        <f t="shared" si="238"/>
        <v>0</v>
      </c>
      <c r="R812" s="29" t="s">
        <v>2075</v>
      </c>
      <c r="S812" s="12" t="s">
        <v>100</v>
      </c>
      <c r="T812" s="35">
        <v>22</v>
      </c>
      <c r="U812" t="s">
        <v>2094</v>
      </c>
      <c r="V812" s="27">
        <v>30</v>
      </c>
      <c r="W812" s="9">
        <v>6.05</v>
      </c>
      <c r="X812" s="9">
        <f t="shared" si="258"/>
        <v>181.5</v>
      </c>
      <c r="Y812">
        <v>4.5199999999999996</v>
      </c>
      <c r="Z812" s="10">
        <v>46135</v>
      </c>
      <c r="AA812" s="10">
        <v>46160</v>
      </c>
      <c r="AB812" s="10">
        <v>46160</v>
      </c>
      <c r="AC812" s="10">
        <v>46225</v>
      </c>
      <c r="AD812" s="31">
        <f t="shared" ca="1" si="265"/>
        <v>-25</v>
      </c>
      <c r="AE812" s="36" t="s">
        <v>2134</v>
      </c>
      <c r="AF812" t="s">
        <v>1967</v>
      </c>
      <c r="AG812" s="10" t="s">
        <v>78</v>
      </c>
      <c r="AI812" s="9" t="s">
        <v>53</v>
      </c>
      <c r="AM812" s="27" t="str">
        <f t="shared" si="266"/>
        <v>On time</v>
      </c>
      <c r="AN812" s="27" t="str">
        <f t="shared" ca="1" si="267"/>
        <v>Estoque</v>
      </c>
    </row>
    <row r="813" spans="4:42" hidden="1">
      <c r="D813" t="s">
        <v>2095</v>
      </c>
      <c r="E813" t="s">
        <v>2192</v>
      </c>
      <c r="F813" s="24"/>
      <c r="I813" s="26"/>
      <c r="J813" s="10"/>
      <c r="K813" s="10"/>
      <c r="L813" s="27" t="str">
        <f t="shared" si="243"/>
        <v xml:space="preserve"> </v>
      </c>
      <c r="M813" s="58"/>
      <c r="N813" s="27" t="str">
        <f t="shared" si="242"/>
        <v xml:space="preserve"> </v>
      </c>
      <c r="O813" s="27">
        <f t="shared" si="237"/>
        <v>0</v>
      </c>
      <c r="P813" s="28" t="str">
        <f t="shared" si="241"/>
        <v>On time</v>
      </c>
      <c r="Q813" s="27">
        <f t="shared" si="238"/>
        <v>0</v>
      </c>
      <c r="R813" s="29" t="s">
        <v>2075</v>
      </c>
      <c r="S813" s="12" t="s">
        <v>100</v>
      </c>
      <c r="T813" s="35">
        <v>23</v>
      </c>
      <c r="U813" t="s">
        <v>2095</v>
      </c>
      <c r="V813" s="27">
        <v>20</v>
      </c>
      <c r="W813" s="9">
        <v>14.04</v>
      </c>
      <c r="X813" s="9">
        <f t="shared" si="258"/>
        <v>280.79999999999995</v>
      </c>
      <c r="Y813">
        <v>10.9</v>
      </c>
      <c r="Z813" s="10">
        <v>46135</v>
      </c>
      <c r="AA813" s="10">
        <v>46160</v>
      </c>
      <c r="AB813" s="10">
        <v>46160</v>
      </c>
      <c r="AC813" s="10">
        <v>46225</v>
      </c>
      <c r="AD813" s="31">
        <f t="shared" ca="1" si="265"/>
        <v>-25</v>
      </c>
      <c r="AE813" s="36" t="s">
        <v>2134</v>
      </c>
      <c r="AF813" t="s">
        <v>1967</v>
      </c>
      <c r="AG813" s="10" t="s">
        <v>78</v>
      </c>
      <c r="AI813" s="9" t="s">
        <v>53</v>
      </c>
      <c r="AM813" s="27" t="str">
        <f t="shared" si="266"/>
        <v>On time</v>
      </c>
      <c r="AN813" s="27" t="str">
        <f t="shared" ca="1" si="267"/>
        <v>Estoque</v>
      </c>
    </row>
    <row r="814" spans="4:42" hidden="1">
      <c r="D814" t="s">
        <v>2096</v>
      </c>
      <c r="E814" t="s">
        <v>2193</v>
      </c>
      <c r="F814" s="24"/>
      <c r="I814" s="26"/>
      <c r="J814" s="10"/>
      <c r="K814" s="10"/>
      <c r="L814" s="27" t="str">
        <f t="shared" si="243"/>
        <v xml:space="preserve"> </v>
      </c>
      <c r="M814" s="58"/>
      <c r="N814" s="27" t="str">
        <f t="shared" si="242"/>
        <v xml:space="preserve"> </v>
      </c>
      <c r="O814" s="27">
        <f t="shared" si="237"/>
        <v>0</v>
      </c>
      <c r="P814" s="28" t="str">
        <f t="shared" si="241"/>
        <v>On time</v>
      </c>
      <c r="Q814" s="27">
        <f t="shared" si="238"/>
        <v>0</v>
      </c>
      <c r="R814" s="29" t="s">
        <v>2075</v>
      </c>
      <c r="S814" s="12" t="s">
        <v>100</v>
      </c>
      <c r="T814" s="35">
        <v>24</v>
      </c>
      <c r="U814" t="s">
        <v>2096</v>
      </c>
      <c r="V814" s="27">
        <v>20</v>
      </c>
      <c r="W814" s="9">
        <v>16.07</v>
      </c>
      <c r="X814" s="9">
        <f t="shared" si="258"/>
        <v>321.39999999999998</v>
      </c>
      <c r="Y814">
        <v>10.53</v>
      </c>
      <c r="Z814" s="10">
        <v>46135</v>
      </c>
      <c r="AA814" s="10">
        <v>46160</v>
      </c>
      <c r="AB814" s="10">
        <v>46160</v>
      </c>
      <c r="AC814" s="10">
        <v>46225</v>
      </c>
      <c r="AD814" s="31">
        <f t="shared" ca="1" si="265"/>
        <v>-25</v>
      </c>
      <c r="AE814" s="36" t="s">
        <v>2134</v>
      </c>
      <c r="AF814" t="s">
        <v>1967</v>
      </c>
      <c r="AG814" s="10" t="s">
        <v>78</v>
      </c>
      <c r="AI814" s="9" t="s">
        <v>53</v>
      </c>
      <c r="AM814" s="27" t="str">
        <f t="shared" si="266"/>
        <v>On time</v>
      </c>
      <c r="AN814" s="27" t="str">
        <f t="shared" ca="1" si="267"/>
        <v>Estoque</v>
      </c>
    </row>
    <row r="815" spans="4:42" hidden="1">
      <c r="D815" t="s">
        <v>2097</v>
      </c>
      <c r="E815" t="s">
        <v>2194</v>
      </c>
      <c r="F815" s="24"/>
      <c r="I815" s="26"/>
      <c r="J815" s="10"/>
      <c r="K815" s="10"/>
      <c r="L815" s="27" t="str">
        <f t="shared" si="243"/>
        <v xml:space="preserve"> </v>
      </c>
      <c r="M815" s="58"/>
      <c r="N815" s="27" t="str">
        <f t="shared" si="242"/>
        <v xml:space="preserve"> </v>
      </c>
      <c r="O815" s="27">
        <f t="shared" si="237"/>
        <v>0</v>
      </c>
      <c r="P815" s="28" t="str">
        <f t="shared" si="241"/>
        <v>On time</v>
      </c>
      <c r="Q815" s="27">
        <f t="shared" si="238"/>
        <v>0</v>
      </c>
      <c r="R815" s="29" t="s">
        <v>2075</v>
      </c>
      <c r="S815" s="12" t="s">
        <v>100</v>
      </c>
      <c r="T815" s="35">
        <v>25</v>
      </c>
      <c r="U815" t="s">
        <v>2097</v>
      </c>
      <c r="V815" s="27">
        <v>20</v>
      </c>
      <c r="W815" s="9">
        <v>6.58</v>
      </c>
      <c r="X815" s="9">
        <f t="shared" si="258"/>
        <v>131.6</v>
      </c>
      <c r="Y815">
        <v>4.22</v>
      </c>
      <c r="Z815" s="10">
        <v>46135</v>
      </c>
      <c r="AA815" s="10">
        <v>46160</v>
      </c>
      <c r="AB815" s="10">
        <v>46160</v>
      </c>
      <c r="AC815" s="10">
        <v>46225</v>
      </c>
      <c r="AD815" s="31">
        <f t="shared" ca="1" si="265"/>
        <v>-25</v>
      </c>
      <c r="AE815" s="36" t="s">
        <v>2134</v>
      </c>
      <c r="AF815" t="s">
        <v>1967</v>
      </c>
      <c r="AG815" s="10" t="s">
        <v>78</v>
      </c>
      <c r="AI815" s="9" t="s">
        <v>53</v>
      </c>
      <c r="AM815" s="27" t="str">
        <f t="shared" si="266"/>
        <v>On time</v>
      </c>
      <c r="AN815" s="27" t="str">
        <f t="shared" ca="1" si="267"/>
        <v>Estoque</v>
      </c>
      <c r="AP815" t="s">
        <v>2180</v>
      </c>
    </row>
    <row r="816" spans="4:42" hidden="1">
      <c r="D816" t="s">
        <v>2098</v>
      </c>
      <c r="E816" t="s">
        <v>2195</v>
      </c>
      <c r="F816" s="24"/>
      <c r="I816" s="26"/>
      <c r="J816" s="10"/>
      <c r="K816" s="10"/>
      <c r="L816" s="27" t="str">
        <f t="shared" si="243"/>
        <v xml:space="preserve"> </v>
      </c>
      <c r="M816" s="58"/>
      <c r="N816" s="27" t="str">
        <f t="shared" si="242"/>
        <v xml:space="preserve"> </v>
      </c>
      <c r="O816" s="27">
        <f t="shared" si="237"/>
        <v>0</v>
      </c>
      <c r="P816" s="28" t="str">
        <f t="shared" si="241"/>
        <v>On time</v>
      </c>
      <c r="Q816" s="27">
        <f t="shared" si="238"/>
        <v>0</v>
      </c>
      <c r="R816" s="29" t="s">
        <v>2075</v>
      </c>
      <c r="S816" s="12" t="s">
        <v>100</v>
      </c>
      <c r="T816" s="35">
        <v>26</v>
      </c>
      <c r="U816" t="s">
        <v>2098</v>
      </c>
      <c r="V816" s="27">
        <v>60</v>
      </c>
      <c r="W816" s="9">
        <v>16.399999999999999</v>
      </c>
      <c r="X816" s="9">
        <f t="shared" si="258"/>
        <v>983.99999999999989</v>
      </c>
      <c r="Y816">
        <v>12.11</v>
      </c>
      <c r="Z816" s="10">
        <v>46135</v>
      </c>
      <c r="AA816" s="10">
        <v>46160</v>
      </c>
      <c r="AB816" s="10">
        <v>46160</v>
      </c>
      <c r="AC816" s="10">
        <v>46225</v>
      </c>
      <c r="AD816" s="31">
        <f t="shared" ca="1" si="265"/>
        <v>-25</v>
      </c>
      <c r="AE816" s="36" t="s">
        <v>2134</v>
      </c>
      <c r="AF816" t="s">
        <v>1967</v>
      </c>
      <c r="AG816" s="10" t="s">
        <v>78</v>
      </c>
      <c r="AI816" s="9" t="s">
        <v>53</v>
      </c>
      <c r="AM816" s="27" t="str">
        <f t="shared" si="266"/>
        <v>On time</v>
      </c>
      <c r="AN816" s="27" t="str">
        <f t="shared" ca="1" si="267"/>
        <v>Estoque</v>
      </c>
      <c r="AP816" t="s">
        <v>2180</v>
      </c>
    </row>
    <row r="817" spans="4:42" hidden="1">
      <c r="D817" t="s">
        <v>2099</v>
      </c>
      <c r="E817" t="s">
        <v>2196</v>
      </c>
      <c r="F817" s="24"/>
      <c r="I817" s="26"/>
      <c r="J817" s="10"/>
      <c r="K817" s="10"/>
      <c r="L817" s="27" t="str">
        <f t="shared" si="243"/>
        <v xml:space="preserve"> </v>
      </c>
      <c r="M817" s="58"/>
      <c r="N817" s="27" t="str">
        <f t="shared" si="242"/>
        <v xml:space="preserve"> </v>
      </c>
      <c r="O817" s="27">
        <f t="shared" si="237"/>
        <v>0</v>
      </c>
      <c r="P817" s="28" t="str">
        <f t="shared" si="241"/>
        <v>On time</v>
      </c>
      <c r="Q817" s="27">
        <f t="shared" si="238"/>
        <v>0</v>
      </c>
      <c r="R817" s="29" t="s">
        <v>2075</v>
      </c>
      <c r="S817" s="12" t="s">
        <v>100</v>
      </c>
      <c r="T817" s="35">
        <v>27</v>
      </c>
      <c r="U817" t="s">
        <v>2099</v>
      </c>
      <c r="V817" s="27">
        <v>20</v>
      </c>
      <c r="W817" s="9">
        <v>30.18</v>
      </c>
      <c r="X817" s="9">
        <f t="shared" si="258"/>
        <v>603.6</v>
      </c>
      <c r="Y817">
        <v>24.55</v>
      </c>
      <c r="Z817" s="10">
        <v>46135</v>
      </c>
      <c r="AA817" s="10">
        <v>46160</v>
      </c>
      <c r="AB817" s="10">
        <v>46160</v>
      </c>
      <c r="AC817" s="10">
        <v>46225</v>
      </c>
      <c r="AD817" s="31">
        <f t="shared" ca="1" si="265"/>
        <v>-25</v>
      </c>
      <c r="AE817" s="36" t="s">
        <v>2134</v>
      </c>
      <c r="AF817" t="s">
        <v>1967</v>
      </c>
      <c r="AG817" s="10" t="s">
        <v>78</v>
      </c>
      <c r="AI817" s="9" t="s">
        <v>53</v>
      </c>
      <c r="AM817" s="27" t="str">
        <f t="shared" si="266"/>
        <v>On time</v>
      </c>
      <c r="AN817" s="27" t="str">
        <f t="shared" ca="1" si="267"/>
        <v>Estoque</v>
      </c>
      <c r="AP817" t="s">
        <v>2180</v>
      </c>
    </row>
    <row r="818" spans="4:42" hidden="1">
      <c r="D818" t="s">
        <v>2100</v>
      </c>
      <c r="E818" t="s">
        <v>2197</v>
      </c>
      <c r="F818" s="24"/>
      <c r="I818" s="26"/>
      <c r="J818" s="10"/>
      <c r="K818" s="10"/>
      <c r="L818" s="27" t="str">
        <f t="shared" si="243"/>
        <v xml:space="preserve"> </v>
      </c>
      <c r="M818" s="58"/>
      <c r="N818" s="27" t="str">
        <f t="shared" si="242"/>
        <v xml:space="preserve"> </v>
      </c>
      <c r="O818" s="27">
        <f t="shared" ref="O818:O843" si="268">M818-J818</f>
        <v>0</v>
      </c>
      <c r="P818" s="28" t="str">
        <f t="shared" si="241"/>
        <v>On time</v>
      </c>
      <c r="Q818" s="27">
        <f t="shared" ref="Q818:Q843" si="269">I818-J818</f>
        <v>0</v>
      </c>
      <c r="R818" s="29" t="s">
        <v>2075</v>
      </c>
      <c r="S818" s="12" t="s">
        <v>100</v>
      </c>
      <c r="T818" s="35">
        <v>28</v>
      </c>
      <c r="U818" t="s">
        <v>2100</v>
      </c>
      <c r="V818" s="27">
        <v>20</v>
      </c>
      <c r="W818" s="9">
        <v>44.83</v>
      </c>
      <c r="X818" s="9">
        <f t="shared" si="258"/>
        <v>896.59999999999991</v>
      </c>
      <c r="Y818">
        <v>35.619999999999997</v>
      </c>
      <c r="Z818" s="10">
        <v>46135</v>
      </c>
      <c r="AA818" s="10">
        <v>46160</v>
      </c>
      <c r="AB818" s="10">
        <v>46160</v>
      </c>
      <c r="AC818" s="10">
        <v>46225</v>
      </c>
      <c r="AD818" s="31">
        <f t="shared" ca="1" si="265"/>
        <v>-25</v>
      </c>
      <c r="AE818" s="36" t="s">
        <v>2134</v>
      </c>
      <c r="AF818" t="s">
        <v>1967</v>
      </c>
      <c r="AG818" s="10" t="s">
        <v>78</v>
      </c>
      <c r="AI818" s="9" t="s">
        <v>53</v>
      </c>
      <c r="AM818" s="27" t="str">
        <f t="shared" si="266"/>
        <v>On time</v>
      </c>
      <c r="AN818" s="27" t="str">
        <f t="shared" ca="1" si="267"/>
        <v>Estoque</v>
      </c>
      <c r="AP818" t="s">
        <v>2180</v>
      </c>
    </row>
    <row r="819" spans="4:42" hidden="1">
      <c r="D819" t="s">
        <v>2101</v>
      </c>
      <c r="E819" t="s">
        <v>2198</v>
      </c>
      <c r="F819" s="24"/>
      <c r="I819" s="26"/>
      <c r="J819" s="10"/>
      <c r="K819" s="10"/>
      <c r="L819" s="27" t="str">
        <f t="shared" si="243"/>
        <v xml:space="preserve"> </v>
      </c>
      <c r="M819" s="58"/>
      <c r="N819" s="27" t="str">
        <f t="shared" si="242"/>
        <v xml:space="preserve"> </v>
      </c>
      <c r="O819" s="27">
        <f t="shared" si="268"/>
        <v>0</v>
      </c>
      <c r="P819" s="28" t="str">
        <f t="shared" si="241"/>
        <v>On time</v>
      </c>
      <c r="Q819" s="27">
        <f t="shared" si="269"/>
        <v>0</v>
      </c>
      <c r="R819" s="29" t="s">
        <v>2075</v>
      </c>
      <c r="S819" s="12" t="s">
        <v>100</v>
      </c>
      <c r="T819" s="35">
        <v>29</v>
      </c>
      <c r="U819" t="s">
        <v>2101</v>
      </c>
      <c r="V819" s="27">
        <v>20</v>
      </c>
      <c r="W819" s="9">
        <v>100.21</v>
      </c>
      <c r="X819" s="9">
        <f t="shared" si="258"/>
        <v>2004.1999999999998</v>
      </c>
      <c r="Y819">
        <v>84.42</v>
      </c>
      <c r="Z819" s="10">
        <v>46135</v>
      </c>
      <c r="AA819" s="10">
        <v>46160</v>
      </c>
      <c r="AB819" s="10">
        <v>46160</v>
      </c>
      <c r="AC819" s="10">
        <v>46225</v>
      </c>
      <c r="AD819" s="31">
        <f t="shared" ca="1" si="265"/>
        <v>-25</v>
      </c>
      <c r="AE819" s="36" t="s">
        <v>2134</v>
      </c>
      <c r="AF819" t="s">
        <v>1967</v>
      </c>
      <c r="AG819" s="10" t="s">
        <v>78</v>
      </c>
      <c r="AI819" s="9" t="s">
        <v>53</v>
      </c>
      <c r="AM819" s="27" t="str">
        <f t="shared" si="266"/>
        <v>On time</v>
      </c>
      <c r="AN819" s="27" t="str">
        <f t="shared" ca="1" si="267"/>
        <v>Estoque</v>
      </c>
      <c r="AP819" t="s">
        <v>2180</v>
      </c>
    </row>
    <row r="820" spans="4:42" hidden="1">
      <c r="D820" t="s">
        <v>2102</v>
      </c>
      <c r="E820" t="s">
        <v>2199</v>
      </c>
      <c r="F820" s="24"/>
      <c r="I820" s="26"/>
      <c r="J820" s="10"/>
      <c r="K820" s="10"/>
      <c r="L820" s="27" t="str">
        <f t="shared" si="243"/>
        <v xml:space="preserve"> </v>
      </c>
      <c r="M820" s="58"/>
      <c r="N820" s="27" t="str">
        <f t="shared" si="242"/>
        <v xml:space="preserve"> </v>
      </c>
      <c r="O820" s="27">
        <f t="shared" si="268"/>
        <v>0</v>
      </c>
      <c r="P820" s="28" t="str">
        <f t="shared" si="241"/>
        <v>On time</v>
      </c>
      <c r="Q820" s="27">
        <f t="shared" si="269"/>
        <v>0</v>
      </c>
      <c r="R820" s="29" t="s">
        <v>2075</v>
      </c>
      <c r="S820" s="12" t="s">
        <v>100</v>
      </c>
      <c r="T820" s="35">
        <v>30</v>
      </c>
      <c r="U820" t="s">
        <v>2102</v>
      </c>
      <c r="V820" s="27">
        <v>50</v>
      </c>
      <c r="W820" s="9">
        <v>4.87</v>
      </c>
      <c r="X820" s="9">
        <f t="shared" si="258"/>
        <v>243.5</v>
      </c>
      <c r="Y820">
        <v>2.96</v>
      </c>
      <c r="Z820" s="10">
        <v>46135</v>
      </c>
      <c r="AA820" s="10">
        <v>46160</v>
      </c>
      <c r="AB820" s="10">
        <v>46160</v>
      </c>
      <c r="AC820" s="10">
        <v>46225</v>
      </c>
      <c r="AD820" s="31">
        <f t="shared" ca="1" si="265"/>
        <v>-25</v>
      </c>
      <c r="AE820" s="36" t="s">
        <v>2134</v>
      </c>
      <c r="AF820" t="s">
        <v>1967</v>
      </c>
      <c r="AG820" s="10" t="s">
        <v>78</v>
      </c>
      <c r="AI820" s="9" t="s">
        <v>53</v>
      </c>
      <c r="AM820" s="27" t="str">
        <f t="shared" si="266"/>
        <v>On time</v>
      </c>
      <c r="AN820" s="27" t="str">
        <f t="shared" ca="1" si="267"/>
        <v>Estoque</v>
      </c>
      <c r="AP820" t="s">
        <v>2180</v>
      </c>
    </row>
    <row r="821" spans="4:42" hidden="1">
      <c r="D821" t="s">
        <v>2103</v>
      </c>
      <c r="E821" t="s">
        <v>2157</v>
      </c>
      <c r="F821" s="24"/>
      <c r="I821" s="26"/>
      <c r="J821" s="10"/>
      <c r="K821" s="10"/>
      <c r="L821" s="27" t="str">
        <f t="shared" si="243"/>
        <v xml:space="preserve"> </v>
      </c>
      <c r="M821" s="58"/>
      <c r="N821" s="27" t="str">
        <f t="shared" si="242"/>
        <v xml:space="preserve"> </v>
      </c>
      <c r="O821" s="27">
        <f t="shared" si="268"/>
        <v>0</v>
      </c>
      <c r="P821" s="28" t="str">
        <f t="shared" si="241"/>
        <v>On time</v>
      </c>
      <c r="Q821" s="27">
        <f t="shared" si="269"/>
        <v>0</v>
      </c>
      <c r="R821" s="29" t="s">
        <v>2075</v>
      </c>
      <c r="S821" s="12" t="s">
        <v>100</v>
      </c>
      <c r="T821" s="35">
        <v>31</v>
      </c>
      <c r="U821" t="s">
        <v>2103</v>
      </c>
      <c r="V821" s="27">
        <v>10</v>
      </c>
      <c r="W821" s="9">
        <v>129.19</v>
      </c>
      <c r="X821" s="9">
        <f t="shared" si="258"/>
        <v>1291.9000000000001</v>
      </c>
      <c r="Y821">
        <v>96.34</v>
      </c>
      <c r="Z821" s="10">
        <v>46135</v>
      </c>
      <c r="AA821" s="10">
        <v>46160</v>
      </c>
      <c r="AB821" s="10">
        <v>46160</v>
      </c>
      <c r="AC821" s="10">
        <v>46225</v>
      </c>
      <c r="AD821" s="31">
        <f t="shared" ca="1" si="265"/>
        <v>-25</v>
      </c>
      <c r="AE821" s="36" t="s">
        <v>2134</v>
      </c>
      <c r="AF821" t="s">
        <v>1967</v>
      </c>
      <c r="AG821" s="10" t="s">
        <v>78</v>
      </c>
      <c r="AI821" s="9" t="s">
        <v>53</v>
      </c>
      <c r="AM821" s="27" t="str">
        <f t="shared" si="266"/>
        <v>On time</v>
      </c>
      <c r="AN821" s="27" t="str">
        <f t="shared" ca="1" si="267"/>
        <v>Estoque</v>
      </c>
    </row>
    <row r="822" spans="4:42" hidden="1">
      <c r="D822" t="s">
        <v>2104</v>
      </c>
      <c r="E822" t="s">
        <v>2158</v>
      </c>
      <c r="F822" s="24"/>
      <c r="I822" s="26"/>
      <c r="J822" s="10"/>
      <c r="K822" s="10"/>
      <c r="L822" s="27" t="str">
        <f t="shared" si="243"/>
        <v xml:space="preserve"> </v>
      </c>
      <c r="M822" s="58"/>
      <c r="N822" s="27" t="str">
        <f t="shared" si="242"/>
        <v xml:space="preserve"> </v>
      </c>
      <c r="O822" s="27">
        <f t="shared" si="268"/>
        <v>0</v>
      </c>
      <c r="P822" s="28" t="str">
        <f t="shared" si="241"/>
        <v>On time</v>
      </c>
      <c r="Q822" s="27">
        <f t="shared" si="269"/>
        <v>0</v>
      </c>
      <c r="R822" s="29" t="s">
        <v>2075</v>
      </c>
      <c r="S822" s="12" t="s">
        <v>100</v>
      </c>
      <c r="T822" s="35">
        <v>32</v>
      </c>
      <c r="U822" t="s">
        <v>2104</v>
      </c>
      <c r="V822" s="27">
        <v>50</v>
      </c>
      <c r="W822" s="9">
        <v>5.76</v>
      </c>
      <c r="X822" s="9">
        <f t="shared" si="258"/>
        <v>288</v>
      </c>
      <c r="Y822">
        <v>3.96</v>
      </c>
      <c r="Z822" s="10">
        <v>46135</v>
      </c>
      <c r="AA822" s="10">
        <v>46160</v>
      </c>
      <c r="AB822" s="10">
        <v>46160</v>
      </c>
      <c r="AC822" s="10">
        <v>46225</v>
      </c>
      <c r="AD822" s="31">
        <f t="shared" ca="1" si="265"/>
        <v>-25</v>
      </c>
      <c r="AE822" s="36" t="s">
        <v>2134</v>
      </c>
      <c r="AF822" t="s">
        <v>1967</v>
      </c>
      <c r="AG822" s="10" t="s">
        <v>78</v>
      </c>
      <c r="AI822" s="9" t="s">
        <v>53</v>
      </c>
      <c r="AM822" s="27" t="str">
        <f t="shared" si="266"/>
        <v>On time</v>
      </c>
      <c r="AN822" s="27" t="str">
        <f t="shared" ca="1" si="267"/>
        <v>Estoque</v>
      </c>
    </row>
    <row r="823" spans="4:42" hidden="1">
      <c r="D823" t="s">
        <v>2105</v>
      </c>
      <c r="E823" t="s">
        <v>2159</v>
      </c>
      <c r="F823" s="24"/>
      <c r="I823" s="26"/>
      <c r="J823" s="10"/>
      <c r="K823" s="10"/>
      <c r="L823" s="27" t="str">
        <f t="shared" si="243"/>
        <v xml:space="preserve"> </v>
      </c>
      <c r="M823" s="58"/>
      <c r="N823" s="27" t="str">
        <f t="shared" si="242"/>
        <v xml:space="preserve"> </v>
      </c>
      <c r="O823" s="27">
        <f t="shared" si="268"/>
        <v>0</v>
      </c>
      <c r="P823" s="28" t="str">
        <f t="shared" si="241"/>
        <v>On time</v>
      </c>
      <c r="Q823" s="27">
        <f t="shared" si="269"/>
        <v>0</v>
      </c>
      <c r="R823" s="29" t="s">
        <v>2075</v>
      </c>
      <c r="S823" s="12" t="s">
        <v>100</v>
      </c>
      <c r="T823" s="35">
        <v>33</v>
      </c>
      <c r="U823" t="s">
        <v>2105</v>
      </c>
      <c r="V823" s="27">
        <v>30</v>
      </c>
      <c r="W823" s="9">
        <v>10.07</v>
      </c>
      <c r="X823" s="9">
        <f t="shared" si="258"/>
        <v>302.10000000000002</v>
      </c>
      <c r="Y823">
        <v>7.93</v>
      </c>
      <c r="Z823" s="10">
        <v>46135</v>
      </c>
      <c r="AA823" s="10">
        <v>46160</v>
      </c>
      <c r="AB823" s="10">
        <v>46160</v>
      </c>
      <c r="AC823" s="10">
        <v>46225</v>
      </c>
      <c r="AD823" s="31">
        <f t="shared" ca="1" si="265"/>
        <v>-25</v>
      </c>
      <c r="AE823" s="36" t="s">
        <v>2134</v>
      </c>
      <c r="AF823" t="s">
        <v>1967</v>
      </c>
      <c r="AG823" s="10" t="s">
        <v>78</v>
      </c>
      <c r="AI823" s="9" t="s">
        <v>53</v>
      </c>
      <c r="AM823" s="27" t="str">
        <f t="shared" si="266"/>
        <v>On time</v>
      </c>
      <c r="AN823" s="27" t="str">
        <f t="shared" ca="1" si="267"/>
        <v>Estoque</v>
      </c>
    </row>
    <row r="824" spans="4:42" hidden="1">
      <c r="D824" t="s">
        <v>2106</v>
      </c>
      <c r="E824" t="s">
        <v>2160</v>
      </c>
      <c r="F824" s="24"/>
      <c r="I824" s="26"/>
      <c r="J824" s="10"/>
      <c r="K824" s="10"/>
      <c r="L824" s="27" t="str">
        <f t="shared" si="243"/>
        <v xml:space="preserve"> </v>
      </c>
      <c r="M824" s="58"/>
      <c r="N824" s="27" t="str">
        <f t="shared" si="242"/>
        <v xml:space="preserve"> </v>
      </c>
      <c r="O824" s="27">
        <f t="shared" si="268"/>
        <v>0</v>
      </c>
      <c r="P824" s="28" t="str">
        <f t="shared" si="241"/>
        <v>On time</v>
      </c>
      <c r="Q824" s="27">
        <f t="shared" si="269"/>
        <v>0</v>
      </c>
      <c r="R824" s="29" t="s">
        <v>2075</v>
      </c>
      <c r="S824" s="12" t="s">
        <v>100</v>
      </c>
      <c r="T824" s="35">
        <v>34</v>
      </c>
      <c r="U824" t="s">
        <v>2106</v>
      </c>
      <c r="V824" s="27">
        <v>400</v>
      </c>
      <c r="W824" s="9">
        <v>5.58</v>
      </c>
      <c r="X824" s="9">
        <f t="shared" si="258"/>
        <v>2232</v>
      </c>
      <c r="Y824">
        <v>3.6</v>
      </c>
      <c r="Z824" s="10">
        <v>46135</v>
      </c>
      <c r="AA824" s="10">
        <v>46160</v>
      </c>
      <c r="AB824" s="10">
        <v>46160</v>
      </c>
      <c r="AC824" s="10">
        <v>46225</v>
      </c>
      <c r="AD824" s="31">
        <f t="shared" ca="1" si="265"/>
        <v>-25</v>
      </c>
      <c r="AE824" s="36" t="s">
        <v>2134</v>
      </c>
      <c r="AF824" t="s">
        <v>1967</v>
      </c>
      <c r="AG824" s="10" t="s">
        <v>78</v>
      </c>
      <c r="AI824" s="9" t="s">
        <v>53</v>
      </c>
      <c r="AM824" s="27" t="str">
        <f t="shared" si="266"/>
        <v>On time</v>
      </c>
      <c r="AN824" s="27" t="str">
        <f t="shared" ca="1" si="267"/>
        <v>Estoque</v>
      </c>
    </row>
    <row r="825" spans="4:42" hidden="1">
      <c r="D825" t="s">
        <v>1087</v>
      </c>
      <c r="E825" t="s">
        <v>2161</v>
      </c>
      <c r="F825" s="24"/>
      <c r="I825" s="26"/>
      <c r="J825" s="10"/>
      <c r="K825" s="10"/>
      <c r="L825" s="27" t="str">
        <f t="shared" si="243"/>
        <v xml:space="preserve"> </v>
      </c>
      <c r="M825" s="58"/>
      <c r="N825" s="27" t="str">
        <f t="shared" si="242"/>
        <v xml:space="preserve"> </v>
      </c>
      <c r="O825" s="27">
        <f t="shared" si="268"/>
        <v>0</v>
      </c>
      <c r="P825" s="28" t="str">
        <f t="shared" si="241"/>
        <v>On time</v>
      </c>
      <c r="Q825" s="27">
        <f t="shared" si="269"/>
        <v>0</v>
      </c>
      <c r="R825" s="29" t="s">
        <v>2075</v>
      </c>
      <c r="S825" s="12" t="s">
        <v>100</v>
      </c>
      <c r="T825" s="35">
        <v>35</v>
      </c>
      <c r="U825" t="s">
        <v>1087</v>
      </c>
      <c r="V825" s="27">
        <v>200</v>
      </c>
      <c r="W825" s="9">
        <v>9.2200000000000006</v>
      </c>
      <c r="X825" s="9">
        <f t="shared" si="258"/>
        <v>1844.0000000000002</v>
      </c>
      <c r="Y825">
        <v>7.44</v>
      </c>
      <c r="Z825" s="10">
        <v>46135</v>
      </c>
      <c r="AA825" s="10">
        <v>46160</v>
      </c>
      <c r="AB825" s="10">
        <v>46160</v>
      </c>
      <c r="AC825" s="10">
        <v>46225</v>
      </c>
      <c r="AD825" s="31">
        <f t="shared" ca="1" si="265"/>
        <v>-25</v>
      </c>
      <c r="AE825" s="36" t="s">
        <v>2134</v>
      </c>
      <c r="AF825" t="s">
        <v>1967</v>
      </c>
      <c r="AG825" s="10" t="s">
        <v>78</v>
      </c>
      <c r="AI825" s="9" t="s">
        <v>53</v>
      </c>
      <c r="AM825" s="27" t="str">
        <f t="shared" si="266"/>
        <v>On time</v>
      </c>
      <c r="AN825" s="27" t="str">
        <f t="shared" ca="1" si="267"/>
        <v>Estoque</v>
      </c>
    </row>
    <row r="826" spans="4:42" hidden="1">
      <c r="D826" t="s">
        <v>2107</v>
      </c>
      <c r="E826" t="s">
        <v>2162</v>
      </c>
      <c r="F826" s="24"/>
      <c r="I826" s="26"/>
      <c r="J826" s="10"/>
      <c r="K826" s="10"/>
      <c r="L826" s="27" t="str">
        <f t="shared" si="243"/>
        <v xml:space="preserve"> </v>
      </c>
      <c r="M826" s="58"/>
      <c r="N826" s="27" t="str">
        <f t="shared" si="242"/>
        <v xml:space="preserve"> </v>
      </c>
      <c r="O826" s="27">
        <f t="shared" si="268"/>
        <v>0</v>
      </c>
      <c r="P826" s="28" t="str">
        <f t="shared" si="241"/>
        <v>On time</v>
      </c>
      <c r="Q826" s="27">
        <f t="shared" si="269"/>
        <v>0</v>
      </c>
      <c r="R826" s="29" t="s">
        <v>2075</v>
      </c>
      <c r="S826" s="12" t="s">
        <v>100</v>
      </c>
      <c r="T826" s="35">
        <v>36</v>
      </c>
      <c r="U826" t="s">
        <v>2107</v>
      </c>
      <c r="V826" s="27">
        <v>200</v>
      </c>
      <c r="W826" s="9">
        <v>13.34</v>
      </c>
      <c r="X826" s="9">
        <f t="shared" si="258"/>
        <v>2668</v>
      </c>
      <c r="Y826">
        <v>12.14</v>
      </c>
      <c r="Z826" s="10">
        <v>46135</v>
      </c>
      <c r="AA826" s="10">
        <v>46160</v>
      </c>
      <c r="AB826" s="10">
        <v>46160</v>
      </c>
      <c r="AC826" s="10">
        <v>46225</v>
      </c>
      <c r="AD826" s="31">
        <f t="shared" ca="1" si="265"/>
        <v>-25</v>
      </c>
      <c r="AE826" s="36" t="s">
        <v>2134</v>
      </c>
      <c r="AF826" t="s">
        <v>1967</v>
      </c>
      <c r="AG826" s="10" t="s">
        <v>78</v>
      </c>
      <c r="AI826" s="9" t="s">
        <v>53</v>
      </c>
      <c r="AM826" s="27" t="str">
        <f t="shared" si="266"/>
        <v>On time</v>
      </c>
      <c r="AN826" s="27" t="str">
        <f t="shared" ca="1" si="267"/>
        <v>Estoque</v>
      </c>
    </row>
    <row r="827" spans="4:42" hidden="1">
      <c r="D827" t="s">
        <v>2108</v>
      </c>
      <c r="E827" t="s">
        <v>2163</v>
      </c>
      <c r="F827" s="24"/>
      <c r="I827" s="26"/>
      <c r="J827" s="10"/>
      <c r="K827" s="10"/>
      <c r="L827" s="27" t="str">
        <f t="shared" si="243"/>
        <v xml:space="preserve"> </v>
      </c>
      <c r="M827" s="58"/>
      <c r="N827" s="27" t="str">
        <f t="shared" si="242"/>
        <v xml:space="preserve"> </v>
      </c>
      <c r="O827" s="27">
        <f t="shared" si="268"/>
        <v>0</v>
      </c>
      <c r="P827" s="28" t="str">
        <f t="shared" si="241"/>
        <v>On time</v>
      </c>
      <c r="Q827" s="27">
        <f t="shared" si="269"/>
        <v>0</v>
      </c>
      <c r="R827" s="29" t="s">
        <v>2075</v>
      </c>
      <c r="S827" s="12" t="s">
        <v>100</v>
      </c>
      <c r="T827" s="35">
        <v>37</v>
      </c>
      <c r="U827" t="s">
        <v>2108</v>
      </c>
      <c r="V827" s="27">
        <v>100</v>
      </c>
      <c r="W827" s="9">
        <v>23.24</v>
      </c>
      <c r="X827" s="9">
        <f t="shared" si="258"/>
        <v>2324</v>
      </c>
      <c r="Y827">
        <v>21</v>
      </c>
      <c r="Z827" s="10">
        <v>46135</v>
      </c>
      <c r="AA827" s="10">
        <v>46160</v>
      </c>
      <c r="AB827" s="10">
        <v>46160</v>
      </c>
      <c r="AC827" s="10">
        <v>46225</v>
      </c>
      <c r="AD827" s="31">
        <f t="shared" ca="1" si="265"/>
        <v>-25</v>
      </c>
      <c r="AE827" s="36" t="s">
        <v>2134</v>
      </c>
      <c r="AF827" t="s">
        <v>1967</v>
      </c>
      <c r="AG827" s="10" t="s">
        <v>78</v>
      </c>
      <c r="AI827" s="9" t="s">
        <v>53</v>
      </c>
      <c r="AM827" s="27" t="str">
        <f t="shared" si="266"/>
        <v>On time</v>
      </c>
      <c r="AN827" s="27" t="str">
        <f t="shared" ca="1" si="267"/>
        <v>Estoque</v>
      </c>
    </row>
    <row r="828" spans="4:42" hidden="1">
      <c r="D828" t="s">
        <v>2109</v>
      </c>
      <c r="E828" t="s">
        <v>2164</v>
      </c>
      <c r="F828" s="24"/>
      <c r="I828" s="26"/>
      <c r="J828" s="10"/>
      <c r="K828" s="10"/>
      <c r="L828" s="27" t="str">
        <f t="shared" si="243"/>
        <v xml:space="preserve"> </v>
      </c>
      <c r="M828" s="58"/>
      <c r="N828" s="27" t="str">
        <f t="shared" si="242"/>
        <v xml:space="preserve"> </v>
      </c>
      <c r="O828" s="27">
        <f t="shared" si="268"/>
        <v>0</v>
      </c>
      <c r="P828" s="28" t="str">
        <f t="shared" si="241"/>
        <v>On time</v>
      </c>
      <c r="Q828" s="27">
        <f t="shared" si="269"/>
        <v>0</v>
      </c>
      <c r="R828" s="29" t="s">
        <v>2075</v>
      </c>
      <c r="S828" s="12" t="s">
        <v>100</v>
      </c>
      <c r="T828" s="35">
        <v>38</v>
      </c>
      <c r="U828" t="s">
        <v>2109</v>
      </c>
      <c r="V828" s="27">
        <v>100</v>
      </c>
      <c r="W828" s="9">
        <v>35.89</v>
      </c>
      <c r="X828" s="9">
        <f t="shared" si="258"/>
        <v>3589</v>
      </c>
      <c r="Y828">
        <v>32.729999999999997</v>
      </c>
      <c r="Z828" s="10">
        <v>46135</v>
      </c>
      <c r="AA828" s="10">
        <v>46160</v>
      </c>
      <c r="AB828" s="10">
        <v>46160</v>
      </c>
      <c r="AC828" s="10">
        <v>46225</v>
      </c>
      <c r="AD828" s="31">
        <f t="shared" ca="1" si="265"/>
        <v>-25</v>
      </c>
      <c r="AE828" s="36" t="s">
        <v>2134</v>
      </c>
      <c r="AF828" t="s">
        <v>1967</v>
      </c>
      <c r="AG828" s="10" t="s">
        <v>78</v>
      </c>
      <c r="AI828" s="9" t="s">
        <v>53</v>
      </c>
      <c r="AM828" s="27" t="str">
        <f t="shared" si="266"/>
        <v>On time</v>
      </c>
      <c r="AN828" s="27" t="str">
        <f t="shared" ca="1" si="267"/>
        <v>Estoque</v>
      </c>
    </row>
    <row r="829" spans="4:42" hidden="1">
      <c r="D829" t="s">
        <v>2110</v>
      </c>
      <c r="E829" t="s">
        <v>2165</v>
      </c>
      <c r="F829" s="24"/>
      <c r="I829" s="26"/>
      <c r="J829" s="10"/>
      <c r="K829" s="10"/>
      <c r="L829" s="27" t="str">
        <f t="shared" si="243"/>
        <v xml:space="preserve"> </v>
      </c>
      <c r="M829" s="58"/>
      <c r="N829" s="27" t="str">
        <f t="shared" si="242"/>
        <v xml:space="preserve"> </v>
      </c>
      <c r="O829" s="27">
        <f t="shared" si="268"/>
        <v>0</v>
      </c>
      <c r="P829" s="28" t="str">
        <f t="shared" si="241"/>
        <v>On time</v>
      </c>
      <c r="Q829" s="27">
        <f t="shared" si="269"/>
        <v>0</v>
      </c>
      <c r="R829" s="29" t="s">
        <v>2075</v>
      </c>
      <c r="S829" s="12" t="s">
        <v>100</v>
      </c>
      <c r="T829" s="35">
        <v>39</v>
      </c>
      <c r="U829" t="s">
        <v>2110</v>
      </c>
      <c r="V829" s="27">
        <v>30</v>
      </c>
      <c r="W829" s="9">
        <v>55.09</v>
      </c>
      <c r="X829" s="9">
        <f t="shared" si="258"/>
        <v>1652.7</v>
      </c>
      <c r="Y829">
        <v>43.51</v>
      </c>
      <c r="Z829" s="10">
        <v>46135</v>
      </c>
      <c r="AA829" s="10">
        <v>46160</v>
      </c>
      <c r="AB829" s="10">
        <v>46160</v>
      </c>
      <c r="AC829" s="10">
        <v>46225</v>
      </c>
      <c r="AD829" s="31">
        <f t="shared" ca="1" si="265"/>
        <v>-25</v>
      </c>
      <c r="AE829" s="36" t="s">
        <v>2134</v>
      </c>
      <c r="AF829" t="s">
        <v>1967</v>
      </c>
      <c r="AG829" s="10" t="s">
        <v>78</v>
      </c>
      <c r="AI829" s="9" t="s">
        <v>53</v>
      </c>
      <c r="AM829" s="27" t="str">
        <f t="shared" si="266"/>
        <v>On time</v>
      </c>
      <c r="AN829" s="27" t="str">
        <f t="shared" ca="1" si="267"/>
        <v>Estoque</v>
      </c>
    </row>
    <row r="830" spans="4:42" hidden="1">
      <c r="D830" t="s">
        <v>2111</v>
      </c>
      <c r="E830" t="s">
        <v>2166</v>
      </c>
      <c r="F830" s="24"/>
      <c r="I830" s="26"/>
      <c r="J830" s="10"/>
      <c r="K830" s="10"/>
      <c r="L830" s="27" t="str">
        <f t="shared" si="243"/>
        <v xml:space="preserve"> </v>
      </c>
      <c r="M830" s="58"/>
      <c r="N830" s="27" t="str">
        <f t="shared" si="242"/>
        <v xml:space="preserve"> </v>
      </c>
      <c r="O830" s="27">
        <f t="shared" si="268"/>
        <v>0</v>
      </c>
      <c r="P830" s="28" t="str">
        <f t="shared" si="241"/>
        <v>On time</v>
      </c>
      <c r="Q830" s="27">
        <f t="shared" si="269"/>
        <v>0</v>
      </c>
      <c r="R830" s="29" t="s">
        <v>2075</v>
      </c>
      <c r="S830" s="12" t="s">
        <v>100</v>
      </c>
      <c r="T830" s="35">
        <v>40</v>
      </c>
      <c r="U830" t="s">
        <v>2111</v>
      </c>
      <c r="V830" s="27">
        <v>20</v>
      </c>
      <c r="W830" s="9">
        <v>77.78</v>
      </c>
      <c r="X830" s="9">
        <f t="shared" si="258"/>
        <v>1555.6</v>
      </c>
      <c r="Y830">
        <v>62.41</v>
      </c>
      <c r="Z830" s="10">
        <v>46135</v>
      </c>
      <c r="AA830" s="10">
        <v>46160</v>
      </c>
      <c r="AB830" s="10">
        <v>46160</v>
      </c>
      <c r="AC830" s="10">
        <v>46225</v>
      </c>
      <c r="AD830" s="31">
        <f t="shared" ca="1" si="265"/>
        <v>-25</v>
      </c>
      <c r="AE830" s="36" t="s">
        <v>2134</v>
      </c>
      <c r="AF830" t="s">
        <v>1967</v>
      </c>
      <c r="AG830" s="10" t="s">
        <v>78</v>
      </c>
      <c r="AI830" s="9" t="s">
        <v>53</v>
      </c>
      <c r="AM830" s="27" t="str">
        <f t="shared" si="266"/>
        <v>On time</v>
      </c>
      <c r="AN830" s="27" t="str">
        <f t="shared" ca="1" si="267"/>
        <v>Estoque</v>
      </c>
    </row>
    <row r="831" spans="4:42" hidden="1">
      <c r="D831" t="s">
        <v>2112</v>
      </c>
      <c r="E831" t="s">
        <v>2167</v>
      </c>
      <c r="F831" s="24"/>
      <c r="I831" s="26"/>
      <c r="J831" s="10"/>
      <c r="K831" s="10"/>
      <c r="L831" s="27" t="str">
        <f t="shared" si="243"/>
        <v xml:space="preserve"> </v>
      </c>
      <c r="M831" s="58"/>
      <c r="N831" s="27" t="str">
        <f t="shared" si="242"/>
        <v xml:space="preserve"> </v>
      </c>
      <c r="O831" s="27">
        <f t="shared" si="268"/>
        <v>0</v>
      </c>
      <c r="P831" s="28" t="str">
        <f t="shared" si="241"/>
        <v>On time</v>
      </c>
      <c r="Q831" s="27">
        <f t="shared" si="269"/>
        <v>0</v>
      </c>
      <c r="R831" s="29" t="s">
        <v>2075</v>
      </c>
      <c r="S831" s="12" t="s">
        <v>100</v>
      </c>
      <c r="T831" s="35">
        <v>41</v>
      </c>
      <c r="U831" t="s">
        <v>2112</v>
      </c>
      <c r="V831" s="27">
        <v>20</v>
      </c>
      <c r="W831" s="9">
        <v>106.16</v>
      </c>
      <c r="X831" s="9">
        <f t="shared" si="258"/>
        <v>2123.1999999999998</v>
      </c>
      <c r="Y831">
        <v>85.88</v>
      </c>
      <c r="Z831" s="10">
        <v>46135</v>
      </c>
      <c r="AA831" s="10">
        <v>46160</v>
      </c>
      <c r="AB831" s="10">
        <v>46160</v>
      </c>
      <c r="AC831" s="10">
        <v>46225</v>
      </c>
      <c r="AD831" s="31">
        <f t="shared" ca="1" si="265"/>
        <v>-25</v>
      </c>
      <c r="AE831" s="36" t="s">
        <v>2134</v>
      </c>
      <c r="AF831" t="s">
        <v>1967</v>
      </c>
      <c r="AG831" s="10" t="s">
        <v>78</v>
      </c>
      <c r="AI831" s="9" t="s">
        <v>53</v>
      </c>
      <c r="AM831" s="27" t="str">
        <f t="shared" si="266"/>
        <v>On time</v>
      </c>
      <c r="AN831" s="27" t="str">
        <f t="shared" ca="1" si="267"/>
        <v>Estoque</v>
      </c>
    </row>
    <row r="832" spans="4:42" hidden="1">
      <c r="D832" t="s">
        <v>2113</v>
      </c>
      <c r="E832" t="s">
        <v>2168</v>
      </c>
      <c r="F832" s="24"/>
      <c r="I832" s="26"/>
      <c r="J832" s="10"/>
      <c r="K832" s="10"/>
      <c r="L832" s="27" t="str">
        <f t="shared" si="243"/>
        <v xml:space="preserve"> </v>
      </c>
      <c r="M832" s="58"/>
      <c r="N832" s="27" t="str">
        <f t="shared" si="242"/>
        <v xml:space="preserve"> </v>
      </c>
      <c r="O832" s="27">
        <f t="shared" si="268"/>
        <v>0</v>
      </c>
      <c r="P832" s="28" t="str">
        <f t="shared" si="241"/>
        <v>On time</v>
      </c>
      <c r="Q832" s="27">
        <f t="shared" si="269"/>
        <v>0</v>
      </c>
      <c r="R832" s="29" t="s">
        <v>2075</v>
      </c>
      <c r="S832" s="12" t="s">
        <v>100</v>
      </c>
      <c r="T832" s="35">
        <v>42</v>
      </c>
      <c r="U832" t="s">
        <v>2113</v>
      </c>
      <c r="V832" s="27">
        <v>100</v>
      </c>
      <c r="W832" s="9">
        <v>2.93</v>
      </c>
      <c r="X832" s="9">
        <f t="shared" si="258"/>
        <v>293</v>
      </c>
      <c r="Y832">
        <v>1.73</v>
      </c>
      <c r="Z832" s="10">
        <v>46135</v>
      </c>
      <c r="AA832" s="10">
        <v>46160</v>
      </c>
      <c r="AB832" s="10">
        <v>46160</v>
      </c>
      <c r="AC832" s="10">
        <v>46225</v>
      </c>
      <c r="AD832" s="31">
        <f t="shared" ca="1" si="265"/>
        <v>-25</v>
      </c>
      <c r="AE832" s="36" t="s">
        <v>2134</v>
      </c>
      <c r="AF832" t="s">
        <v>1967</v>
      </c>
      <c r="AG832" s="10" t="s">
        <v>78</v>
      </c>
      <c r="AI832" s="9" t="s">
        <v>53</v>
      </c>
      <c r="AM832" s="27" t="str">
        <f t="shared" si="266"/>
        <v>On time</v>
      </c>
      <c r="AN832" s="27" t="str">
        <f t="shared" ca="1" si="267"/>
        <v>Estoque</v>
      </c>
    </row>
    <row r="833" spans="4:42" hidden="1">
      <c r="D833" t="s">
        <v>2114</v>
      </c>
      <c r="E833" t="s">
        <v>2169</v>
      </c>
      <c r="F833" s="24"/>
      <c r="I833" s="26"/>
      <c r="J833" s="10"/>
      <c r="K833" s="10"/>
      <c r="L833" s="27" t="str">
        <f t="shared" si="243"/>
        <v xml:space="preserve"> </v>
      </c>
      <c r="M833" s="58"/>
      <c r="N833" s="27" t="str">
        <f t="shared" si="242"/>
        <v xml:space="preserve"> </v>
      </c>
      <c r="O833" s="27">
        <f t="shared" si="268"/>
        <v>0</v>
      </c>
      <c r="P833" s="28" t="str">
        <f t="shared" si="241"/>
        <v>On time</v>
      </c>
      <c r="Q833" s="27">
        <f t="shared" si="269"/>
        <v>0</v>
      </c>
      <c r="R833" s="29" t="s">
        <v>2075</v>
      </c>
      <c r="S833" s="12" t="s">
        <v>100</v>
      </c>
      <c r="T833" s="35">
        <v>43</v>
      </c>
      <c r="U833" t="s">
        <v>2114</v>
      </c>
      <c r="V833" s="27">
        <v>30</v>
      </c>
      <c r="W833" s="9">
        <v>24.81</v>
      </c>
      <c r="X833" s="9">
        <f t="shared" si="258"/>
        <v>744.3</v>
      </c>
      <c r="Y833">
        <v>21</v>
      </c>
      <c r="Z833" s="10">
        <v>46135</v>
      </c>
      <c r="AA833" s="10">
        <v>46160</v>
      </c>
      <c r="AB833" s="10">
        <v>46160</v>
      </c>
      <c r="AC833" s="10">
        <v>46225</v>
      </c>
      <c r="AD833" s="31">
        <f t="shared" ca="1" si="265"/>
        <v>-25</v>
      </c>
      <c r="AE833" s="36" t="s">
        <v>2134</v>
      </c>
      <c r="AF833" t="s">
        <v>1967</v>
      </c>
      <c r="AG833" s="10" t="s">
        <v>78</v>
      </c>
      <c r="AI833" s="9" t="s">
        <v>53</v>
      </c>
      <c r="AM833" s="27" t="str">
        <f t="shared" si="266"/>
        <v>On time</v>
      </c>
      <c r="AN833" s="27" t="str">
        <f t="shared" ca="1" si="267"/>
        <v>Estoque</v>
      </c>
    </row>
    <row r="834" spans="4:42" hidden="1">
      <c r="D834" t="s">
        <v>604</v>
      </c>
      <c r="E834" t="s">
        <v>2170</v>
      </c>
      <c r="F834" s="24"/>
      <c r="I834" s="26"/>
      <c r="J834" s="10"/>
      <c r="K834" s="10"/>
      <c r="L834" s="27" t="str">
        <f t="shared" si="243"/>
        <v xml:space="preserve"> </v>
      </c>
      <c r="M834" s="58"/>
      <c r="N834" s="27" t="str">
        <f t="shared" si="242"/>
        <v xml:space="preserve"> </v>
      </c>
      <c r="O834" s="27">
        <f t="shared" si="268"/>
        <v>0</v>
      </c>
      <c r="P834" s="28" t="str">
        <f t="shared" si="241"/>
        <v>On time</v>
      </c>
      <c r="Q834" s="27">
        <f t="shared" si="269"/>
        <v>0</v>
      </c>
      <c r="R834" s="29" t="s">
        <v>2075</v>
      </c>
      <c r="S834" s="12" t="s">
        <v>100</v>
      </c>
      <c r="T834" s="35">
        <v>44</v>
      </c>
      <c r="U834" t="s">
        <v>604</v>
      </c>
      <c r="V834" s="27">
        <v>30</v>
      </c>
      <c r="W834" s="9">
        <v>38.22</v>
      </c>
      <c r="X834" s="9">
        <f t="shared" si="258"/>
        <v>1146.5999999999999</v>
      </c>
      <c r="Y834">
        <v>32.729999999999997</v>
      </c>
      <c r="Z834" s="10">
        <v>46135</v>
      </c>
      <c r="AA834" s="10">
        <v>46160</v>
      </c>
      <c r="AB834" s="10">
        <v>46160</v>
      </c>
      <c r="AC834" s="10">
        <v>46225</v>
      </c>
      <c r="AD834" s="31">
        <f t="shared" ca="1" si="265"/>
        <v>-25</v>
      </c>
      <c r="AE834" s="36" t="s">
        <v>2134</v>
      </c>
      <c r="AF834" t="s">
        <v>1967</v>
      </c>
      <c r="AG834" s="10" t="s">
        <v>78</v>
      </c>
      <c r="AI834" s="9" t="s">
        <v>53</v>
      </c>
      <c r="AM834" s="27" t="str">
        <f t="shared" si="266"/>
        <v>On time</v>
      </c>
      <c r="AN834" s="27" t="str">
        <f t="shared" ca="1" si="267"/>
        <v>Estoque</v>
      </c>
    </row>
    <row r="835" spans="4:42" hidden="1">
      <c r="D835" t="s">
        <v>2115</v>
      </c>
      <c r="E835" t="s">
        <v>2171</v>
      </c>
      <c r="F835" s="24"/>
      <c r="I835" s="26"/>
      <c r="J835" s="10"/>
      <c r="K835" s="10"/>
      <c r="L835" s="27" t="str">
        <f t="shared" si="243"/>
        <v xml:space="preserve"> </v>
      </c>
      <c r="M835" s="58"/>
      <c r="N835" s="27" t="str">
        <f t="shared" si="242"/>
        <v xml:space="preserve"> </v>
      </c>
      <c r="O835" s="27">
        <f t="shared" si="268"/>
        <v>0</v>
      </c>
      <c r="P835" s="28" t="str">
        <f t="shared" ref="P835:P843" si="270">IF(Z835=0," ",IF(M835&gt;=Z835+6,"Atrasado","On time"))</f>
        <v>On time</v>
      </c>
      <c r="Q835" s="27">
        <f t="shared" si="269"/>
        <v>0</v>
      </c>
      <c r="R835" s="29" t="s">
        <v>2075</v>
      </c>
      <c r="S835" s="12" t="s">
        <v>100</v>
      </c>
      <c r="T835" s="35">
        <v>45</v>
      </c>
      <c r="U835" t="s">
        <v>2115</v>
      </c>
      <c r="V835" s="27">
        <v>15</v>
      </c>
      <c r="W835" s="9">
        <v>57.59</v>
      </c>
      <c r="X835" s="9">
        <f t="shared" si="258"/>
        <v>863.85</v>
      </c>
      <c r="Y835">
        <v>46.01</v>
      </c>
      <c r="Z835" s="10">
        <v>46135</v>
      </c>
      <c r="AA835" s="10">
        <v>46160</v>
      </c>
      <c r="AB835" s="10">
        <v>46160</v>
      </c>
      <c r="AC835" s="10">
        <v>46225</v>
      </c>
      <c r="AD835" s="31">
        <f t="shared" ca="1" si="265"/>
        <v>-25</v>
      </c>
      <c r="AE835" s="36" t="s">
        <v>2134</v>
      </c>
      <c r="AF835" t="s">
        <v>1967</v>
      </c>
      <c r="AG835" s="10" t="s">
        <v>78</v>
      </c>
      <c r="AI835" s="9" t="s">
        <v>53</v>
      </c>
      <c r="AM835" s="27" t="str">
        <f t="shared" si="266"/>
        <v>On time</v>
      </c>
      <c r="AN835" s="27" t="str">
        <f t="shared" ca="1" si="267"/>
        <v>Estoque</v>
      </c>
    </row>
    <row r="836" spans="4:42" hidden="1">
      <c r="D836" t="s">
        <v>2116</v>
      </c>
      <c r="E836" t="s">
        <v>2172</v>
      </c>
      <c r="F836" s="24"/>
      <c r="I836" s="26"/>
      <c r="J836" s="10"/>
      <c r="K836" s="10"/>
      <c r="L836" s="27" t="str">
        <f t="shared" si="243"/>
        <v xml:space="preserve"> </v>
      </c>
      <c r="M836" s="58"/>
      <c r="N836" s="27" t="str">
        <f t="shared" si="242"/>
        <v xml:space="preserve"> </v>
      </c>
      <c r="O836" s="27">
        <f t="shared" si="268"/>
        <v>0</v>
      </c>
      <c r="P836" s="28" t="str">
        <f t="shared" si="270"/>
        <v>On time</v>
      </c>
      <c r="Q836" s="27">
        <f t="shared" si="269"/>
        <v>0</v>
      </c>
      <c r="R836" s="29" t="s">
        <v>2075</v>
      </c>
      <c r="S836" s="12" t="s">
        <v>100</v>
      </c>
      <c r="T836" s="35">
        <v>46</v>
      </c>
      <c r="U836" t="s">
        <v>2116</v>
      </c>
      <c r="V836" s="27">
        <v>10</v>
      </c>
      <c r="W836" s="9">
        <v>150.08000000000001</v>
      </c>
      <c r="X836" s="9">
        <f t="shared" si="258"/>
        <v>1500.8000000000002</v>
      </c>
      <c r="Y836">
        <v>110.98</v>
      </c>
      <c r="Z836" s="10">
        <v>46135</v>
      </c>
      <c r="AA836" s="10">
        <v>46160</v>
      </c>
      <c r="AB836" s="10">
        <v>46160</v>
      </c>
      <c r="AC836" s="10">
        <v>46225</v>
      </c>
      <c r="AD836" s="31">
        <f t="shared" ca="1" si="265"/>
        <v>-25</v>
      </c>
      <c r="AE836" s="36" t="s">
        <v>2134</v>
      </c>
      <c r="AF836" t="s">
        <v>1967</v>
      </c>
      <c r="AG836" s="10" t="s">
        <v>78</v>
      </c>
      <c r="AI836" s="9" t="s">
        <v>53</v>
      </c>
      <c r="AM836" s="27" t="str">
        <f t="shared" si="266"/>
        <v>On time</v>
      </c>
      <c r="AN836" s="27" t="str">
        <f t="shared" ca="1" si="267"/>
        <v>Estoque</v>
      </c>
    </row>
    <row r="837" spans="4:42" hidden="1">
      <c r="D837" t="s">
        <v>2117</v>
      </c>
      <c r="E837" t="s">
        <v>2200</v>
      </c>
      <c r="F837" s="24"/>
      <c r="I837" s="26"/>
      <c r="J837" s="10"/>
      <c r="K837" s="10"/>
      <c r="L837" s="27" t="str">
        <f t="shared" si="243"/>
        <v xml:space="preserve"> </v>
      </c>
      <c r="M837" s="58"/>
      <c r="N837" s="27" t="str">
        <f t="shared" si="242"/>
        <v xml:space="preserve"> </v>
      </c>
      <c r="O837" s="27">
        <f t="shared" si="268"/>
        <v>0</v>
      </c>
      <c r="P837" s="28" t="str">
        <f t="shared" si="270"/>
        <v>On time</v>
      </c>
      <c r="Q837" s="27">
        <f t="shared" si="269"/>
        <v>0</v>
      </c>
      <c r="R837" s="29" t="s">
        <v>2075</v>
      </c>
      <c r="S837" s="12" t="s">
        <v>100</v>
      </c>
      <c r="T837" s="35">
        <v>47</v>
      </c>
      <c r="U837" t="s">
        <v>2117</v>
      </c>
      <c r="V837" s="27">
        <v>50</v>
      </c>
      <c r="W837" s="9">
        <v>11.09</v>
      </c>
      <c r="X837" s="9">
        <f t="shared" si="258"/>
        <v>554.5</v>
      </c>
      <c r="Y837">
        <v>3.34</v>
      </c>
      <c r="Z837" s="10">
        <v>46135</v>
      </c>
      <c r="AA837" s="10">
        <v>46160</v>
      </c>
      <c r="AB837" s="10">
        <v>46160</v>
      </c>
      <c r="AC837" s="10">
        <v>46225</v>
      </c>
      <c r="AD837" s="31">
        <f t="shared" ca="1" si="265"/>
        <v>-25</v>
      </c>
      <c r="AE837" s="36" t="s">
        <v>2134</v>
      </c>
      <c r="AF837" t="s">
        <v>1967</v>
      </c>
      <c r="AG837" s="10" t="s">
        <v>78</v>
      </c>
      <c r="AI837" s="9" t="s">
        <v>53</v>
      </c>
      <c r="AM837" s="27" t="str">
        <f t="shared" si="266"/>
        <v>On time</v>
      </c>
      <c r="AN837" s="27" t="str">
        <f t="shared" ca="1" si="267"/>
        <v>Estoque</v>
      </c>
    </row>
    <row r="838" spans="4:42" hidden="1">
      <c r="D838" t="s">
        <v>2118</v>
      </c>
      <c r="E838" t="s">
        <v>2201</v>
      </c>
      <c r="F838" s="24"/>
      <c r="I838" s="26"/>
      <c r="J838" s="10"/>
      <c r="K838" s="10"/>
      <c r="L838" s="27" t="str">
        <f t="shared" si="243"/>
        <v xml:space="preserve"> </v>
      </c>
      <c r="M838" s="58"/>
      <c r="N838" s="27" t="str">
        <f t="shared" si="242"/>
        <v xml:space="preserve"> </v>
      </c>
      <c r="O838" s="27">
        <f t="shared" si="268"/>
        <v>0</v>
      </c>
      <c r="P838" s="28" t="str">
        <f t="shared" si="270"/>
        <v>On time</v>
      </c>
      <c r="Q838" s="27">
        <f t="shared" si="269"/>
        <v>0</v>
      </c>
      <c r="R838" s="29" t="s">
        <v>2075</v>
      </c>
      <c r="S838" s="12" t="s">
        <v>100</v>
      </c>
      <c r="T838" s="35">
        <v>48</v>
      </c>
      <c r="U838" t="s">
        <v>2118</v>
      </c>
      <c r="V838" s="27">
        <v>10</v>
      </c>
      <c r="W838" s="9">
        <v>22.98</v>
      </c>
      <c r="X838" s="9">
        <f t="shared" si="258"/>
        <v>229.8</v>
      </c>
      <c r="Y838">
        <v>17.47</v>
      </c>
      <c r="Z838" s="10">
        <v>46135</v>
      </c>
      <c r="AA838" s="10">
        <v>46160</v>
      </c>
      <c r="AB838" s="10">
        <v>46160</v>
      </c>
      <c r="AC838" s="10">
        <v>46225</v>
      </c>
      <c r="AD838" s="31">
        <f t="shared" ca="1" si="265"/>
        <v>-25</v>
      </c>
      <c r="AE838" s="36" t="s">
        <v>2134</v>
      </c>
      <c r="AF838" t="s">
        <v>1967</v>
      </c>
      <c r="AG838" s="10" t="s">
        <v>78</v>
      </c>
      <c r="AI838" s="9" t="s">
        <v>53</v>
      </c>
      <c r="AM838" s="27" t="str">
        <f t="shared" si="266"/>
        <v>On time</v>
      </c>
      <c r="AN838" s="27" t="str">
        <f t="shared" ca="1" si="267"/>
        <v>Estoque</v>
      </c>
    </row>
    <row r="839" spans="4:42" hidden="1">
      <c r="D839" t="s">
        <v>2119</v>
      </c>
      <c r="E839" t="s">
        <v>2173</v>
      </c>
      <c r="F839" s="24"/>
      <c r="I839" s="26"/>
      <c r="J839" s="10"/>
      <c r="K839" s="10"/>
      <c r="L839" s="27" t="str">
        <f t="shared" si="243"/>
        <v xml:space="preserve"> </v>
      </c>
      <c r="M839" s="58"/>
      <c r="N839" s="27" t="str">
        <f t="shared" si="242"/>
        <v xml:space="preserve"> </v>
      </c>
      <c r="O839" s="27">
        <f t="shared" si="268"/>
        <v>0</v>
      </c>
      <c r="P839" s="28" t="str">
        <f t="shared" si="270"/>
        <v>On time</v>
      </c>
      <c r="Q839" s="27">
        <f t="shared" si="269"/>
        <v>0</v>
      </c>
      <c r="R839" s="29" t="s">
        <v>2075</v>
      </c>
      <c r="S839" s="12" t="s">
        <v>100</v>
      </c>
      <c r="T839" s="35">
        <v>49</v>
      </c>
      <c r="U839" t="s">
        <v>2119</v>
      </c>
      <c r="V839" s="27">
        <v>30</v>
      </c>
      <c r="W839" s="9">
        <v>113.98</v>
      </c>
      <c r="X839" s="9">
        <f t="shared" si="258"/>
        <v>3419.4</v>
      </c>
      <c r="Y839">
        <v>86.71</v>
      </c>
      <c r="Z839" s="10">
        <v>46135</v>
      </c>
      <c r="AA839" s="10">
        <v>46160</v>
      </c>
      <c r="AB839" s="10">
        <v>46160</v>
      </c>
      <c r="AC839" s="10">
        <v>46225</v>
      </c>
      <c r="AD839" s="31">
        <f t="shared" ca="1" si="265"/>
        <v>-25</v>
      </c>
      <c r="AE839" s="36" t="s">
        <v>2134</v>
      </c>
      <c r="AF839" t="s">
        <v>1967</v>
      </c>
      <c r="AG839" s="10" t="s">
        <v>78</v>
      </c>
      <c r="AI839" s="9" t="s">
        <v>53</v>
      </c>
      <c r="AM839" s="27" t="str">
        <f t="shared" si="266"/>
        <v>On time</v>
      </c>
      <c r="AN839" s="27" t="str">
        <f t="shared" ca="1" si="267"/>
        <v>Estoque</v>
      </c>
    </row>
    <row r="840" spans="4:42" hidden="1">
      <c r="D840" t="s">
        <v>2120</v>
      </c>
      <c r="E840" t="s">
        <v>2174</v>
      </c>
      <c r="F840" s="24"/>
      <c r="I840" s="26"/>
      <c r="J840" s="10"/>
      <c r="K840" s="10"/>
      <c r="L840" s="27" t="str">
        <f t="shared" si="243"/>
        <v xml:space="preserve"> </v>
      </c>
      <c r="M840" s="58"/>
      <c r="N840" s="27" t="str">
        <f t="shared" si="242"/>
        <v xml:space="preserve"> </v>
      </c>
      <c r="O840" s="27">
        <f t="shared" si="268"/>
        <v>0</v>
      </c>
      <c r="P840" s="28" t="str">
        <f t="shared" si="270"/>
        <v>On time</v>
      </c>
      <c r="Q840" s="27">
        <f t="shared" si="269"/>
        <v>0</v>
      </c>
      <c r="R840" s="29" t="s">
        <v>2075</v>
      </c>
      <c r="S840" s="12" t="s">
        <v>100</v>
      </c>
      <c r="T840" s="35">
        <v>50</v>
      </c>
      <c r="U840" t="s">
        <v>2120</v>
      </c>
      <c r="V840" s="27">
        <v>15</v>
      </c>
      <c r="W840" s="9">
        <v>20.329999999999998</v>
      </c>
      <c r="X840" s="9">
        <f t="shared" si="258"/>
        <v>304.95</v>
      </c>
      <c r="Y840">
        <v>16.399999999999999</v>
      </c>
      <c r="Z840" s="10">
        <v>46135</v>
      </c>
      <c r="AA840" s="10">
        <v>46160</v>
      </c>
      <c r="AB840" s="10">
        <v>46160</v>
      </c>
      <c r="AC840" s="10">
        <v>46225</v>
      </c>
      <c r="AD840" s="31">
        <f t="shared" ca="1" si="265"/>
        <v>-25</v>
      </c>
      <c r="AE840" s="36" t="s">
        <v>2134</v>
      </c>
      <c r="AF840" t="s">
        <v>1967</v>
      </c>
      <c r="AG840" s="10" t="s">
        <v>78</v>
      </c>
      <c r="AI840" s="9" t="s">
        <v>53</v>
      </c>
      <c r="AM840" s="27" t="str">
        <f t="shared" si="266"/>
        <v>On time</v>
      </c>
      <c r="AN840" s="27" t="str">
        <f t="shared" ca="1" si="267"/>
        <v>Estoque</v>
      </c>
    </row>
    <row r="841" spans="4:42" hidden="1">
      <c r="D841" t="s">
        <v>2121</v>
      </c>
      <c r="E841" t="s">
        <v>2175</v>
      </c>
      <c r="F841" s="24"/>
      <c r="I841" s="26"/>
      <c r="J841" s="10"/>
      <c r="K841" s="10"/>
      <c r="L841" s="27" t="str">
        <f t="shared" si="243"/>
        <v xml:space="preserve"> </v>
      </c>
      <c r="M841" s="58"/>
      <c r="N841" s="27"/>
      <c r="O841" s="27">
        <f t="shared" si="268"/>
        <v>0</v>
      </c>
      <c r="P841" s="28" t="str">
        <f t="shared" si="270"/>
        <v>On time</v>
      </c>
      <c r="Q841" s="27">
        <f t="shared" si="269"/>
        <v>0</v>
      </c>
      <c r="R841" s="29" t="s">
        <v>2075</v>
      </c>
      <c r="S841" s="12" t="s">
        <v>100</v>
      </c>
      <c r="T841" s="35">
        <v>51</v>
      </c>
      <c r="U841" t="s">
        <v>2121</v>
      </c>
      <c r="V841" s="27">
        <v>50</v>
      </c>
      <c r="W841" s="9">
        <v>7.11</v>
      </c>
      <c r="X841" s="9">
        <f t="shared" si="258"/>
        <v>355.5</v>
      </c>
      <c r="Y841">
        <v>5.07</v>
      </c>
      <c r="Z841" s="10">
        <v>46135</v>
      </c>
      <c r="AA841" s="10">
        <v>46160</v>
      </c>
      <c r="AB841" s="10">
        <v>46160</v>
      </c>
      <c r="AC841" s="10">
        <v>46225</v>
      </c>
      <c r="AD841" s="31">
        <f t="shared" ca="1" si="265"/>
        <v>-25</v>
      </c>
      <c r="AE841" s="36" t="s">
        <v>2134</v>
      </c>
      <c r="AF841" t="s">
        <v>1967</v>
      </c>
      <c r="AG841" s="10" t="s">
        <v>78</v>
      </c>
      <c r="AI841" s="9" t="s">
        <v>53</v>
      </c>
      <c r="AM841" s="27" t="str">
        <f t="shared" si="266"/>
        <v>On time</v>
      </c>
      <c r="AN841" s="27" t="str">
        <f t="shared" ca="1" si="267"/>
        <v>Estoque</v>
      </c>
    </row>
    <row r="842" spans="4:42" hidden="1">
      <c r="D842" t="s">
        <v>2122</v>
      </c>
      <c r="E842" t="s">
        <v>2176</v>
      </c>
      <c r="F842" s="24"/>
      <c r="I842" s="26"/>
      <c r="J842" s="10"/>
      <c r="K842" s="10"/>
      <c r="L842" s="27" t="str">
        <f t="shared" ref="L842:L844" si="271">IF(J842=0," ",IF(K842&lt;=J842+6,"On time","Atrasado"))</f>
        <v xml:space="preserve"> </v>
      </c>
      <c r="M842" s="58"/>
      <c r="N842" s="27"/>
      <c r="O842" s="27">
        <f t="shared" si="268"/>
        <v>0</v>
      </c>
      <c r="P842" s="28" t="str">
        <f t="shared" si="270"/>
        <v>On time</v>
      </c>
      <c r="Q842" s="27">
        <f t="shared" si="269"/>
        <v>0</v>
      </c>
      <c r="R842" s="29" t="s">
        <v>2075</v>
      </c>
      <c r="S842" s="12" t="s">
        <v>100</v>
      </c>
      <c r="T842" s="35">
        <v>52</v>
      </c>
      <c r="U842" t="s">
        <v>2122</v>
      </c>
      <c r="V842" s="27">
        <v>50</v>
      </c>
      <c r="W842" s="9">
        <v>10.68</v>
      </c>
      <c r="X842" s="9">
        <f t="shared" si="258"/>
        <v>534</v>
      </c>
      <c r="Y842">
        <v>8.34</v>
      </c>
      <c r="Z842" s="10">
        <v>46135</v>
      </c>
      <c r="AA842" s="10">
        <v>46160</v>
      </c>
      <c r="AB842" s="10">
        <v>46160</v>
      </c>
      <c r="AC842" s="10">
        <v>46225</v>
      </c>
      <c r="AD842" s="31">
        <f t="shared" ca="1" si="265"/>
        <v>-25</v>
      </c>
      <c r="AE842" s="36" t="s">
        <v>2134</v>
      </c>
      <c r="AF842" t="s">
        <v>1967</v>
      </c>
      <c r="AG842" s="10" t="s">
        <v>78</v>
      </c>
      <c r="AI842" s="9" t="s">
        <v>53</v>
      </c>
      <c r="AM842" s="27" t="str">
        <f t="shared" si="266"/>
        <v>On time</v>
      </c>
      <c r="AN842" s="27" t="str">
        <f t="shared" ca="1" si="267"/>
        <v>Estoque</v>
      </c>
    </row>
    <row r="843" spans="4:42" hidden="1">
      <c r="D843" t="s">
        <v>2123</v>
      </c>
      <c r="E843" t="s">
        <v>2177</v>
      </c>
      <c r="F843" s="24"/>
      <c r="I843" s="26"/>
      <c r="J843" s="10"/>
      <c r="K843" s="10"/>
      <c r="L843" s="27" t="str">
        <f t="shared" si="271"/>
        <v xml:space="preserve"> </v>
      </c>
      <c r="M843" s="58"/>
      <c r="N843" s="27"/>
      <c r="O843" s="27">
        <f t="shared" si="268"/>
        <v>0</v>
      </c>
      <c r="P843" s="28" t="str">
        <f t="shared" si="270"/>
        <v>On time</v>
      </c>
      <c r="Q843" s="27">
        <f t="shared" si="269"/>
        <v>0</v>
      </c>
      <c r="R843" s="29" t="s">
        <v>2075</v>
      </c>
      <c r="S843" s="12" t="s">
        <v>100</v>
      </c>
      <c r="T843" s="35">
        <v>53</v>
      </c>
      <c r="U843" t="s">
        <v>2123</v>
      </c>
      <c r="V843" s="27">
        <v>30</v>
      </c>
      <c r="W843" s="9">
        <v>21.01</v>
      </c>
      <c r="X843" s="9">
        <f t="shared" si="258"/>
        <v>630.30000000000007</v>
      </c>
      <c r="Y843">
        <v>17.04</v>
      </c>
      <c r="Z843" s="10">
        <v>46135</v>
      </c>
      <c r="AA843" s="10">
        <v>46160</v>
      </c>
      <c r="AB843" s="10">
        <v>46160</v>
      </c>
      <c r="AC843" s="10">
        <v>46225</v>
      </c>
      <c r="AD843" s="31">
        <f t="shared" ca="1" si="265"/>
        <v>-25</v>
      </c>
      <c r="AE843" s="36" t="s">
        <v>2134</v>
      </c>
      <c r="AF843" t="s">
        <v>1967</v>
      </c>
      <c r="AG843" s="10" t="s">
        <v>78</v>
      </c>
      <c r="AI843" s="9" t="s">
        <v>53</v>
      </c>
      <c r="AM843" s="27" t="str">
        <f t="shared" si="266"/>
        <v>On time</v>
      </c>
      <c r="AN843" s="27" t="str">
        <f t="shared" ca="1" si="267"/>
        <v>Estoque</v>
      </c>
    </row>
    <row r="844" spans="4:42" hidden="1">
      <c r="D844" t="s">
        <v>2124</v>
      </c>
      <c r="E844" t="s">
        <v>2178</v>
      </c>
      <c r="F844" s="24"/>
      <c r="I844" s="26"/>
      <c r="J844" s="10"/>
      <c r="K844" s="10"/>
      <c r="L844" s="27" t="str">
        <f t="shared" si="271"/>
        <v xml:space="preserve"> </v>
      </c>
      <c r="M844" s="58"/>
      <c r="N844" s="27"/>
      <c r="O844" s="27">
        <f t="shared" ref="O844:O853" si="272">M844-J844</f>
        <v>0</v>
      </c>
      <c r="P844" s="28" t="str">
        <f t="shared" ref="P844:P853" si="273">IF(Z844=0," ",IF(M844&gt;=Z844+6,"Atrasado","On time"))</f>
        <v>On time</v>
      </c>
      <c r="Q844" s="27">
        <f t="shared" ref="Q844:Q853" si="274">I844-J844</f>
        <v>0</v>
      </c>
      <c r="R844" s="29" t="s">
        <v>2075</v>
      </c>
      <c r="S844" s="12" t="s">
        <v>100</v>
      </c>
      <c r="T844" s="35">
        <v>54</v>
      </c>
      <c r="U844" t="s">
        <v>2124</v>
      </c>
      <c r="V844" s="27">
        <v>50</v>
      </c>
      <c r="W844" s="9">
        <v>43.58</v>
      </c>
      <c r="X844" s="9">
        <f t="shared" si="258"/>
        <v>2179</v>
      </c>
      <c r="Y844">
        <v>34.21</v>
      </c>
      <c r="Z844" s="10">
        <v>46135</v>
      </c>
      <c r="AA844" s="10">
        <v>46160</v>
      </c>
      <c r="AB844" s="10">
        <v>46160</v>
      </c>
      <c r="AC844" s="10">
        <v>46225</v>
      </c>
      <c r="AD844" s="31">
        <f t="shared" ca="1" si="265"/>
        <v>-25</v>
      </c>
      <c r="AE844" s="36" t="s">
        <v>2134</v>
      </c>
      <c r="AF844" t="s">
        <v>1967</v>
      </c>
      <c r="AG844" s="10" t="s">
        <v>78</v>
      </c>
      <c r="AI844" s="9" t="s">
        <v>53</v>
      </c>
      <c r="AM844" s="27" t="str">
        <f t="shared" si="266"/>
        <v>On time</v>
      </c>
      <c r="AN844" s="27" t="str">
        <f t="shared" ca="1" si="267"/>
        <v>Estoque</v>
      </c>
    </row>
    <row r="845" spans="4:42" hidden="1">
      <c r="D845" t="s">
        <v>2125</v>
      </c>
      <c r="E845" t="s">
        <v>2179</v>
      </c>
      <c r="F845" s="24"/>
      <c r="I845" s="26"/>
      <c r="J845" s="10"/>
      <c r="K845" s="10"/>
      <c r="L845" s="27"/>
      <c r="M845" s="58"/>
      <c r="N845" s="27"/>
      <c r="O845" s="27">
        <f t="shared" si="272"/>
        <v>0</v>
      </c>
      <c r="P845" s="28" t="str">
        <f t="shared" si="273"/>
        <v>On time</v>
      </c>
      <c r="Q845" s="27">
        <f t="shared" si="274"/>
        <v>0</v>
      </c>
      <c r="R845" s="29" t="s">
        <v>2075</v>
      </c>
      <c r="S845" s="12" t="s">
        <v>100</v>
      </c>
      <c r="T845" s="35">
        <v>55</v>
      </c>
      <c r="U845" t="s">
        <v>2125</v>
      </c>
      <c r="V845" s="27">
        <v>30</v>
      </c>
      <c r="W845" s="9">
        <v>66.12</v>
      </c>
      <c r="X845" s="9">
        <f t="shared" si="258"/>
        <v>1983.6000000000001</v>
      </c>
      <c r="Y845">
        <v>52.8</v>
      </c>
      <c r="Z845" s="10">
        <v>46135</v>
      </c>
      <c r="AA845" s="10">
        <v>46160</v>
      </c>
      <c r="AB845" s="10">
        <v>46160</v>
      </c>
      <c r="AC845" s="10">
        <v>46225</v>
      </c>
      <c r="AD845" s="31">
        <f t="shared" ca="1" si="265"/>
        <v>-25</v>
      </c>
      <c r="AE845" s="36" t="s">
        <v>2134</v>
      </c>
      <c r="AF845" t="s">
        <v>1967</v>
      </c>
      <c r="AG845" s="10" t="s">
        <v>78</v>
      </c>
      <c r="AI845" s="9" t="s">
        <v>53</v>
      </c>
      <c r="AM845" s="27" t="str">
        <f t="shared" si="266"/>
        <v>On time</v>
      </c>
      <c r="AN845" s="27" t="str">
        <f t="shared" ca="1" si="267"/>
        <v>Estoque</v>
      </c>
    </row>
    <row r="846" spans="4:42" hidden="1">
      <c r="D846" t="s">
        <v>2126</v>
      </c>
      <c r="E846" t="s">
        <v>2202</v>
      </c>
      <c r="F846" s="24"/>
      <c r="I846" s="26"/>
      <c r="J846" s="10"/>
      <c r="K846" s="10"/>
      <c r="L846" s="27"/>
      <c r="M846" s="58"/>
      <c r="N846" s="27"/>
      <c r="O846" s="27">
        <f t="shared" si="272"/>
        <v>0</v>
      </c>
      <c r="P846" s="28" t="str">
        <f t="shared" si="273"/>
        <v>On time</v>
      </c>
      <c r="Q846" s="27">
        <f t="shared" si="274"/>
        <v>0</v>
      </c>
      <c r="R846" s="29" t="s">
        <v>2075</v>
      </c>
      <c r="S846" s="12" t="s">
        <v>100</v>
      </c>
      <c r="T846" s="35">
        <v>56</v>
      </c>
      <c r="U846" t="s">
        <v>2126</v>
      </c>
      <c r="V846" s="27">
        <v>5</v>
      </c>
      <c r="W846" s="9">
        <v>72.650000000000006</v>
      </c>
      <c r="X846" s="9">
        <f t="shared" si="258"/>
        <v>363.25</v>
      </c>
      <c r="Y846">
        <v>63.5</v>
      </c>
      <c r="Z846" s="10">
        <v>46135</v>
      </c>
      <c r="AA846" s="10">
        <v>46160</v>
      </c>
      <c r="AB846" s="10">
        <v>46160</v>
      </c>
      <c r="AC846" s="10">
        <v>46225</v>
      </c>
      <c r="AD846" s="31">
        <f t="shared" ca="1" si="265"/>
        <v>-25</v>
      </c>
      <c r="AE846" s="36" t="s">
        <v>2134</v>
      </c>
      <c r="AF846" t="s">
        <v>1967</v>
      </c>
      <c r="AG846" s="10" t="s">
        <v>78</v>
      </c>
      <c r="AI846" s="9" t="s">
        <v>53</v>
      </c>
      <c r="AM846" s="27" t="str">
        <f t="shared" si="266"/>
        <v>On time</v>
      </c>
      <c r="AN846" s="27" t="str">
        <f t="shared" ca="1" si="267"/>
        <v>Estoque</v>
      </c>
      <c r="AP846" t="s">
        <v>2180</v>
      </c>
    </row>
    <row r="847" spans="4:42" hidden="1">
      <c r="D847" t="s">
        <v>2127</v>
      </c>
      <c r="E847" t="s">
        <v>2203</v>
      </c>
      <c r="F847" s="24"/>
      <c r="I847" s="26"/>
      <c r="J847" s="10"/>
      <c r="K847" s="10"/>
      <c r="L847" s="27"/>
      <c r="M847" s="58"/>
      <c r="N847" s="27"/>
      <c r="O847" s="27">
        <f t="shared" si="272"/>
        <v>0</v>
      </c>
      <c r="P847" s="28" t="str">
        <f t="shared" si="273"/>
        <v>On time</v>
      </c>
      <c r="Q847" s="27">
        <f t="shared" si="274"/>
        <v>0</v>
      </c>
      <c r="R847" s="29" t="s">
        <v>2075</v>
      </c>
      <c r="S847" s="12" t="s">
        <v>100</v>
      </c>
      <c r="T847" s="35">
        <v>57</v>
      </c>
      <c r="U847" t="s">
        <v>2127</v>
      </c>
      <c r="V847" s="27">
        <v>10</v>
      </c>
      <c r="W847" s="9">
        <v>157.81</v>
      </c>
      <c r="X847" s="9">
        <f t="shared" si="258"/>
        <v>1578.1</v>
      </c>
      <c r="Y847">
        <v>90.14</v>
      </c>
      <c r="Z847" s="10">
        <v>46135</v>
      </c>
      <c r="AA847" s="10">
        <v>46160</v>
      </c>
      <c r="AB847" s="10">
        <v>46160</v>
      </c>
      <c r="AC847" s="10">
        <v>46225</v>
      </c>
      <c r="AD847" s="31">
        <f t="shared" ca="1" si="265"/>
        <v>-25</v>
      </c>
      <c r="AE847" s="36" t="s">
        <v>2134</v>
      </c>
      <c r="AF847" t="s">
        <v>1967</v>
      </c>
      <c r="AG847" s="10" t="s">
        <v>78</v>
      </c>
      <c r="AI847" s="9" t="s">
        <v>53</v>
      </c>
      <c r="AM847" s="27" t="str">
        <f t="shared" si="266"/>
        <v>On time</v>
      </c>
      <c r="AN847" s="27" t="str">
        <f t="shared" ca="1" si="267"/>
        <v>Estoque</v>
      </c>
      <c r="AP847" t="s">
        <v>2180</v>
      </c>
    </row>
    <row r="848" spans="4:42" hidden="1">
      <c r="D848" t="s">
        <v>2128</v>
      </c>
      <c r="E848" t="s">
        <v>2204</v>
      </c>
      <c r="F848" s="24"/>
      <c r="I848" s="26"/>
      <c r="J848" s="10"/>
      <c r="K848" s="10"/>
      <c r="L848" s="27"/>
      <c r="M848" s="58"/>
      <c r="N848" s="27"/>
      <c r="O848" s="27">
        <f t="shared" si="272"/>
        <v>0</v>
      </c>
      <c r="P848" s="28" t="str">
        <f t="shared" si="273"/>
        <v>On time</v>
      </c>
      <c r="Q848" s="27">
        <f t="shared" si="274"/>
        <v>0</v>
      </c>
      <c r="R848" s="29" t="s">
        <v>2075</v>
      </c>
      <c r="S848" s="12" t="s">
        <v>100</v>
      </c>
      <c r="T848" s="35">
        <v>58</v>
      </c>
      <c r="U848" t="s">
        <v>2128</v>
      </c>
      <c r="V848" s="27">
        <v>150</v>
      </c>
      <c r="W848" s="9">
        <v>3.88</v>
      </c>
      <c r="X848" s="9">
        <f t="shared" si="258"/>
        <v>582</v>
      </c>
      <c r="Y848">
        <v>2.16</v>
      </c>
      <c r="Z848" s="10">
        <v>46135</v>
      </c>
      <c r="AA848" s="10">
        <v>46160</v>
      </c>
      <c r="AB848" s="10">
        <v>46160</v>
      </c>
      <c r="AC848" s="10">
        <v>46225</v>
      </c>
      <c r="AD848" s="31">
        <f t="shared" ca="1" si="265"/>
        <v>-25</v>
      </c>
      <c r="AE848" s="36" t="s">
        <v>2134</v>
      </c>
      <c r="AF848" t="s">
        <v>1967</v>
      </c>
      <c r="AG848" s="10" t="s">
        <v>78</v>
      </c>
      <c r="AI848" s="9" t="s">
        <v>53</v>
      </c>
      <c r="AM848" s="27" t="str">
        <f t="shared" si="266"/>
        <v>On time</v>
      </c>
      <c r="AN848" s="27" t="str">
        <f t="shared" ca="1" si="267"/>
        <v>Estoque</v>
      </c>
      <c r="AP848" t="s">
        <v>2180</v>
      </c>
    </row>
    <row r="849" spans="4:42" hidden="1">
      <c r="D849" t="s">
        <v>2129</v>
      </c>
      <c r="E849" t="s">
        <v>2205</v>
      </c>
      <c r="F849" s="24"/>
      <c r="I849" s="26"/>
      <c r="J849" s="10"/>
      <c r="K849" s="10"/>
      <c r="L849" s="27"/>
      <c r="M849" s="58"/>
      <c r="N849" s="27"/>
      <c r="O849" s="27">
        <f t="shared" si="272"/>
        <v>0</v>
      </c>
      <c r="P849" s="28" t="str">
        <f t="shared" si="273"/>
        <v>On time</v>
      </c>
      <c r="Q849" s="27">
        <f t="shared" si="274"/>
        <v>0</v>
      </c>
      <c r="R849" s="29" t="s">
        <v>2075</v>
      </c>
      <c r="S849" s="12" t="s">
        <v>100</v>
      </c>
      <c r="T849" s="35">
        <v>59</v>
      </c>
      <c r="U849" t="s">
        <v>2129</v>
      </c>
      <c r="V849" s="27">
        <v>150</v>
      </c>
      <c r="W849" s="9">
        <v>7.77</v>
      </c>
      <c r="X849" s="9">
        <f t="shared" si="258"/>
        <v>1165.5</v>
      </c>
      <c r="Y849">
        <v>5.07</v>
      </c>
      <c r="Z849" s="10">
        <v>46135</v>
      </c>
      <c r="AA849" s="10">
        <v>46160</v>
      </c>
      <c r="AB849" s="10">
        <v>46160</v>
      </c>
      <c r="AC849" s="10">
        <v>46225</v>
      </c>
      <c r="AD849" s="31">
        <f t="shared" ca="1" si="265"/>
        <v>-25</v>
      </c>
      <c r="AE849" s="36" t="s">
        <v>2134</v>
      </c>
      <c r="AF849" t="s">
        <v>1967</v>
      </c>
      <c r="AG849" s="10" t="s">
        <v>78</v>
      </c>
      <c r="AI849" s="9" t="s">
        <v>53</v>
      </c>
      <c r="AM849" s="27" t="str">
        <f t="shared" si="266"/>
        <v>On time</v>
      </c>
      <c r="AN849" s="27" t="str">
        <f t="shared" ca="1" si="267"/>
        <v>Estoque</v>
      </c>
      <c r="AP849" t="s">
        <v>2180</v>
      </c>
    </row>
    <row r="850" spans="4:42" hidden="1">
      <c r="D850" t="s">
        <v>2130</v>
      </c>
      <c r="E850" t="s">
        <v>2206</v>
      </c>
      <c r="F850" s="24"/>
      <c r="I850" s="26"/>
      <c r="J850" s="10"/>
      <c r="K850" s="10"/>
      <c r="L850" s="27"/>
      <c r="M850" s="58"/>
      <c r="N850" s="27"/>
      <c r="O850" s="27">
        <f t="shared" si="272"/>
        <v>0</v>
      </c>
      <c r="P850" s="28" t="str">
        <f t="shared" si="273"/>
        <v>On time</v>
      </c>
      <c r="Q850" s="27">
        <f t="shared" si="274"/>
        <v>0</v>
      </c>
      <c r="R850" s="29" t="s">
        <v>2075</v>
      </c>
      <c r="S850" s="12" t="s">
        <v>100</v>
      </c>
      <c r="T850" s="35">
        <v>60</v>
      </c>
      <c r="U850" t="s">
        <v>2130</v>
      </c>
      <c r="V850" s="27">
        <v>30</v>
      </c>
      <c r="W850" s="9">
        <v>23.34</v>
      </c>
      <c r="X850" s="9">
        <f t="shared" si="258"/>
        <v>700.2</v>
      </c>
      <c r="Y850">
        <v>20.5</v>
      </c>
      <c r="Z850" s="10">
        <v>46135</v>
      </c>
      <c r="AA850" s="10">
        <v>46160</v>
      </c>
      <c r="AB850" s="10">
        <v>46160</v>
      </c>
      <c r="AC850" s="10">
        <v>46225</v>
      </c>
      <c r="AD850" s="31">
        <f t="shared" ca="1" si="265"/>
        <v>-25</v>
      </c>
      <c r="AE850" s="36" t="s">
        <v>2134</v>
      </c>
      <c r="AF850" t="s">
        <v>1967</v>
      </c>
      <c r="AG850" s="10" t="s">
        <v>78</v>
      </c>
      <c r="AI850" s="9" t="s">
        <v>53</v>
      </c>
      <c r="AM850" s="27" t="str">
        <f t="shared" si="266"/>
        <v>On time</v>
      </c>
      <c r="AN850" s="27" t="str">
        <f t="shared" ca="1" si="267"/>
        <v>Estoque</v>
      </c>
      <c r="AP850" t="s">
        <v>2180</v>
      </c>
    </row>
    <row r="851" spans="4:42" hidden="1">
      <c r="D851" t="s">
        <v>2131</v>
      </c>
      <c r="E851" t="s">
        <v>2207</v>
      </c>
      <c r="F851" s="24"/>
      <c r="I851" s="26"/>
      <c r="J851" s="10"/>
      <c r="K851" s="10"/>
      <c r="L851" s="27"/>
      <c r="M851" s="58"/>
      <c r="N851" s="27"/>
      <c r="O851" s="27">
        <f t="shared" si="272"/>
        <v>0</v>
      </c>
      <c r="P851" s="28" t="str">
        <f t="shared" si="273"/>
        <v>On time</v>
      </c>
      <c r="Q851" s="27">
        <f t="shared" si="274"/>
        <v>0</v>
      </c>
      <c r="R851" s="29" t="s">
        <v>2075</v>
      </c>
      <c r="S851" s="12" t="s">
        <v>100</v>
      </c>
      <c r="T851" s="35">
        <v>61</v>
      </c>
      <c r="U851" t="s">
        <v>2131</v>
      </c>
      <c r="V851" s="27">
        <v>20</v>
      </c>
      <c r="W851" s="9">
        <v>9.91</v>
      </c>
      <c r="X851" s="9">
        <f t="shared" si="258"/>
        <v>198.2</v>
      </c>
      <c r="Y851">
        <v>7.58</v>
      </c>
      <c r="Z851" s="10">
        <v>46135</v>
      </c>
      <c r="AA851" s="10">
        <v>46160</v>
      </c>
      <c r="AB851" s="10">
        <v>46160</v>
      </c>
      <c r="AC851" s="10">
        <v>46225</v>
      </c>
      <c r="AD851" s="31">
        <f t="shared" ca="1" si="265"/>
        <v>-25</v>
      </c>
      <c r="AE851" s="36" t="s">
        <v>2134</v>
      </c>
      <c r="AF851" t="s">
        <v>1967</v>
      </c>
      <c r="AG851" s="10" t="s">
        <v>78</v>
      </c>
      <c r="AI851" s="9" t="s">
        <v>53</v>
      </c>
      <c r="AM851" s="27" t="str">
        <f t="shared" si="266"/>
        <v>On time</v>
      </c>
      <c r="AN851" s="27" t="str">
        <f t="shared" ca="1" si="267"/>
        <v>Estoque</v>
      </c>
      <c r="AP851" t="s">
        <v>2180</v>
      </c>
    </row>
    <row r="852" spans="4:42" hidden="1">
      <c r="D852" t="s">
        <v>2132</v>
      </c>
      <c r="E852" t="s">
        <v>2208</v>
      </c>
      <c r="I852" s="26"/>
      <c r="O852" s="27">
        <f t="shared" si="272"/>
        <v>0</v>
      </c>
      <c r="P852" s="28" t="str">
        <f t="shared" si="273"/>
        <v>On time</v>
      </c>
      <c r="Q852" s="27">
        <f t="shared" si="274"/>
        <v>0</v>
      </c>
      <c r="R852" s="29" t="s">
        <v>2075</v>
      </c>
      <c r="S852" s="12" t="s">
        <v>100</v>
      </c>
      <c r="T852" s="35">
        <v>62</v>
      </c>
      <c r="U852" t="s">
        <v>2132</v>
      </c>
      <c r="V852" s="27">
        <v>20</v>
      </c>
      <c r="W852" s="9">
        <v>32.68</v>
      </c>
      <c r="X852" s="9">
        <f t="shared" ref="X852:X853" si="275">W852*V852</f>
        <v>653.6</v>
      </c>
      <c r="Y852" s="108">
        <v>25.63</v>
      </c>
      <c r="Z852" s="10">
        <v>46135</v>
      </c>
      <c r="AA852" s="10">
        <v>46160</v>
      </c>
      <c r="AB852" s="10">
        <v>46160</v>
      </c>
      <c r="AC852" s="10">
        <v>46225</v>
      </c>
      <c r="AD852" s="31">
        <f t="shared" ca="1" si="265"/>
        <v>-25</v>
      </c>
      <c r="AE852" t="s">
        <v>2134</v>
      </c>
      <c r="AF852" t="s">
        <v>1967</v>
      </c>
      <c r="AG852" s="10" t="s">
        <v>78</v>
      </c>
      <c r="AI852" s="9" t="s">
        <v>53</v>
      </c>
      <c r="AM852" s="27" t="str">
        <f t="shared" si="266"/>
        <v>On time</v>
      </c>
      <c r="AN852" s="27" t="str">
        <f t="shared" ca="1" si="267"/>
        <v>Estoque</v>
      </c>
      <c r="AP852" s="109" t="s">
        <v>2180</v>
      </c>
    </row>
    <row r="853" spans="4:42" hidden="1">
      <c r="D853" t="s">
        <v>2133</v>
      </c>
      <c r="E853" t="s">
        <v>2209</v>
      </c>
      <c r="I853" s="26"/>
      <c r="O853" s="27">
        <f t="shared" si="272"/>
        <v>0</v>
      </c>
      <c r="P853" s="28" t="str">
        <f t="shared" si="273"/>
        <v>On time</v>
      </c>
      <c r="Q853" s="27">
        <f t="shared" si="274"/>
        <v>0</v>
      </c>
      <c r="R853" s="29" t="s">
        <v>2075</v>
      </c>
      <c r="S853" s="12" t="s">
        <v>100</v>
      </c>
      <c r="T853" s="35">
        <v>63</v>
      </c>
      <c r="U853" t="s">
        <v>2133</v>
      </c>
      <c r="V853" s="27">
        <v>5</v>
      </c>
      <c r="W853" s="9">
        <v>224.34</v>
      </c>
      <c r="X853" s="9">
        <f t="shared" si="275"/>
        <v>1121.7</v>
      </c>
      <c r="Y853" s="108">
        <v>170.37</v>
      </c>
      <c r="Z853" s="10">
        <v>46135</v>
      </c>
      <c r="AA853" s="10">
        <v>46160</v>
      </c>
      <c r="AB853" s="10">
        <v>46160</v>
      </c>
      <c r="AC853" s="10">
        <v>46225</v>
      </c>
      <c r="AD853" s="31">
        <f t="shared" ca="1" si="265"/>
        <v>-25</v>
      </c>
      <c r="AE853" t="s">
        <v>2134</v>
      </c>
      <c r="AF853" t="s">
        <v>1967</v>
      </c>
      <c r="AG853" s="10" t="s">
        <v>78</v>
      </c>
      <c r="AI853" s="9" t="s">
        <v>53</v>
      </c>
      <c r="AM853" s="27" t="str">
        <f t="shared" si="266"/>
        <v>On time</v>
      </c>
      <c r="AN853" s="27" t="str">
        <f t="shared" ca="1" si="267"/>
        <v>Estoque</v>
      </c>
      <c r="AP853" s="109" t="s">
        <v>2180</v>
      </c>
    </row>
  </sheetData>
  <autoFilter ref="A2:AQ853" xr:uid="{07C73BCB-2ECA-44E5-89A7-4706D86D00F2}">
    <filterColumn colId="17">
      <filters>
        <filter val="001.627"/>
      </filters>
    </filterColumn>
    <filterColumn colId="18">
      <filters>
        <filter val="JNDIA"/>
      </filters>
    </filterColumn>
  </autoFilter>
  <mergeCells count="97">
    <mergeCell ref="X53:X54"/>
    <mergeCell ref="V53:V54"/>
    <mergeCell ref="V502:V503"/>
    <mergeCell ref="X502:X503"/>
    <mergeCell ref="X96:X97"/>
    <mergeCell ref="X99:X100"/>
    <mergeCell ref="V233:V234"/>
    <mergeCell ref="V111:V112"/>
    <mergeCell ref="X111:X112"/>
    <mergeCell ref="V167:V169"/>
    <mergeCell ref="V346:V347"/>
    <mergeCell ref="X346:X347"/>
    <mergeCell ref="T182:T184"/>
    <mergeCell ref="V269:V270"/>
    <mergeCell ref="X269:X270"/>
    <mergeCell ref="V516:V524"/>
    <mergeCell ref="X516:X524"/>
    <mergeCell ref="U188:U193"/>
    <mergeCell ref="Y182:Y184"/>
    <mergeCell ref="Y179:Y180"/>
    <mergeCell ref="Y171:Y172"/>
    <mergeCell ref="Y167:Y169"/>
    <mergeCell ref="Y188:Y193"/>
    <mergeCell ref="U179:U180"/>
    <mergeCell ref="U182:U184"/>
    <mergeCell ref="V182:V184"/>
    <mergeCell ref="T171:T172"/>
    <mergeCell ref="V342:V343"/>
    <mergeCell ref="X342:X343"/>
    <mergeCell ref="X171:X172"/>
    <mergeCell ref="T179:T180"/>
    <mergeCell ref="U171:U172"/>
    <mergeCell ref="V171:V172"/>
    <mergeCell ref="X275:X276"/>
    <mergeCell ref="V188:V193"/>
    <mergeCell ref="X188:X193"/>
    <mergeCell ref="V264:V265"/>
    <mergeCell ref="X182:X184"/>
    <mergeCell ref="X233:X234"/>
    <mergeCell ref="T188:T193"/>
    <mergeCell ref="A1:Q1"/>
    <mergeCell ref="R1:AH1"/>
    <mergeCell ref="AI1:AN1"/>
    <mergeCell ref="V39:V40"/>
    <mergeCell ref="V179:V180"/>
    <mergeCell ref="X179:X180"/>
    <mergeCell ref="V132:V134"/>
    <mergeCell ref="X132:X134"/>
    <mergeCell ref="X143:X145"/>
    <mergeCell ref="V96:V97"/>
    <mergeCell ref="V99:V100"/>
    <mergeCell ref="T132:T134"/>
    <mergeCell ref="U132:U134"/>
    <mergeCell ref="T143:T145"/>
    <mergeCell ref="X39:X40"/>
    <mergeCell ref="T111:T112"/>
    <mergeCell ref="T167:T169"/>
    <mergeCell ref="U167:U169"/>
    <mergeCell ref="U143:U145"/>
    <mergeCell ref="V143:V145"/>
    <mergeCell ref="X167:X169"/>
    <mergeCell ref="T159:T160"/>
    <mergeCell ref="U159:U160"/>
    <mergeCell ref="V159:V160"/>
    <mergeCell ref="X159:X160"/>
    <mergeCell ref="T129:T130"/>
    <mergeCell ref="U129:U130"/>
    <mergeCell ref="V129:V130"/>
    <mergeCell ref="X129:X130"/>
    <mergeCell ref="T140:T141"/>
    <mergeCell ref="U140:U141"/>
    <mergeCell ref="V140:V141"/>
    <mergeCell ref="X140:X141"/>
    <mergeCell ref="Y85:Y86"/>
    <mergeCell ref="Y87:Y88"/>
    <mergeCell ref="Y89:Y90"/>
    <mergeCell ref="X410:X411"/>
    <mergeCell ref="V410:V411"/>
    <mergeCell ref="V235:V236"/>
    <mergeCell ref="X235:X236"/>
    <mergeCell ref="Y233:Y234"/>
    <mergeCell ref="Y111:Y112"/>
    <mergeCell ref="Y159:Y160"/>
    <mergeCell ref="Y143:Y145"/>
    <mergeCell ref="Y132:Y134"/>
    <mergeCell ref="Y129:Y130"/>
    <mergeCell ref="Y140:Y141"/>
    <mergeCell ref="V782:V783"/>
    <mergeCell ref="X782:X783"/>
    <mergeCell ref="V275:V276"/>
    <mergeCell ref="V85:V86"/>
    <mergeCell ref="X85:X86"/>
    <mergeCell ref="V87:V88"/>
    <mergeCell ref="X87:X88"/>
    <mergeCell ref="V89:V90"/>
    <mergeCell ref="X89:X90"/>
    <mergeCell ref="X264:X265"/>
  </mergeCells>
  <phoneticPr fontId="25" type="noConversion"/>
  <conditionalFormatting sqref="N2:N851">
    <cfRule type="containsText" dxfId="16" priority="108" operator="containsText" text="On time">
      <formula>NOT(ISERROR(SEARCH("On time",N2)))</formula>
    </cfRule>
    <cfRule type="containsText" dxfId="15" priority="109" operator="containsText" text="Atrasado">
      <formula>NOT(ISERROR(SEARCH("Atrasado",N2)))</formula>
    </cfRule>
  </conditionalFormatting>
  <conditionalFormatting sqref="AN1:AO1048576">
    <cfRule type="containsText" dxfId="14" priority="72" operator="containsText" text="Chegou">
      <formula>NOT(ISERROR(SEARCH("Chegou",AN1)))</formula>
    </cfRule>
    <cfRule type="containsText" dxfId="13" priority="73" operator="containsText" text="Estoque">
      <formula>NOT(ISERROR(SEARCH("Estoque",AN1)))</formula>
    </cfRule>
    <cfRule type="containsText" dxfId="12" priority="74" operator="containsText" text="Alerta">
      <formula>NOT(ISERROR(SEARCH("Alerta",AN1)))</formula>
    </cfRule>
    <cfRule type="containsText" dxfId="11" priority="75" operator="containsText" text="Verificar aéreo">
      <formula>NOT(ISERROR(SEARCH("Verificar aéreo",AN1)))</formula>
    </cfRule>
    <cfRule type="containsText" dxfId="10" priority="76" operator="containsText" text="Crítico">
      <formula>NOT(ISERROR(SEARCH("Crítico",AN1)))</formula>
    </cfRule>
    <cfRule type="containsText" dxfId="9" priority="77" operator="containsText" text="Atrasado">
      <formula>NOT(ISERROR(SEARCH("Atrasado",AN1)))</formula>
    </cfRule>
    <cfRule type="containsText" dxfId="8" priority="78" operator="containsText" text="Verificar aéreo">
      <formula>NOT(ISERROR(SEARCH("Verificar aéreo",AN1)))</formula>
    </cfRule>
    <cfRule type="containsText" dxfId="7" priority="79" operator="containsText" text="No prazo">
      <formula>NOT(ISERROR(SEARCH("No prazo",AN1)))</formula>
    </cfRule>
  </conditionalFormatting>
  <conditionalFormatting sqref="AO1:AO1048576">
    <cfRule type="containsText" dxfId="6" priority="1" operator="containsText" text="Chegou HCI">
      <formula>NOT(ISERROR(SEARCH("Chegou HCI",AO1)))</formula>
    </cfRule>
    <cfRule type="containsText" priority="2" operator="containsText" text="Chegou HCI">
      <formula>NOT(ISERROR(SEARCH("Chegou HCI",AO1)))</formula>
    </cfRule>
    <cfRule type="containsText" dxfId="5" priority="3" operator="containsText" text="Ag. booking">
      <formula>NOT(ISERROR(SEARCH("Ag. booking",AO1)))</formula>
    </cfRule>
    <cfRule type="containsText" dxfId="4" priority="4" operator="containsText" text="Ag. embarque">
      <formula>NOT(ISERROR(SEARCH("Ag. embarque",AO1)))</formula>
    </cfRule>
    <cfRule type="containsText" dxfId="3" priority="5" operator="containsText" text="Embarcado">
      <formula>NOT(ISERROR(SEARCH("Embarcado",AO1)))</formula>
    </cfRule>
  </conditionalFormatting>
  <conditionalFormatting sqref="AP2:AQ2">
    <cfRule type="containsText" dxfId="2" priority="115" operator="containsText" text="Atrasado">
      <formula>NOT(ISERROR(SEARCH("Atrasado",AP2)))</formula>
    </cfRule>
    <cfRule type="containsText" dxfId="1" priority="116" operator="containsText" text="Verificar aéreo">
      <formula>NOT(ISERROR(SEARCH("Verificar aéreo",AP2)))</formula>
    </cfRule>
    <cfRule type="containsText" dxfId="0" priority="117" operator="containsText" text="No prazo">
      <formula>NOT(ISERROR(SEARCH("No prazo",AP2)))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D9E6-9C48-430B-84D2-DE548CAD9043}">
  <dimension ref="A1:E5"/>
  <sheetViews>
    <sheetView workbookViewId="0">
      <selection activeCell="E1" sqref="A1:E5"/>
    </sheetView>
  </sheetViews>
  <sheetFormatPr defaultRowHeight="15"/>
  <cols>
    <col min="3" max="3" width="18.85546875" bestFit="1" customWidth="1"/>
    <col min="4" max="4" width="49.28515625" bestFit="1" customWidth="1"/>
    <col min="5" max="5" width="10.42578125" customWidth="1"/>
  </cols>
  <sheetData>
    <row r="1" spans="1:5">
      <c r="A1" s="3" t="s">
        <v>3</v>
      </c>
      <c r="B1" s="22" t="s">
        <v>1</v>
      </c>
      <c r="C1" s="3" t="s">
        <v>2041</v>
      </c>
      <c r="D1" s="3" t="s">
        <v>2058</v>
      </c>
      <c r="E1" s="22" t="s">
        <v>58</v>
      </c>
    </row>
    <row r="2" spans="1:5">
      <c r="A2" s="77" t="s">
        <v>1273</v>
      </c>
      <c r="B2" s="78">
        <v>41</v>
      </c>
      <c r="C2" s="5" t="s">
        <v>1146</v>
      </c>
      <c r="D2" s="76" t="s">
        <v>2056</v>
      </c>
      <c r="E2" s="75">
        <v>20</v>
      </c>
    </row>
    <row r="3" spans="1:5">
      <c r="A3" s="77" t="s">
        <v>1273</v>
      </c>
      <c r="B3" s="78">
        <v>153</v>
      </c>
      <c r="C3" s="5" t="s">
        <v>1258</v>
      </c>
      <c r="D3" s="76" t="s">
        <v>2054</v>
      </c>
      <c r="E3" s="75">
        <v>30</v>
      </c>
    </row>
    <row r="4" spans="1:5">
      <c r="A4" s="77" t="s">
        <v>1273</v>
      </c>
      <c r="B4" s="78">
        <v>162</v>
      </c>
      <c r="C4" s="5" t="s">
        <v>1267</v>
      </c>
      <c r="D4" s="76" t="s">
        <v>2057</v>
      </c>
      <c r="E4" s="75">
        <v>49</v>
      </c>
    </row>
    <row r="5" spans="1:5">
      <c r="A5" s="77" t="s">
        <v>1273</v>
      </c>
      <c r="B5" s="78">
        <v>167</v>
      </c>
      <c r="C5" s="5" t="s">
        <v>1271</v>
      </c>
      <c r="D5" s="76" t="s">
        <v>2055</v>
      </c>
      <c r="E5" s="75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6BF3-C4F6-4872-A9CC-C548CE1EBC4C}">
  <sheetPr codeName="Planilha4"/>
  <dimension ref="A1:O9"/>
  <sheetViews>
    <sheetView workbookViewId="0">
      <selection activeCell="H38" sqref="H38"/>
    </sheetView>
  </sheetViews>
  <sheetFormatPr defaultRowHeight="15"/>
  <cols>
    <col min="3" max="3" width="18.5703125" bestFit="1" customWidth="1"/>
    <col min="4" max="4" width="4.42578125" bestFit="1" customWidth="1"/>
    <col min="6" max="6" width="10.42578125" bestFit="1" customWidth="1"/>
    <col min="7" max="7" width="14.7109375" customWidth="1"/>
    <col min="8" max="8" width="9.140625" style="12"/>
    <col min="9" max="9" width="14.140625" bestFit="1" customWidth="1"/>
    <col min="10" max="10" width="19.42578125" bestFit="1" customWidth="1"/>
    <col min="11" max="12" width="19.42578125" customWidth="1"/>
    <col min="13" max="13" width="20.7109375" bestFit="1" customWidth="1"/>
    <col min="14" max="14" width="19.5703125" customWidth="1"/>
    <col min="15" max="15" width="14.7109375" bestFit="1" customWidth="1"/>
  </cols>
  <sheetData>
    <row r="1" spans="1:15" s="16" customFormat="1">
      <c r="A1" s="87" t="s">
        <v>92</v>
      </c>
      <c r="B1" s="88"/>
      <c r="C1" s="88"/>
      <c r="D1" s="88"/>
      <c r="E1" s="88"/>
      <c r="F1" s="88"/>
      <c r="G1" s="89"/>
      <c r="H1" s="100" t="s">
        <v>93</v>
      </c>
      <c r="I1" s="101"/>
      <c r="J1" s="101"/>
      <c r="K1" s="101"/>
      <c r="L1" s="101"/>
      <c r="M1" s="101"/>
    </row>
    <row r="2" spans="1:15" s="16" customFormat="1">
      <c r="A2" s="1" t="s">
        <v>0</v>
      </c>
      <c r="B2" s="1" t="s">
        <v>1</v>
      </c>
      <c r="C2" s="1" t="s">
        <v>2</v>
      </c>
      <c r="D2" s="1" t="s">
        <v>58</v>
      </c>
      <c r="E2" s="1" t="s">
        <v>20</v>
      </c>
      <c r="F2" s="1" t="s">
        <v>104</v>
      </c>
      <c r="G2" s="1" t="s">
        <v>105</v>
      </c>
      <c r="H2" s="17" t="s">
        <v>3</v>
      </c>
      <c r="I2" s="18" t="s">
        <v>80</v>
      </c>
      <c r="J2" s="18" t="s">
        <v>2</v>
      </c>
      <c r="K2" s="18" t="s">
        <v>58</v>
      </c>
      <c r="L2" s="18" t="s">
        <v>103</v>
      </c>
      <c r="M2" s="18" t="s">
        <v>108</v>
      </c>
      <c r="N2" s="19" t="s">
        <v>91</v>
      </c>
      <c r="O2" s="56" t="s">
        <v>225</v>
      </c>
    </row>
    <row r="3" spans="1:15">
      <c r="A3" s="5">
        <v>502964</v>
      </c>
      <c r="B3" s="7" t="s">
        <v>106</v>
      </c>
      <c r="C3" s="5" t="s">
        <v>94</v>
      </c>
      <c r="D3" s="5">
        <v>1</v>
      </c>
      <c r="E3" s="5" t="s">
        <v>97</v>
      </c>
      <c r="F3" s="6">
        <v>46080</v>
      </c>
      <c r="G3" s="15">
        <v>2452.38</v>
      </c>
      <c r="H3" s="103" t="s">
        <v>99</v>
      </c>
      <c r="I3" s="102" t="s">
        <v>100</v>
      </c>
      <c r="J3" s="102" t="s">
        <v>101</v>
      </c>
      <c r="K3" s="102">
        <v>10</v>
      </c>
      <c r="L3" s="99">
        <v>46031</v>
      </c>
      <c r="M3" s="99">
        <v>46046</v>
      </c>
      <c r="N3" s="99">
        <v>46031</v>
      </c>
      <c r="O3" s="5">
        <v>215548</v>
      </c>
    </row>
    <row r="4" spans="1:15">
      <c r="A4" s="5">
        <v>502964</v>
      </c>
      <c r="B4" s="7" t="s">
        <v>107</v>
      </c>
      <c r="C4" s="5" t="s">
        <v>95</v>
      </c>
      <c r="D4" s="5">
        <v>2</v>
      </c>
      <c r="E4" s="5" t="s">
        <v>97</v>
      </c>
      <c r="F4" s="6">
        <v>46080</v>
      </c>
      <c r="G4" s="15">
        <v>2436.16</v>
      </c>
      <c r="H4" s="103"/>
      <c r="I4" s="102"/>
      <c r="J4" s="102"/>
      <c r="K4" s="102"/>
      <c r="L4" s="99"/>
      <c r="M4" s="99"/>
      <c r="N4" s="99"/>
      <c r="O4" s="5">
        <v>215557</v>
      </c>
    </row>
    <row r="5" spans="1:15">
      <c r="A5" s="5">
        <v>507625</v>
      </c>
      <c r="B5" s="7">
        <v>1</v>
      </c>
      <c r="C5" s="5" t="s">
        <v>96</v>
      </c>
      <c r="D5" s="5">
        <v>2</v>
      </c>
      <c r="E5" s="5" t="s">
        <v>98</v>
      </c>
      <c r="F5" s="6">
        <v>46146</v>
      </c>
      <c r="G5" s="15">
        <v>3300.21</v>
      </c>
      <c r="H5" s="103"/>
      <c r="I5" s="102"/>
      <c r="J5" s="5" t="s">
        <v>102</v>
      </c>
      <c r="K5" s="7">
        <v>10</v>
      </c>
      <c r="L5" s="99"/>
      <c r="M5" s="99"/>
      <c r="N5" s="99"/>
      <c r="O5" s="5">
        <v>215555</v>
      </c>
    </row>
    <row r="6" spans="1:15" ht="14.25" customHeight="1">
      <c r="A6" s="5">
        <v>497298</v>
      </c>
      <c r="B6" s="7" t="s">
        <v>132</v>
      </c>
      <c r="C6" s="5" t="s">
        <v>133</v>
      </c>
      <c r="D6" s="5">
        <v>3</v>
      </c>
      <c r="E6" s="5" t="s">
        <v>130</v>
      </c>
      <c r="F6" s="6">
        <v>46111</v>
      </c>
      <c r="G6" s="15">
        <v>1248</v>
      </c>
      <c r="H6" s="103"/>
      <c r="I6" s="102"/>
      <c r="J6" s="11" t="s">
        <v>135</v>
      </c>
      <c r="K6" s="7">
        <v>15</v>
      </c>
      <c r="L6" s="99"/>
      <c r="M6" s="99"/>
      <c r="N6" s="6">
        <v>46042</v>
      </c>
      <c r="O6" s="5">
        <v>215715</v>
      </c>
    </row>
    <row r="7" spans="1:15" ht="14.25" customHeight="1">
      <c r="A7" s="5">
        <v>509599</v>
      </c>
      <c r="B7" s="7" t="s">
        <v>220</v>
      </c>
      <c r="C7" s="5" t="s">
        <v>219</v>
      </c>
      <c r="D7" s="5">
        <v>2</v>
      </c>
      <c r="E7" s="5" t="s">
        <v>25</v>
      </c>
      <c r="F7" s="6">
        <v>46288</v>
      </c>
      <c r="G7" s="15">
        <v>4839.8999999999996</v>
      </c>
      <c r="H7" s="11" t="s">
        <v>221</v>
      </c>
      <c r="I7" s="5" t="s">
        <v>48</v>
      </c>
      <c r="J7" s="11" t="s">
        <v>217</v>
      </c>
      <c r="K7" s="7">
        <v>12</v>
      </c>
      <c r="L7" s="6">
        <v>46052</v>
      </c>
      <c r="M7" s="6">
        <v>46067</v>
      </c>
      <c r="N7" s="6">
        <v>46055</v>
      </c>
      <c r="O7" s="5">
        <v>216004</v>
      </c>
    </row>
    <row r="8" spans="1:15" ht="14.25" customHeight="1">
      <c r="A8" s="5">
        <v>510320</v>
      </c>
      <c r="B8" s="7">
        <v>1</v>
      </c>
      <c r="C8" s="5" t="s">
        <v>679</v>
      </c>
      <c r="D8" s="5">
        <v>2</v>
      </c>
      <c r="E8" s="5" t="s">
        <v>25</v>
      </c>
      <c r="F8" s="6">
        <v>46209</v>
      </c>
      <c r="G8" s="15">
        <v>2186.33</v>
      </c>
      <c r="H8" s="11" t="s">
        <v>152</v>
      </c>
      <c r="I8" s="5" t="s">
        <v>100</v>
      </c>
      <c r="J8" s="11" t="s">
        <v>681</v>
      </c>
      <c r="K8" s="7">
        <v>50</v>
      </c>
      <c r="L8" s="6">
        <v>46045</v>
      </c>
      <c r="M8" s="6">
        <v>46111</v>
      </c>
      <c r="N8" s="6">
        <v>46099</v>
      </c>
      <c r="O8" s="5">
        <v>216982</v>
      </c>
    </row>
    <row r="9" spans="1:15">
      <c r="F9" s="20"/>
    </row>
  </sheetData>
  <mergeCells count="9">
    <mergeCell ref="N3:N5"/>
    <mergeCell ref="A1:G1"/>
    <mergeCell ref="H1:M1"/>
    <mergeCell ref="J3:J4"/>
    <mergeCell ref="K3:K4"/>
    <mergeCell ref="H3:H6"/>
    <mergeCell ref="I3:I6"/>
    <mergeCell ref="L3:L6"/>
    <mergeCell ref="M3:M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134-73DA-42DB-9986-847D67BE9187}">
  <sheetPr codeName="Planilha6"/>
  <dimension ref="A1:M29"/>
  <sheetViews>
    <sheetView showGridLines="0" zoomScale="80" zoomScaleNormal="80" workbookViewId="0">
      <pane ySplit="1" topLeftCell="A2" activePane="bottomLeft" state="frozen"/>
      <selection pane="bottomLeft" activeCell="E14" sqref="E14"/>
    </sheetView>
  </sheetViews>
  <sheetFormatPr defaultColWidth="9.140625" defaultRowHeight="15"/>
  <cols>
    <col min="1" max="1" width="22.7109375" style="27" customWidth="1"/>
    <col min="2" max="2" width="23.85546875" style="27" customWidth="1"/>
    <col min="3" max="3" width="31.140625" style="27" customWidth="1"/>
    <col min="4" max="4" width="38.7109375" style="27" bestFit="1" customWidth="1"/>
    <col min="5" max="5" width="53.7109375" style="27" bestFit="1" customWidth="1"/>
    <col min="6" max="6" width="9.140625" style="27"/>
    <col min="7" max="7" width="20" style="27" customWidth="1"/>
    <col min="8" max="8" width="14.140625" style="27" customWidth="1"/>
    <col min="9" max="9" width="17.7109375" style="27" bestFit="1" customWidth="1"/>
    <col min="10" max="10" width="15.7109375" style="27" bestFit="1" customWidth="1"/>
    <col min="11" max="11" width="13" style="27" bestFit="1" customWidth="1"/>
    <col min="12" max="16384" width="9.140625" style="27"/>
  </cols>
  <sheetData>
    <row r="1" spans="1:13" ht="27" customHeight="1">
      <c r="B1" s="41" t="s">
        <v>156</v>
      </c>
      <c r="C1" s="41" t="s">
        <v>157</v>
      </c>
      <c r="D1" s="41" t="s">
        <v>80</v>
      </c>
      <c r="E1" s="41" t="s">
        <v>55</v>
      </c>
    </row>
    <row r="2" spans="1:13" ht="53.25" customHeight="1">
      <c r="B2" s="42" t="s">
        <v>158</v>
      </c>
      <c r="C2" s="42" t="s">
        <v>159</v>
      </c>
      <c r="D2" s="42" t="s">
        <v>160</v>
      </c>
      <c r="E2" s="7" t="s">
        <v>161</v>
      </c>
      <c r="H2" s="27" t="s">
        <v>162</v>
      </c>
    </row>
    <row r="3" spans="1:13" ht="53.25" customHeight="1">
      <c r="B3" s="7" t="s">
        <v>163</v>
      </c>
      <c r="C3" s="7" t="s">
        <v>164</v>
      </c>
      <c r="D3" s="7" t="s">
        <v>165</v>
      </c>
      <c r="E3" s="42" t="s">
        <v>166</v>
      </c>
      <c r="G3" s="43" t="s">
        <v>167</v>
      </c>
      <c r="H3" s="43"/>
      <c r="I3" s="43"/>
    </row>
    <row r="4" spans="1:13" ht="53.25" customHeight="1">
      <c r="B4" s="7" t="s">
        <v>168</v>
      </c>
      <c r="C4" s="7" t="s">
        <v>169</v>
      </c>
      <c r="D4" s="7" t="s">
        <v>170</v>
      </c>
      <c r="E4" s="42" t="s">
        <v>171</v>
      </c>
      <c r="G4" s="104" t="s">
        <v>172</v>
      </c>
      <c r="H4" s="104"/>
      <c r="I4" s="104"/>
      <c r="J4" s="104"/>
      <c r="K4" s="104"/>
    </row>
    <row r="5" spans="1:13" ht="53.25" customHeight="1">
      <c r="B5" s="7" t="s">
        <v>173</v>
      </c>
      <c r="C5" s="7" t="s">
        <v>174</v>
      </c>
      <c r="D5" s="7" t="s">
        <v>175</v>
      </c>
      <c r="E5" s="7" t="s">
        <v>176</v>
      </c>
      <c r="G5" s="105" t="s">
        <v>177</v>
      </c>
      <c r="H5" s="105"/>
      <c r="I5" s="105"/>
      <c r="J5" s="105"/>
    </row>
    <row r="6" spans="1:13" ht="53.25" customHeight="1">
      <c r="B6" s="7" t="s">
        <v>81</v>
      </c>
      <c r="C6" s="42" t="s">
        <v>178</v>
      </c>
      <c r="D6" s="7" t="s">
        <v>179</v>
      </c>
      <c r="E6" s="7"/>
      <c r="G6" s="106" t="s">
        <v>180</v>
      </c>
      <c r="H6" s="106"/>
      <c r="I6" s="106"/>
      <c r="J6" s="106"/>
      <c r="K6" s="106"/>
      <c r="L6" s="106"/>
      <c r="M6" s="106"/>
    </row>
    <row r="7" spans="1:13" ht="53.25" customHeight="1">
      <c r="B7" s="42" t="s">
        <v>181</v>
      </c>
      <c r="C7" s="7" t="s">
        <v>182</v>
      </c>
      <c r="D7" s="42" t="s">
        <v>183</v>
      </c>
      <c r="E7" s="7" t="s">
        <v>184</v>
      </c>
      <c r="F7" s="44" t="s">
        <v>185</v>
      </c>
      <c r="G7" s="45"/>
    </row>
    <row r="8" spans="1:13" ht="53.25" customHeight="1">
      <c r="B8" s="7" t="s">
        <v>186</v>
      </c>
      <c r="C8" s="7" t="s">
        <v>187</v>
      </c>
      <c r="D8" s="7" t="s">
        <v>188</v>
      </c>
      <c r="E8" s="7" t="s">
        <v>189</v>
      </c>
    </row>
    <row r="11" spans="1:13">
      <c r="C11" s="27" t="s">
        <v>190</v>
      </c>
      <c r="F11" s="107" t="s">
        <v>191</v>
      </c>
      <c r="G11" s="107"/>
      <c r="H11" s="107"/>
      <c r="I11" s="107"/>
      <c r="J11" s="107"/>
      <c r="K11" s="107"/>
    </row>
    <row r="13" spans="1:13" ht="39" customHeight="1">
      <c r="A13" s="46" t="s">
        <v>192</v>
      </c>
      <c r="B13" s="46" t="s">
        <v>193</v>
      </c>
      <c r="C13" s="46" t="s">
        <v>194</v>
      </c>
      <c r="D13" s="46" t="s">
        <v>195</v>
      </c>
      <c r="E13" s="46" t="s">
        <v>196</v>
      </c>
      <c r="F13" s="47" t="s">
        <v>197</v>
      </c>
      <c r="G13" s="48" t="s">
        <v>198</v>
      </c>
      <c r="H13" s="49" t="s">
        <v>199</v>
      </c>
      <c r="I13" s="50" t="s">
        <v>194</v>
      </c>
      <c r="J13" s="50" t="s">
        <v>200</v>
      </c>
      <c r="K13" s="49" t="s">
        <v>201</v>
      </c>
    </row>
    <row r="14" spans="1:13" ht="20.25" customHeight="1">
      <c r="A14" s="110">
        <v>120</v>
      </c>
      <c r="B14" s="72">
        <v>801</v>
      </c>
      <c r="C14" s="51">
        <f>A14*8</f>
        <v>960</v>
      </c>
      <c r="D14" s="52">
        <f>B14/C14</f>
        <v>0.83437499999999998</v>
      </c>
      <c r="E14" s="52">
        <f>B14/A14</f>
        <v>6.6749999999999998</v>
      </c>
      <c r="F14" s="59">
        <v>8.5</v>
      </c>
      <c r="G14" s="15">
        <f>F14*8</f>
        <v>68</v>
      </c>
      <c r="H14" s="15">
        <f>G14+A14</f>
        <v>188</v>
      </c>
      <c r="I14" s="51">
        <f>H14*8</f>
        <v>1504</v>
      </c>
      <c r="J14" s="52">
        <f>B14/I14</f>
        <v>0.53257978723404253</v>
      </c>
      <c r="K14" s="52">
        <f>B14/H14</f>
        <v>4.2606382978723403</v>
      </c>
    </row>
    <row r="15" spans="1:13">
      <c r="B15" s="53"/>
      <c r="D15" s="54"/>
    </row>
    <row r="16" spans="1:13">
      <c r="A16" s="53"/>
      <c r="B16" s="53"/>
      <c r="D16" s="54"/>
    </row>
    <row r="17" spans="2:4">
      <c r="B17" s="53"/>
      <c r="D17" s="54"/>
    </row>
    <row r="18" spans="2:4">
      <c r="B18" s="53"/>
      <c r="D18" s="54"/>
    </row>
    <row r="19" spans="2:4">
      <c r="B19" s="53"/>
      <c r="D19" s="54"/>
    </row>
    <row r="20" spans="2:4">
      <c r="B20" s="53"/>
      <c r="D20" s="54"/>
    </row>
    <row r="21" spans="2:4">
      <c r="B21" s="53"/>
      <c r="D21" s="54"/>
    </row>
    <row r="22" spans="2:4">
      <c r="B22" s="53"/>
      <c r="D22" s="54"/>
    </row>
    <row r="23" spans="2:4">
      <c r="B23" s="53"/>
      <c r="D23"/>
    </row>
    <row r="24" spans="2:4">
      <c r="B24" s="53"/>
      <c r="D24"/>
    </row>
    <row r="25" spans="2:4">
      <c r="B25" s="53"/>
      <c r="D25"/>
    </row>
    <row r="26" spans="2:4">
      <c r="D26"/>
    </row>
    <row r="27" spans="2:4">
      <c r="D27"/>
    </row>
    <row r="28" spans="2:4">
      <c r="D28" s="54"/>
    </row>
    <row r="29" spans="2:4">
      <c r="D29" s="54"/>
    </row>
  </sheetData>
  <mergeCells count="4">
    <mergeCell ref="G4:K4"/>
    <mergeCell ref="G5:J5"/>
    <mergeCell ref="G6:M6"/>
    <mergeCell ref="F11:K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- venda e compra (2)</vt:lpstr>
      <vt:lpstr>Planilha1</vt:lpstr>
      <vt:lpstr>Controle O.S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Hci</dc:creator>
  <cp:lastModifiedBy>Importação Hci</cp:lastModifiedBy>
  <dcterms:created xsi:type="dcterms:W3CDTF">2025-12-15T20:55:54Z</dcterms:created>
  <dcterms:modified xsi:type="dcterms:W3CDTF">2026-04-23T20:07:27Z</dcterms:modified>
</cp:coreProperties>
</file>